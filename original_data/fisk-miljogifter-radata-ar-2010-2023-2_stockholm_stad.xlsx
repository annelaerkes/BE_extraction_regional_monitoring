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nesore\Dropbox\SU_170821\Articles_and_abstracts\0_Projects\1n_biological effects\Data\Contaminated sites contaminants\"/>
    </mc:Choice>
  </mc:AlternateContent>
  <xr:revisionPtr revIDLastSave="0" documentId="13_ncr:1_{7E12846B-8435-4CAC-A2F1-1C8A72E49B82}" xr6:coauthVersionLast="47" xr6:coauthVersionMax="47" xr10:uidLastSave="{00000000-0000-0000-0000-000000000000}"/>
  <bookViews>
    <workbookView xWindow="5625" yWindow="465" windowWidth="28950" windowHeight="19695" xr2:uid="{00000000-000D-0000-FFFF-FFFF00000000}"/>
  </bookViews>
  <sheets>
    <sheet name="miljogifter_fisk_2010_2023" sheetId="2" r:id="rId1"/>
    <sheet name="Original" sheetId="5" r:id="rId2"/>
    <sheet name="mg_fisk_2010-2023 (bearbetad)" sheetId="4" r:id="rId3"/>
  </sheets>
  <definedNames>
    <definedName name="_xlnm._FilterDatabase" localSheetId="2" hidden="1">'mg_fisk_2010-2023 (bearbetad)'!$A$2:$CY$192</definedName>
    <definedName name="_xlnm._FilterDatabase" localSheetId="0" hidden="1">miljogifter_fisk_2010_2023!$A$2:$CY$192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92" i="2" l="1"/>
  <c r="U192" i="2"/>
  <c r="AE191" i="2"/>
  <c r="U191" i="2"/>
  <c r="AE190" i="2"/>
  <c r="U190" i="2"/>
  <c r="AE189" i="2"/>
  <c r="U189" i="2"/>
  <c r="AE188" i="2"/>
  <c r="U188" i="2"/>
  <c r="AE187" i="2"/>
  <c r="U187" i="2"/>
  <c r="AE186" i="2"/>
  <c r="U186" i="2"/>
  <c r="AE185" i="2"/>
  <c r="U185" i="2"/>
  <c r="AE184" i="2"/>
  <c r="U184" i="2"/>
  <c r="AE183" i="2"/>
  <c r="U183" i="2"/>
  <c r="AE182" i="2"/>
  <c r="U182" i="2"/>
  <c r="AE181" i="2"/>
  <c r="U181" i="2"/>
  <c r="AE180" i="2"/>
  <c r="U180" i="2"/>
  <c r="AE179" i="2"/>
  <c r="U179" i="2"/>
  <c r="AE178" i="2"/>
  <c r="U178" i="2"/>
  <c r="AE177" i="2"/>
  <c r="U177" i="2"/>
  <c r="AE176" i="2"/>
  <c r="U176" i="2"/>
  <c r="AE175" i="2"/>
  <c r="U175" i="2"/>
  <c r="AE174" i="2"/>
  <c r="U174" i="2"/>
  <c r="AE173" i="2"/>
  <c r="U173" i="2"/>
  <c r="AE172" i="2"/>
  <c r="U172" i="2"/>
  <c r="AE171" i="2"/>
  <c r="U171" i="2"/>
  <c r="AE170" i="2"/>
  <c r="U170" i="2"/>
  <c r="AE169" i="2"/>
  <c r="U169" i="2"/>
  <c r="AE168" i="2"/>
  <c r="U168" i="2"/>
  <c r="AE167" i="2"/>
  <c r="U167" i="2"/>
  <c r="AE166" i="2"/>
  <c r="U166" i="2"/>
  <c r="AE165" i="2"/>
  <c r="U165" i="2"/>
  <c r="AE164" i="2"/>
  <c r="U164" i="2"/>
  <c r="AE163" i="2"/>
  <c r="U163" i="2"/>
  <c r="AE162" i="2"/>
  <c r="U162" i="2"/>
  <c r="AE161" i="2"/>
  <c r="U161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1" i="2"/>
  <c r="U141" i="2"/>
  <c r="AE140" i="2"/>
  <c r="U140" i="2"/>
  <c r="AE139" i="2"/>
  <c r="U139" i="2"/>
  <c r="AE138" i="2"/>
  <c r="U138" i="2"/>
  <c r="AE137" i="2"/>
  <c r="U137" i="2"/>
  <c r="AE136" i="2"/>
  <c r="U136" i="2"/>
  <c r="AE135" i="2"/>
  <c r="U135" i="2"/>
  <c r="AE134" i="2"/>
  <c r="U134" i="2"/>
  <c r="AE133" i="2"/>
  <c r="U133" i="2"/>
  <c r="AE132" i="2"/>
  <c r="U132" i="2"/>
  <c r="AE131" i="2"/>
  <c r="U131" i="2"/>
  <c r="AE130" i="2"/>
  <c r="U130" i="2"/>
  <c r="AE129" i="2"/>
  <c r="U129" i="2"/>
  <c r="AE128" i="2"/>
  <c r="AE127" i="2"/>
  <c r="U127" i="2"/>
  <c r="AE126" i="2"/>
  <c r="U126" i="2"/>
  <c r="AE125" i="2"/>
  <c r="U125" i="2"/>
  <c r="AE124" i="2"/>
  <c r="U124" i="2"/>
  <c r="AE123" i="2"/>
  <c r="U123" i="2"/>
  <c r="AE122" i="2"/>
  <c r="U122" i="2"/>
  <c r="AE121" i="2"/>
  <c r="U121" i="2"/>
  <c r="AE120" i="2"/>
  <c r="U120" i="2"/>
  <c r="AE119" i="2"/>
  <c r="U119" i="2"/>
  <c r="AE118" i="2"/>
  <c r="U118" i="2"/>
  <c r="AE117" i="2"/>
  <c r="U117" i="2"/>
  <c r="AE116" i="2"/>
  <c r="U116" i="2"/>
  <c r="AE115" i="2"/>
  <c r="AE114" i="2"/>
  <c r="U114" i="2"/>
  <c r="AE113" i="2"/>
  <c r="U113" i="2"/>
  <c r="AE112" i="2"/>
  <c r="U112" i="2"/>
  <c r="AE111" i="2"/>
  <c r="U111" i="2"/>
  <c r="AE110" i="2"/>
  <c r="U110" i="2"/>
  <c r="AE109" i="2"/>
  <c r="U109" i="2"/>
  <c r="AE108" i="2"/>
  <c r="U108" i="2"/>
  <c r="AE107" i="2"/>
  <c r="U107" i="2"/>
  <c r="AE106" i="2"/>
  <c r="U106" i="2"/>
  <c r="AE105" i="2"/>
  <c r="U105" i="2"/>
  <c r="AE104" i="2"/>
  <c r="U104" i="2"/>
  <c r="AE103" i="2"/>
  <c r="U103" i="2"/>
  <c r="AE102" i="2"/>
  <c r="U102" i="2"/>
  <c r="AE100" i="2"/>
  <c r="U100" i="2"/>
  <c r="AE99" i="2"/>
  <c r="U99" i="2"/>
  <c r="AE98" i="2"/>
  <c r="U98" i="2"/>
  <c r="AE97" i="2"/>
  <c r="U97" i="2"/>
  <c r="AE96" i="2"/>
  <c r="U96" i="2"/>
  <c r="AE95" i="2"/>
  <c r="U95" i="2"/>
  <c r="AE94" i="2"/>
  <c r="U94" i="2"/>
  <c r="AE93" i="2"/>
  <c r="U93" i="2"/>
  <c r="AE92" i="2"/>
  <c r="U92" i="2"/>
  <c r="AE91" i="2"/>
  <c r="U91" i="2"/>
  <c r="AE90" i="2"/>
  <c r="U90" i="2"/>
  <c r="AE89" i="2"/>
  <c r="U89" i="2"/>
  <c r="AE88" i="2"/>
  <c r="U88" i="2"/>
  <c r="AE87" i="2"/>
  <c r="U87" i="2"/>
  <c r="AE86" i="2"/>
  <c r="U86" i="2"/>
  <c r="AE85" i="2"/>
  <c r="U85" i="2"/>
  <c r="AE84" i="2"/>
  <c r="U84" i="2"/>
  <c r="AE83" i="2"/>
  <c r="U83" i="2"/>
  <c r="AE82" i="2"/>
  <c r="U82" i="2"/>
  <c r="AE81" i="2"/>
  <c r="U81" i="2"/>
  <c r="AE80" i="2"/>
  <c r="U80" i="2"/>
  <c r="AE79" i="2"/>
  <c r="U79" i="2"/>
  <c r="AE78" i="2"/>
  <c r="U78" i="2"/>
  <c r="AE75" i="2"/>
  <c r="U75" i="2"/>
  <c r="AE74" i="2"/>
  <c r="U74" i="2"/>
  <c r="AE73" i="2"/>
  <c r="U73" i="2"/>
  <c r="AE72" i="2"/>
  <c r="U72" i="2"/>
  <c r="AE71" i="2"/>
  <c r="U71" i="2"/>
  <c r="AE70" i="2"/>
  <c r="U70" i="2"/>
  <c r="AE69" i="2"/>
  <c r="U69" i="2"/>
  <c r="AE68" i="2"/>
  <c r="U68" i="2"/>
  <c r="AE67" i="2"/>
  <c r="U67" i="2"/>
  <c r="AE66" i="2"/>
  <c r="U66" i="2"/>
  <c r="AE65" i="2"/>
  <c r="U65" i="2"/>
  <c r="AE64" i="2"/>
  <c r="U64" i="2"/>
  <c r="AE63" i="2"/>
  <c r="U63" i="2"/>
  <c r="AE62" i="2"/>
  <c r="U62" i="2"/>
  <c r="AE61" i="2"/>
  <c r="U61" i="2"/>
  <c r="AE60" i="2"/>
  <c r="U60" i="2"/>
  <c r="AE59" i="2"/>
  <c r="U59" i="2"/>
  <c r="AE58" i="2"/>
  <c r="U58" i="2"/>
  <c r="AE57" i="2"/>
  <c r="U57" i="2"/>
  <c r="AE56" i="2"/>
  <c r="U56" i="2"/>
  <c r="AE55" i="2"/>
  <c r="U55" i="2"/>
  <c r="AE54" i="2"/>
  <c r="U54" i="2"/>
  <c r="AE53" i="2"/>
  <c r="U53" i="2"/>
  <c r="AE52" i="2"/>
  <c r="U52" i="2"/>
  <c r="AE51" i="2"/>
  <c r="U51" i="2"/>
  <c r="AE50" i="2"/>
  <c r="U50" i="2"/>
  <c r="AE49" i="2"/>
  <c r="U49" i="2"/>
  <c r="AE48" i="2"/>
  <c r="U48" i="2"/>
  <c r="AE47" i="2"/>
  <c r="U47" i="2"/>
  <c r="AE46" i="2"/>
  <c r="U46" i="2"/>
  <c r="AE45" i="2"/>
  <c r="U45" i="2"/>
  <c r="AE44" i="2"/>
  <c r="U44" i="2"/>
  <c r="AE43" i="2"/>
  <c r="U43" i="2"/>
  <c r="AE42" i="2"/>
  <c r="U42" i="2"/>
  <c r="AE41" i="2"/>
  <c r="U41" i="2"/>
  <c r="AE40" i="2"/>
  <c r="U40" i="2"/>
  <c r="AE39" i="2"/>
  <c r="U39" i="2"/>
  <c r="AE38" i="2"/>
  <c r="U38" i="2"/>
  <c r="AE37" i="2"/>
  <c r="U37" i="2"/>
  <c r="AE36" i="2"/>
  <c r="U36" i="2"/>
  <c r="AE35" i="2"/>
  <c r="U35" i="2"/>
  <c r="AE34" i="2"/>
  <c r="U34" i="2"/>
  <c r="AE33" i="2"/>
  <c r="U33" i="2"/>
  <c r="AE32" i="2"/>
  <c r="U32" i="2"/>
  <c r="AE31" i="2"/>
  <c r="U31" i="2"/>
  <c r="AE30" i="2"/>
  <c r="U30" i="2"/>
  <c r="AE29" i="2"/>
  <c r="U29" i="2"/>
  <c r="AE28" i="2"/>
  <c r="U28" i="2"/>
  <c r="AE27" i="2"/>
  <c r="U27" i="2"/>
  <c r="AE26" i="2"/>
  <c r="U26" i="2"/>
  <c r="AE25" i="2"/>
  <c r="U25" i="2"/>
  <c r="AE24" i="2"/>
  <c r="U24" i="2"/>
  <c r="AE23" i="2"/>
  <c r="U23" i="2"/>
  <c r="AE22" i="2"/>
  <c r="U22" i="2"/>
  <c r="AE21" i="2"/>
  <c r="U21" i="2"/>
  <c r="AE20" i="2"/>
  <c r="U20" i="2"/>
  <c r="AE19" i="2"/>
  <c r="U19" i="2"/>
  <c r="AE18" i="2"/>
  <c r="U18" i="2"/>
  <c r="AE17" i="2"/>
  <c r="U17" i="2"/>
  <c r="AE16" i="2"/>
  <c r="U16" i="2"/>
  <c r="AE15" i="2"/>
  <c r="U15" i="2"/>
  <c r="AE14" i="2"/>
  <c r="U14" i="2"/>
  <c r="AE13" i="2"/>
  <c r="U13" i="2"/>
  <c r="AE12" i="2"/>
  <c r="U12" i="2"/>
  <c r="AE11" i="2"/>
  <c r="U11" i="2"/>
  <c r="AE10" i="2"/>
  <c r="U10" i="2"/>
  <c r="AE9" i="2"/>
  <c r="U9" i="2"/>
  <c r="AE8" i="2"/>
  <c r="U8" i="2"/>
  <c r="AE7" i="2"/>
  <c r="U7" i="2"/>
  <c r="AE6" i="2"/>
  <c r="U6" i="2"/>
  <c r="AE5" i="2"/>
  <c r="U5" i="2"/>
  <c r="AE4" i="2"/>
  <c r="U4" i="2"/>
  <c r="AE3" i="2"/>
  <c r="U3" i="2"/>
  <c r="AE2" i="2"/>
  <c r="U2" i="2"/>
  <c r="AH192" i="5"/>
  <c r="AE192" i="5"/>
  <c r="U192" i="5"/>
  <c r="T192" i="5"/>
  <c r="AH191" i="5"/>
  <c r="AE191" i="5"/>
  <c r="U191" i="5"/>
  <c r="T191" i="5"/>
  <c r="AH190" i="5"/>
  <c r="AE190" i="5"/>
  <c r="U190" i="5"/>
  <c r="T190" i="5"/>
  <c r="AH189" i="5"/>
  <c r="AE189" i="5"/>
  <c r="U189" i="5"/>
  <c r="T189" i="5"/>
  <c r="AH188" i="5"/>
  <c r="AE188" i="5"/>
  <c r="U188" i="5"/>
  <c r="T188" i="5"/>
  <c r="AH187" i="5"/>
  <c r="AE187" i="5"/>
  <c r="U187" i="5"/>
  <c r="T187" i="5"/>
  <c r="AH186" i="5"/>
  <c r="AE186" i="5"/>
  <c r="U186" i="5"/>
  <c r="T186" i="5"/>
  <c r="AH185" i="5"/>
  <c r="AE185" i="5"/>
  <c r="U185" i="5"/>
  <c r="T185" i="5"/>
  <c r="AH184" i="5"/>
  <c r="AE184" i="5"/>
  <c r="U184" i="5"/>
  <c r="T184" i="5"/>
  <c r="AH183" i="5"/>
  <c r="AE183" i="5"/>
  <c r="U183" i="5"/>
  <c r="T183" i="5"/>
  <c r="AH182" i="5"/>
  <c r="AE182" i="5"/>
  <c r="U182" i="5"/>
  <c r="T182" i="5"/>
  <c r="AH181" i="5"/>
  <c r="AE181" i="5"/>
  <c r="U181" i="5"/>
  <c r="T181" i="5"/>
  <c r="AH180" i="5"/>
  <c r="AE180" i="5"/>
  <c r="U180" i="5"/>
  <c r="T180" i="5"/>
  <c r="AH179" i="5"/>
  <c r="AE179" i="5"/>
  <c r="U179" i="5"/>
  <c r="T179" i="5"/>
  <c r="AH178" i="5"/>
  <c r="AE178" i="5"/>
  <c r="U178" i="5"/>
  <c r="T178" i="5"/>
  <c r="AH177" i="5"/>
  <c r="AE177" i="5"/>
  <c r="U177" i="5"/>
  <c r="T177" i="5"/>
  <c r="AH176" i="5"/>
  <c r="AE176" i="5"/>
  <c r="U176" i="5"/>
  <c r="T176" i="5"/>
  <c r="AH175" i="5"/>
  <c r="AE175" i="5"/>
  <c r="U175" i="5"/>
  <c r="T175" i="5"/>
  <c r="AH174" i="5"/>
  <c r="AE174" i="5"/>
  <c r="U174" i="5"/>
  <c r="T174" i="5"/>
  <c r="AH173" i="5"/>
  <c r="AE173" i="5"/>
  <c r="U173" i="5"/>
  <c r="T173" i="5"/>
  <c r="AH172" i="5"/>
  <c r="AE172" i="5"/>
  <c r="U172" i="5"/>
  <c r="T172" i="5"/>
  <c r="AH171" i="5"/>
  <c r="AE171" i="5"/>
  <c r="U171" i="5"/>
  <c r="T171" i="5"/>
  <c r="AH170" i="5"/>
  <c r="AE170" i="5"/>
  <c r="U170" i="5"/>
  <c r="T170" i="5"/>
  <c r="AH169" i="5"/>
  <c r="AE169" i="5"/>
  <c r="U169" i="5"/>
  <c r="T169" i="5"/>
  <c r="AH168" i="5"/>
  <c r="AE168" i="5"/>
  <c r="U168" i="5"/>
  <c r="T168" i="5"/>
  <c r="AR167" i="5"/>
  <c r="AQ167" i="5"/>
  <c r="AO167" i="5"/>
  <c r="AN167" i="5"/>
  <c r="AH167" i="5"/>
  <c r="AE167" i="5"/>
  <c r="U167" i="5"/>
  <c r="T167" i="5"/>
  <c r="AR166" i="5"/>
  <c r="AQ166" i="5"/>
  <c r="AO166" i="5"/>
  <c r="AN166" i="5"/>
  <c r="AH166" i="5"/>
  <c r="AE166" i="5"/>
  <c r="U166" i="5"/>
  <c r="T166" i="5"/>
  <c r="AR165" i="5"/>
  <c r="AQ165" i="5"/>
  <c r="AO165" i="5"/>
  <c r="AN165" i="5"/>
  <c r="AM165" i="5"/>
  <c r="AH165" i="5"/>
  <c r="AE165" i="5"/>
  <c r="U165" i="5"/>
  <c r="T165" i="5"/>
  <c r="AR164" i="5"/>
  <c r="AQ164" i="5"/>
  <c r="AO164" i="5"/>
  <c r="AN164" i="5"/>
  <c r="AH164" i="5"/>
  <c r="AE164" i="5"/>
  <c r="U164" i="5"/>
  <c r="T164" i="5"/>
  <c r="AR163" i="5"/>
  <c r="AQ163" i="5"/>
  <c r="AO163" i="5"/>
  <c r="AN163" i="5"/>
  <c r="AH163" i="5"/>
  <c r="AE163" i="5"/>
  <c r="U163" i="5"/>
  <c r="T163" i="5"/>
  <c r="AQ162" i="5"/>
  <c r="AN162" i="5"/>
  <c r="AH162" i="5"/>
  <c r="AE162" i="5"/>
  <c r="U162" i="5"/>
  <c r="T162" i="5"/>
  <c r="AR161" i="5"/>
  <c r="AQ161" i="5"/>
  <c r="AO161" i="5"/>
  <c r="AN161" i="5"/>
  <c r="AH161" i="5"/>
  <c r="AE161" i="5"/>
  <c r="U161" i="5"/>
  <c r="T161" i="5"/>
  <c r="AH160" i="5"/>
  <c r="AK159" i="5"/>
  <c r="AI159" i="5"/>
  <c r="AH159" i="5"/>
  <c r="AK158" i="5"/>
  <c r="AH158" i="5"/>
  <c r="AK157" i="5"/>
  <c r="AH157" i="5"/>
  <c r="AO156" i="5"/>
  <c r="AN156" i="5"/>
  <c r="AM156" i="5"/>
  <c r="AK156" i="5"/>
  <c r="AJ156" i="5"/>
  <c r="AI156" i="5"/>
  <c r="AH156" i="5"/>
  <c r="AE156" i="5"/>
  <c r="AO155" i="5"/>
  <c r="AN155" i="5"/>
  <c r="AM155" i="5"/>
  <c r="AK155" i="5"/>
  <c r="AJ155" i="5"/>
  <c r="AI155" i="5"/>
  <c r="AH155" i="5"/>
  <c r="AE155" i="5"/>
  <c r="AO154" i="5"/>
  <c r="AN154" i="5"/>
  <c r="AM154" i="5"/>
  <c r="AK154" i="5"/>
  <c r="AI154" i="5"/>
  <c r="AH154" i="5"/>
  <c r="AE154" i="5"/>
  <c r="AO153" i="5"/>
  <c r="AN153" i="5"/>
  <c r="AM153" i="5"/>
  <c r="AK153" i="5"/>
  <c r="AI153" i="5"/>
  <c r="AH153" i="5"/>
  <c r="AE153" i="5"/>
  <c r="AE152" i="5"/>
  <c r="AD152" i="5"/>
  <c r="T152" i="5"/>
  <c r="AE151" i="5"/>
  <c r="AD151" i="5"/>
  <c r="T151" i="5"/>
  <c r="AE150" i="5"/>
  <c r="AD150" i="5"/>
  <c r="T150" i="5"/>
  <c r="AE149" i="5"/>
  <c r="AD149" i="5"/>
  <c r="T149" i="5"/>
  <c r="AE148" i="5"/>
  <c r="AD148" i="5"/>
  <c r="T148" i="5"/>
  <c r="AE147" i="5"/>
  <c r="AD147" i="5"/>
  <c r="T147" i="5"/>
  <c r="AE146" i="5"/>
  <c r="AD146" i="5"/>
  <c r="T146" i="5"/>
  <c r="AE145" i="5"/>
  <c r="AD145" i="5"/>
  <c r="T145" i="5"/>
  <c r="AE144" i="5"/>
  <c r="AD144" i="5"/>
  <c r="T144" i="5"/>
  <c r="AE143" i="5"/>
  <c r="AD143" i="5"/>
  <c r="T143" i="5"/>
  <c r="AE141" i="5"/>
  <c r="U141" i="5"/>
  <c r="AE140" i="5"/>
  <c r="U140" i="5"/>
  <c r="AE139" i="5"/>
  <c r="U139" i="5"/>
  <c r="AE138" i="5"/>
  <c r="U138" i="5"/>
  <c r="AE137" i="5"/>
  <c r="U137" i="5"/>
  <c r="AG136" i="5"/>
  <c r="AE136" i="5"/>
  <c r="U136" i="5"/>
  <c r="AE135" i="5"/>
  <c r="U135" i="5"/>
  <c r="AE134" i="5"/>
  <c r="U134" i="5"/>
  <c r="AE133" i="5"/>
  <c r="U133" i="5"/>
  <c r="AE132" i="5"/>
  <c r="U132" i="5"/>
  <c r="AE131" i="5"/>
  <c r="U131" i="5"/>
  <c r="AE130" i="5"/>
  <c r="U130" i="5"/>
  <c r="AE129" i="5"/>
  <c r="U129" i="5"/>
  <c r="AE128" i="5"/>
  <c r="AG127" i="5"/>
  <c r="AE127" i="5"/>
  <c r="U127" i="5"/>
  <c r="AE126" i="5"/>
  <c r="U126" i="5"/>
  <c r="AG125" i="5"/>
  <c r="AE125" i="5"/>
  <c r="U125" i="5"/>
  <c r="AE124" i="5"/>
  <c r="U124" i="5"/>
  <c r="AE123" i="5"/>
  <c r="U123" i="5"/>
  <c r="AE122" i="5"/>
  <c r="U122" i="5"/>
  <c r="AE121" i="5"/>
  <c r="U121" i="5"/>
  <c r="AE120" i="5"/>
  <c r="U120" i="5"/>
  <c r="AE119" i="5"/>
  <c r="U119" i="5"/>
  <c r="AE118" i="5"/>
  <c r="U118" i="5"/>
  <c r="AE117" i="5"/>
  <c r="U117" i="5"/>
  <c r="AE116" i="5"/>
  <c r="U116" i="5"/>
  <c r="AE115" i="5"/>
  <c r="AG114" i="5"/>
  <c r="AE114" i="5"/>
  <c r="U114" i="5"/>
  <c r="AG113" i="5"/>
  <c r="AE113" i="5"/>
  <c r="U113" i="5"/>
  <c r="AE112" i="5"/>
  <c r="U112" i="5"/>
  <c r="AG111" i="5"/>
  <c r="AE111" i="5"/>
  <c r="U111" i="5"/>
  <c r="AG110" i="5"/>
  <c r="AE110" i="5"/>
  <c r="U110" i="5"/>
  <c r="AG109" i="5"/>
  <c r="AE109" i="5"/>
  <c r="U109" i="5"/>
  <c r="AG108" i="5"/>
  <c r="AE108" i="5"/>
  <c r="U108" i="5"/>
  <c r="AG107" i="5"/>
  <c r="AE107" i="5"/>
  <c r="U107" i="5"/>
  <c r="AG106" i="5"/>
  <c r="AE106" i="5"/>
  <c r="U106" i="5"/>
  <c r="AG105" i="5"/>
  <c r="AE105" i="5"/>
  <c r="U105" i="5"/>
  <c r="AG104" i="5"/>
  <c r="AE104" i="5"/>
  <c r="U104" i="5"/>
  <c r="AG103" i="5"/>
  <c r="AE103" i="5"/>
  <c r="U103" i="5"/>
  <c r="AG102" i="5"/>
  <c r="AE102" i="5"/>
  <c r="U102" i="5"/>
  <c r="AE100" i="5"/>
  <c r="U100" i="5"/>
  <c r="AE99" i="5"/>
  <c r="U99" i="5"/>
  <c r="AE98" i="5"/>
  <c r="U98" i="5"/>
  <c r="AE97" i="5"/>
  <c r="U97" i="5"/>
  <c r="AG96" i="5"/>
  <c r="AE96" i="5"/>
  <c r="U96" i="5"/>
  <c r="AE95" i="5"/>
  <c r="U95" i="5"/>
  <c r="AE94" i="5"/>
  <c r="U94" i="5"/>
  <c r="AE93" i="5"/>
  <c r="U93" i="5"/>
  <c r="AE92" i="5"/>
  <c r="U92" i="5"/>
  <c r="AG91" i="5"/>
  <c r="AE91" i="5"/>
  <c r="U91" i="5"/>
  <c r="AE90" i="5"/>
  <c r="U90" i="5"/>
  <c r="AG89" i="5"/>
  <c r="AE89" i="5"/>
  <c r="U89" i="5"/>
  <c r="AE88" i="5"/>
  <c r="U88" i="5"/>
  <c r="AE87" i="5"/>
  <c r="U87" i="5"/>
  <c r="AG86" i="5"/>
  <c r="AE86" i="5"/>
  <c r="U86" i="5"/>
  <c r="AE85" i="5"/>
  <c r="U85" i="5"/>
  <c r="AE84" i="5"/>
  <c r="U84" i="5"/>
  <c r="AE83" i="5"/>
  <c r="U83" i="5"/>
  <c r="AE82" i="5"/>
  <c r="U82" i="5"/>
  <c r="AE81" i="5"/>
  <c r="U81" i="5"/>
  <c r="AG80" i="5"/>
  <c r="AE80" i="5"/>
  <c r="U80" i="5"/>
  <c r="AE79" i="5"/>
  <c r="U79" i="5"/>
  <c r="AE78" i="5"/>
  <c r="U78" i="5"/>
  <c r="AG75" i="5"/>
  <c r="AE75" i="5"/>
  <c r="U75" i="5"/>
  <c r="AG74" i="5"/>
  <c r="AE74" i="5"/>
  <c r="U74" i="5"/>
  <c r="AG73" i="5"/>
  <c r="AE73" i="5"/>
  <c r="U73" i="5"/>
  <c r="AE72" i="5"/>
  <c r="U72" i="5"/>
  <c r="AG71" i="5"/>
  <c r="AE71" i="5"/>
  <c r="U71" i="5"/>
  <c r="AG70" i="5"/>
  <c r="AE70" i="5"/>
  <c r="U70" i="5"/>
  <c r="AG69" i="5"/>
  <c r="AE69" i="5"/>
  <c r="U69" i="5"/>
  <c r="AG68" i="5"/>
  <c r="AE68" i="5"/>
  <c r="U68" i="5"/>
  <c r="AG67" i="5"/>
  <c r="AE67" i="5"/>
  <c r="U67" i="5"/>
  <c r="AE66" i="5"/>
  <c r="U66" i="5"/>
  <c r="AG65" i="5"/>
  <c r="AE65" i="5"/>
  <c r="U65" i="5"/>
  <c r="AG64" i="5"/>
  <c r="AE64" i="5"/>
  <c r="U64" i="5"/>
  <c r="AG63" i="5"/>
  <c r="AE63" i="5"/>
  <c r="U63" i="5"/>
  <c r="AG62" i="5"/>
  <c r="AE62" i="5"/>
  <c r="U62" i="5"/>
  <c r="AG61" i="5"/>
  <c r="AE61" i="5"/>
  <c r="U61" i="5"/>
  <c r="AE60" i="5"/>
  <c r="U60" i="5"/>
  <c r="T60" i="5"/>
  <c r="AG59" i="5"/>
  <c r="AE59" i="5"/>
  <c r="U59" i="5"/>
  <c r="T59" i="5"/>
  <c r="AG58" i="5"/>
  <c r="AE58" i="5"/>
  <c r="U58" i="5"/>
  <c r="T58" i="5"/>
  <c r="AG57" i="5"/>
  <c r="AE57" i="5"/>
  <c r="U57" i="5"/>
  <c r="T57" i="5"/>
  <c r="AE56" i="5"/>
  <c r="U56" i="5"/>
  <c r="T56" i="5"/>
  <c r="AG55" i="5"/>
  <c r="AE55" i="5"/>
  <c r="U55" i="5"/>
  <c r="T55" i="5"/>
  <c r="AG54" i="5"/>
  <c r="AE54" i="5"/>
  <c r="U54" i="5"/>
  <c r="T54" i="5"/>
  <c r="AG53" i="5"/>
  <c r="AE53" i="5"/>
  <c r="U53" i="5"/>
  <c r="T53" i="5"/>
  <c r="AG52" i="5"/>
  <c r="AE52" i="5"/>
  <c r="U52" i="5"/>
  <c r="T52" i="5"/>
  <c r="AG51" i="5"/>
  <c r="AE51" i="5"/>
  <c r="U51" i="5"/>
  <c r="T51" i="5"/>
  <c r="AE50" i="5"/>
  <c r="U50" i="5"/>
  <c r="T50" i="5"/>
  <c r="AG49" i="5"/>
  <c r="AE49" i="5"/>
  <c r="U49" i="5"/>
  <c r="T49" i="5"/>
  <c r="AG48" i="5"/>
  <c r="AE48" i="5"/>
  <c r="U48" i="5"/>
  <c r="T48" i="5"/>
  <c r="AG47" i="5"/>
  <c r="AE47" i="5"/>
  <c r="U47" i="5"/>
  <c r="T47" i="5"/>
  <c r="AG46" i="5"/>
  <c r="AE46" i="5"/>
  <c r="U46" i="5"/>
  <c r="T46" i="5"/>
  <c r="AG45" i="5"/>
  <c r="AE45" i="5"/>
  <c r="U45" i="5"/>
  <c r="T45" i="5"/>
  <c r="AG44" i="5"/>
  <c r="AE44" i="5"/>
  <c r="U44" i="5"/>
  <c r="T44" i="5"/>
  <c r="AG43" i="5"/>
  <c r="AE43" i="5"/>
  <c r="U43" i="5"/>
  <c r="T43" i="5"/>
  <c r="AG42" i="5"/>
  <c r="AE42" i="5"/>
  <c r="U42" i="5"/>
  <c r="T42" i="5"/>
  <c r="AG41" i="5"/>
  <c r="AE41" i="5"/>
  <c r="U41" i="5"/>
  <c r="T41" i="5"/>
  <c r="AG40" i="5"/>
  <c r="AE40" i="5"/>
  <c r="U40" i="5"/>
  <c r="T40" i="5"/>
  <c r="AE39" i="5"/>
  <c r="U39" i="5"/>
  <c r="T39" i="5"/>
  <c r="AG38" i="5"/>
  <c r="AE38" i="5"/>
  <c r="U38" i="5"/>
  <c r="T38" i="5"/>
  <c r="AE37" i="5"/>
  <c r="U37" i="5"/>
  <c r="T37" i="5"/>
  <c r="AG36" i="5"/>
  <c r="AE36" i="5"/>
  <c r="U36" i="5"/>
  <c r="T36" i="5"/>
  <c r="AE35" i="5"/>
  <c r="U35" i="5"/>
  <c r="T35" i="5"/>
  <c r="AE34" i="5"/>
  <c r="U34" i="5"/>
  <c r="T34" i="5"/>
  <c r="AE33" i="5"/>
  <c r="U33" i="5"/>
  <c r="AE32" i="5"/>
  <c r="U32" i="5"/>
  <c r="AE31" i="5"/>
  <c r="U31" i="5"/>
  <c r="AE30" i="5"/>
  <c r="U30" i="5"/>
  <c r="AE29" i="5"/>
  <c r="U29" i="5"/>
  <c r="AE28" i="5"/>
  <c r="U28" i="5"/>
  <c r="AE27" i="5"/>
  <c r="U27" i="5"/>
  <c r="AE26" i="5"/>
  <c r="U26" i="5"/>
  <c r="AE25" i="5"/>
  <c r="U25" i="5"/>
  <c r="AE24" i="5"/>
  <c r="U24" i="5"/>
  <c r="AE23" i="5"/>
  <c r="U23" i="5"/>
  <c r="AE22" i="5"/>
  <c r="U22" i="5"/>
  <c r="AE21" i="5"/>
  <c r="U21" i="5"/>
  <c r="AE20" i="5"/>
  <c r="U20" i="5"/>
  <c r="AE19" i="5"/>
  <c r="U19" i="5"/>
  <c r="AE18" i="5"/>
  <c r="U18" i="5"/>
  <c r="AE17" i="5"/>
  <c r="U17" i="5"/>
  <c r="AE16" i="5"/>
  <c r="U16" i="5"/>
  <c r="AE15" i="5"/>
  <c r="U15" i="5"/>
  <c r="AE14" i="5"/>
  <c r="U14" i="5"/>
  <c r="AE13" i="5"/>
  <c r="U13" i="5"/>
  <c r="AE12" i="5"/>
  <c r="U12" i="5"/>
  <c r="AE11" i="5"/>
  <c r="U11" i="5"/>
  <c r="AE10" i="5"/>
  <c r="U10" i="5"/>
  <c r="AE9" i="5"/>
  <c r="U9" i="5"/>
  <c r="AE8" i="5"/>
  <c r="U8" i="5"/>
  <c r="AE7" i="5"/>
  <c r="U7" i="5"/>
  <c r="AE6" i="5"/>
  <c r="U6" i="5"/>
  <c r="AE5" i="5"/>
  <c r="U5" i="5"/>
  <c r="AE4" i="5"/>
  <c r="U4" i="5"/>
  <c r="AE3" i="5"/>
  <c r="U3" i="5"/>
  <c r="AE2" i="5"/>
  <c r="U2" i="5"/>
  <c r="AF190" i="4"/>
  <c r="AF189" i="4"/>
  <c r="AF188" i="4"/>
  <c r="AF187" i="4"/>
  <c r="AB187" i="4"/>
  <c r="V187" i="4"/>
  <c r="AE187" i="4" s="1"/>
  <c r="AF186" i="4"/>
  <c r="V186" i="4"/>
  <c r="AE186" i="4" s="1"/>
  <c r="AF185" i="4"/>
  <c r="V185" i="4"/>
  <c r="V184" i="4"/>
  <c r="AE184" i="4" s="1"/>
  <c r="AF183" i="4"/>
  <c r="V183" i="4"/>
  <c r="AE183" i="4" s="1"/>
  <c r="AF182" i="4"/>
  <c r="V182" i="4"/>
  <c r="AE182" i="4" s="1"/>
  <c r="AF181" i="4"/>
  <c r="V181" i="4"/>
  <c r="AF180" i="4"/>
  <c r="V180" i="4"/>
  <c r="AF179" i="4"/>
  <c r="V179" i="4"/>
  <c r="M179" i="4"/>
  <c r="AF178" i="4"/>
  <c r="AF177" i="4"/>
  <c r="AF176" i="4"/>
  <c r="AF175" i="4"/>
  <c r="AF174" i="4"/>
  <c r="AF173" i="4"/>
  <c r="AF172" i="4"/>
  <c r="AF171" i="4"/>
  <c r="AF170" i="4"/>
  <c r="V170" i="4"/>
  <c r="AE170" i="4" s="1"/>
  <c r="AF169" i="4"/>
  <c r="AF168" i="4"/>
  <c r="AB168" i="4"/>
  <c r="V168" i="4"/>
  <c r="BK167" i="4"/>
  <c r="BH167" i="4"/>
  <c r="BG167" i="4"/>
  <c r="BF167" i="4"/>
  <c r="BE167" i="4"/>
  <c r="BD167" i="4"/>
  <c r="AF167" i="4"/>
  <c r="AC167" i="4"/>
  <c r="AB167" i="4"/>
  <c r="AE167" i="4" s="1"/>
  <c r="M167" i="4"/>
  <c r="U167" i="4" s="1"/>
  <c r="BK166" i="4"/>
  <c r="BH166" i="4"/>
  <c r="BG166" i="4"/>
  <c r="BF166" i="4"/>
  <c r="BE166" i="4"/>
  <c r="BD166" i="4"/>
  <c r="AF166" i="4"/>
  <c r="AC166" i="4"/>
  <c r="AB166" i="4"/>
  <c r="AA166" i="4"/>
  <c r="Y166" i="4"/>
  <c r="X166" i="4"/>
  <c r="W166" i="4"/>
  <c r="V166" i="4"/>
  <c r="S166" i="4"/>
  <c r="R166" i="4"/>
  <c r="Q166" i="4"/>
  <c r="P166" i="4"/>
  <c r="T166" i="4" s="1"/>
  <c r="O166" i="4"/>
  <c r="N166" i="4"/>
  <c r="M166" i="4"/>
  <c r="BK165" i="4"/>
  <c r="BG165" i="4"/>
  <c r="BF165" i="4"/>
  <c r="BE165" i="4"/>
  <c r="BD165" i="4"/>
  <c r="AF165" i="4"/>
  <c r="AC165" i="4"/>
  <c r="AB165" i="4"/>
  <c r="M165" i="4"/>
  <c r="BK164" i="4"/>
  <c r="BH164" i="4"/>
  <c r="BG164" i="4"/>
  <c r="BF164" i="4"/>
  <c r="BE164" i="4"/>
  <c r="BD164" i="4"/>
  <c r="AC164" i="4"/>
  <c r="AB164" i="4"/>
  <c r="V164" i="4"/>
  <c r="M164" i="4"/>
  <c r="U164" i="4" s="1"/>
  <c r="BK163" i="4"/>
  <c r="BH163" i="4"/>
  <c r="BG163" i="4"/>
  <c r="BF163" i="4"/>
  <c r="BE163" i="4"/>
  <c r="BD163" i="4"/>
  <c r="AC163" i="4"/>
  <c r="AB163" i="4"/>
  <c r="AA163" i="4"/>
  <c r="Y163" i="4"/>
  <c r="AE163" i="4" s="1"/>
  <c r="X163" i="4"/>
  <c r="W163" i="4"/>
  <c r="V163" i="4"/>
  <c r="S163" i="4"/>
  <c r="R163" i="4"/>
  <c r="Q163" i="4"/>
  <c r="P163" i="4"/>
  <c r="O163" i="4"/>
  <c r="U163" i="4" s="1"/>
  <c r="N163" i="4"/>
  <c r="M163" i="4"/>
  <c r="BM162" i="4"/>
  <c r="BK162" i="4"/>
  <c r="BJ162" i="4"/>
  <c r="BH162" i="4"/>
  <c r="BG162" i="4"/>
  <c r="BF162" i="4"/>
  <c r="BE162" i="4"/>
  <c r="BD162" i="4"/>
  <c r="AC162" i="4"/>
  <c r="AB162" i="4"/>
  <c r="AA162" i="4"/>
  <c r="Y162" i="4"/>
  <c r="X162" i="4"/>
  <c r="W162" i="4"/>
  <c r="V162" i="4"/>
  <c r="S162" i="4"/>
  <c r="R162" i="4"/>
  <c r="Q162" i="4"/>
  <c r="P162" i="4"/>
  <c r="O162" i="4"/>
  <c r="N162" i="4"/>
  <c r="M162" i="4"/>
  <c r="U162" i="4" s="1"/>
  <c r="BK161" i="4"/>
  <c r="BH161" i="4"/>
  <c r="BG161" i="4"/>
  <c r="BF161" i="4"/>
  <c r="BE161" i="4"/>
  <c r="BD161" i="4"/>
  <c r="AF161" i="4"/>
  <c r="AC161" i="4"/>
  <c r="AB161" i="4"/>
  <c r="AA161" i="4"/>
  <c r="Y161" i="4"/>
  <c r="X161" i="4"/>
  <c r="W161" i="4"/>
  <c r="V161" i="4"/>
  <c r="M161" i="4"/>
  <c r="U161" i="4" s="1"/>
  <c r="CY160" i="4"/>
  <c r="CW160" i="4"/>
  <c r="CY159" i="4"/>
  <c r="CW159" i="4"/>
  <c r="CT159" i="4"/>
  <c r="CY158" i="4"/>
  <c r="CW158" i="4"/>
  <c r="CY157" i="4"/>
  <c r="CW157" i="4"/>
  <c r="CT157" i="4"/>
  <c r="AF156" i="4"/>
  <c r="AC156" i="4"/>
  <c r="AB156" i="4"/>
  <c r="AA156" i="4"/>
  <c r="V156" i="4"/>
  <c r="AE156" i="4" s="1"/>
  <c r="AF155" i="4"/>
  <c r="AC155" i="4"/>
  <c r="Z155" i="4"/>
  <c r="V155" i="4"/>
  <c r="M155" i="4"/>
  <c r="AF154" i="4"/>
  <c r="AC154" i="4"/>
  <c r="Z154" i="4"/>
  <c r="V154" i="4"/>
  <c r="AF153" i="4"/>
  <c r="AC153" i="4"/>
  <c r="AB153" i="4"/>
  <c r="AA153" i="4"/>
  <c r="Z153" i="4"/>
  <c r="V153" i="4"/>
  <c r="BK152" i="4"/>
  <c r="BG152" i="4"/>
  <c r="BF152" i="4"/>
  <c r="BE152" i="4"/>
  <c r="BD152" i="4"/>
  <c r="AP152" i="4"/>
  <c r="AM152" i="4"/>
  <c r="AL152" i="4"/>
  <c r="AK152" i="4"/>
  <c r="AJ152" i="4"/>
  <c r="AI152" i="4"/>
  <c r="AF152" i="4"/>
  <c r="AC152" i="4"/>
  <c r="Z152" i="4"/>
  <c r="V152" i="4"/>
  <c r="BK151" i="4"/>
  <c r="BG151" i="4"/>
  <c r="BE151" i="4"/>
  <c r="BD151" i="4"/>
  <c r="AP151" i="4"/>
  <c r="AM151" i="4"/>
  <c r="AL151" i="4"/>
  <c r="AK151" i="4"/>
  <c r="AJ151" i="4"/>
  <c r="AI151" i="4"/>
  <c r="AF151" i="4"/>
  <c r="AC151" i="4"/>
  <c r="AB151" i="4"/>
  <c r="Z151" i="4"/>
  <c r="X151" i="4"/>
  <c r="V151" i="4"/>
  <c r="M151" i="4"/>
  <c r="T151" i="4" s="1"/>
  <c r="BG150" i="4"/>
  <c r="BE150" i="4"/>
  <c r="BD150" i="4"/>
  <c r="AR150" i="4"/>
  <c r="AP150" i="4"/>
  <c r="AL150" i="4"/>
  <c r="AK150" i="4"/>
  <c r="AJ150" i="4"/>
  <c r="AI150" i="4"/>
  <c r="AF150" i="4"/>
  <c r="AC150" i="4"/>
  <c r="AB150" i="4"/>
  <c r="AA150" i="4"/>
  <c r="Z150" i="4"/>
  <c r="X150" i="4"/>
  <c r="V150" i="4"/>
  <c r="M150" i="4"/>
  <c r="T150" i="4" s="1"/>
  <c r="BK149" i="4"/>
  <c r="BG149" i="4"/>
  <c r="BE149" i="4"/>
  <c r="BD149" i="4"/>
  <c r="AP149" i="4"/>
  <c r="AM149" i="4"/>
  <c r="AL149" i="4"/>
  <c r="AK149" i="4"/>
  <c r="AJ149" i="4"/>
  <c r="AI149" i="4"/>
  <c r="AF149" i="4"/>
  <c r="AC149" i="4"/>
  <c r="AB149" i="4"/>
  <c r="Z149" i="4"/>
  <c r="V149" i="4"/>
  <c r="AE149" i="4" s="1"/>
  <c r="M149" i="4"/>
  <c r="BK148" i="4"/>
  <c r="BG148" i="4"/>
  <c r="BE148" i="4"/>
  <c r="BD148" i="4"/>
  <c r="AP148" i="4"/>
  <c r="AM148" i="4"/>
  <c r="AL148" i="4"/>
  <c r="AK148" i="4"/>
  <c r="AJ148" i="4"/>
  <c r="AI148" i="4"/>
  <c r="AF148" i="4"/>
  <c r="AC148" i="4"/>
  <c r="AB148" i="4"/>
  <c r="Z148" i="4"/>
  <c r="V148" i="4"/>
  <c r="BK147" i="4"/>
  <c r="BG147" i="4"/>
  <c r="BE147" i="4"/>
  <c r="BD147" i="4"/>
  <c r="AP147" i="4"/>
  <c r="AM147" i="4"/>
  <c r="AL147" i="4"/>
  <c r="AK147" i="4"/>
  <c r="AJ147" i="4"/>
  <c r="AI147" i="4"/>
  <c r="AF147" i="4"/>
  <c r="AC147" i="4"/>
  <c r="AB147" i="4"/>
  <c r="AA147" i="4"/>
  <c r="Z147" i="4"/>
  <c r="V147" i="4"/>
  <c r="AP146" i="4"/>
  <c r="AM146" i="4"/>
  <c r="AL146" i="4"/>
  <c r="AK146" i="4"/>
  <c r="AJ146" i="4"/>
  <c r="AI146" i="4"/>
  <c r="AF146" i="4"/>
  <c r="AC146" i="4"/>
  <c r="AB146" i="4"/>
  <c r="Z146" i="4"/>
  <c r="X146" i="4"/>
  <c r="V146" i="4"/>
  <c r="BK145" i="4"/>
  <c r="BG145" i="4"/>
  <c r="BE145" i="4"/>
  <c r="BD145" i="4"/>
  <c r="AP145" i="4"/>
  <c r="AM145" i="4"/>
  <c r="AL145" i="4"/>
  <c r="AK145" i="4"/>
  <c r="AJ145" i="4"/>
  <c r="AI145" i="4"/>
  <c r="AF145" i="4"/>
  <c r="AC145" i="4"/>
  <c r="AB145" i="4"/>
  <c r="Z145" i="4"/>
  <c r="V145" i="4"/>
  <c r="AE145" i="4" s="1"/>
  <c r="N145" i="4"/>
  <c r="M145" i="4"/>
  <c r="BK144" i="4"/>
  <c r="BG144" i="4"/>
  <c r="BE144" i="4"/>
  <c r="BD144" i="4"/>
  <c r="AR144" i="4"/>
  <c r="AP144" i="4"/>
  <c r="AM144" i="4"/>
  <c r="AL144" i="4"/>
  <c r="AK144" i="4"/>
  <c r="AI144" i="4"/>
  <c r="AF144" i="4"/>
  <c r="AC144" i="4"/>
  <c r="AB144" i="4"/>
  <c r="Z144" i="4"/>
  <c r="AD144" i="4" s="1"/>
  <c r="V144" i="4"/>
  <c r="BK143" i="4"/>
  <c r="BG143" i="4"/>
  <c r="BE143" i="4"/>
  <c r="BD143" i="4"/>
  <c r="AP143" i="4"/>
  <c r="AM143" i="4"/>
  <c r="AL143" i="4"/>
  <c r="AK143" i="4"/>
  <c r="AJ143" i="4"/>
  <c r="AI143" i="4"/>
  <c r="AF143" i="4"/>
  <c r="AC143" i="4"/>
  <c r="Z143" i="4"/>
  <c r="V143" i="4"/>
  <c r="BK141" i="4"/>
  <c r="BG141" i="4"/>
  <c r="BF141" i="4"/>
  <c r="BE141" i="4"/>
  <c r="BD141" i="4"/>
  <c r="AP141" i="4"/>
  <c r="AM141" i="4"/>
  <c r="AL141" i="4"/>
  <c r="AK141" i="4"/>
  <c r="AJ141" i="4"/>
  <c r="AI141" i="4"/>
  <c r="AF141" i="4"/>
  <c r="AC141" i="4"/>
  <c r="V141" i="4"/>
  <c r="BK140" i="4"/>
  <c r="BG140" i="4"/>
  <c r="BE140" i="4"/>
  <c r="BD140" i="4"/>
  <c r="AR140" i="4"/>
  <c r="AP140" i="4"/>
  <c r="AM140" i="4"/>
  <c r="AL140" i="4"/>
  <c r="AK140" i="4"/>
  <c r="AJ140" i="4"/>
  <c r="AI140" i="4"/>
  <c r="AF140" i="4"/>
  <c r="AC140" i="4"/>
  <c r="V140" i="4"/>
  <c r="BK139" i="4"/>
  <c r="BG139" i="4"/>
  <c r="BE139" i="4"/>
  <c r="BD139" i="4"/>
  <c r="AR139" i="4"/>
  <c r="AP139" i="4"/>
  <c r="AM139" i="4"/>
  <c r="AL139" i="4"/>
  <c r="AK139" i="4"/>
  <c r="AJ139" i="4"/>
  <c r="AI139" i="4"/>
  <c r="AF139" i="4"/>
  <c r="AC139" i="4"/>
  <c r="AA139" i="4"/>
  <c r="Y139" i="4"/>
  <c r="V139" i="4"/>
  <c r="BK138" i="4"/>
  <c r="BG138" i="4"/>
  <c r="BE138" i="4"/>
  <c r="BD138" i="4"/>
  <c r="AP138" i="4"/>
  <c r="AM138" i="4"/>
  <c r="AL138" i="4"/>
  <c r="AK138" i="4"/>
  <c r="AJ138" i="4"/>
  <c r="AI138" i="4"/>
  <c r="AF138" i="4"/>
  <c r="AC138" i="4"/>
  <c r="AA138" i="4"/>
  <c r="AE138" i="4" s="1"/>
  <c r="V138" i="4"/>
  <c r="BK137" i="4"/>
  <c r="BG137" i="4"/>
  <c r="BF137" i="4"/>
  <c r="BE137" i="4"/>
  <c r="BD137" i="4"/>
  <c r="AR137" i="4"/>
  <c r="AQ137" i="4"/>
  <c r="AP137" i="4"/>
  <c r="AM137" i="4"/>
  <c r="AL137" i="4"/>
  <c r="AK137" i="4"/>
  <c r="AJ137" i="4"/>
  <c r="AI137" i="4"/>
  <c r="AF137" i="4"/>
  <c r="AC137" i="4"/>
  <c r="V137" i="4"/>
  <c r="BK136" i="4"/>
  <c r="BG136" i="4"/>
  <c r="BE136" i="4"/>
  <c r="BD136" i="4"/>
  <c r="AP136" i="4"/>
  <c r="AM136" i="4"/>
  <c r="AL136" i="4"/>
  <c r="AK136" i="4"/>
  <c r="AJ136" i="4"/>
  <c r="AI136" i="4"/>
  <c r="AC136" i="4"/>
  <c r="V136" i="4"/>
  <c r="AE136" i="4" s="1"/>
  <c r="BK135" i="4"/>
  <c r="BJ135" i="4"/>
  <c r="BG135" i="4"/>
  <c r="BE135" i="4"/>
  <c r="BD135" i="4"/>
  <c r="AR135" i="4"/>
  <c r="AQ135" i="4"/>
  <c r="AP135" i="4"/>
  <c r="AO135" i="4"/>
  <c r="AM135" i="4"/>
  <c r="AL135" i="4"/>
  <c r="AK135" i="4"/>
  <c r="AJ135" i="4"/>
  <c r="AI135" i="4"/>
  <c r="AF135" i="4"/>
  <c r="AC135" i="4"/>
  <c r="AA135" i="4"/>
  <c r="Y135" i="4"/>
  <c r="X135" i="4"/>
  <c r="W135" i="4"/>
  <c r="V135" i="4"/>
  <c r="M135" i="4"/>
  <c r="BK134" i="4"/>
  <c r="BG134" i="4"/>
  <c r="BE134" i="4"/>
  <c r="BD134" i="4"/>
  <c r="AR134" i="4"/>
  <c r="AP134" i="4"/>
  <c r="AM134" i="4"/>
  <c r="AL134" i="4"/>
  <c r="AK134" i="4"/>
  <c r="AJ134" i="4"/>
  <c r="AI134" i="4"/>
  <c r="AF134" i="4"/>
  <c r="AC134" i="4"/>
  <c r="Z134" i="4"/>
  <c r="Y134" i="4"/>
  <c r="V134" i="4"/>
  <c r="M134" i="4"/>
  <c r="U134" i="4" s="1"/>
  <c r="BK133" i="4"/>
  <c r="BG133" i="4"/>
  <c r="BE133" i="4"/>
  <c r="BD133" i="4"/>
  <c r="AP133" i="4"/>
  <c r="AM133" i="4"/>
  <c r="AL133" i="4"/>
  <c r="AK133" i="4"/>
  <c r="AJ133" i="4"/>
  <c r="AI133" i="4"/>
  <c r="AF133" i="4"/>
  <c r="AC133" i="4"/>
  <c r="Z133" i="4"/>
  <c r="V133" i="4"/>
  <c r="BK132" i="4"/>
  <c r="BG132" i="4"/>
  <c r="BE132" i="4"/>
  <c r="BD132" i="4"/>
  <c r="AP132" i="4"/>
  <c r="AM132" i="4"/>
  <c r="AL132" i="4"/>
  <c r="AK132" i="4"/>
  <c r="AJ132" i="4"/>
  <c r="AI132" i="4"/>
  <c r="AF132" i="4"/>
  <c r="AC132" i="4"/>
  <c r="AA132" i="4"/>
  <c r="Z132" i="4"/>
  <c r="V132" i="4"/>
  <c r="BK131" i="4"/>
  <c r="BG131" i="4"/>
  <c r="BE131" i="4"/>
  <c r="BD131" i="4"/>
  <c r="AP131" i="4"/>
  <c r="AM131" i="4"/>
  <c r="AL131" i="4"/>
  <c r="AK131" i="4"/>
  <c r="AJ131" i="4"/>
  <c r="AI131" i="4"/>
  <c r="AF131" i="4"/>
  <c r="AC131" i="4"/>
  <c r="Z131" i="4"/>
  <c r="V131" i="4"/>
  <c r="AE131" i="4" s="1"/>
  <c r="BK130" i="4"/>
  <c r="BG130" i="4"/>
  <c r="BE130" i="4"/>
  <c r="BD130" i="4"/>
  <c r="AP130" i="4"/>
  <c r="AM130" i="4"/>
  <c r="AL130" i="4"/>
  <c r="AK130" i="4"/>
  <c r="AJ130" i="4"/>
  <c r="AI130" i="4"/>
  <c r="AF130" i="4"/>
  <c r="AC130" i="4"/>
  <c r="V130" i="4"/>
  <c r="AE130" i="4" s="1"/>
  <c r="BK129" i="4"/>
  <c r="BG129" i="4"/>
  <c r="BE129" i="4"/>
  <c r="BD129" i="4"/>
  <c r="AR129" i="4"/>
  <c r="AP129" i="4"/>
  <c r="AM129" i="4"/>
  <c r="AL129" i="4"/>
  <c r="AK129" i="4"/>
  <c r="AJ129" i="4"/>
  <c r="AI129" i="4"/>
  <c r="AF129" i="4"/>
  <c r="AC129" i="4"/>
  <c r="V129" i="4"/>
  <c r="M129" i="4"/>
  <c r="CH127" i="4"/>
  <c r="CG127" i="4"/>
  <c r="CF127" i="4"/>
  <c r="CE127" i="4"/>
  <c r="CA127" i="4"/>
  <c r="BW127" i="4"/>
  <c r="BV127" i="4"/>
  <c r="BU127" i="4"/>
  <c r="BK127" i="4"/>
  <c r="BG127" i="4"/>
  <c r="BE127" i="4"/>
  <c r="BD127" i="4"/>
  <c r="AR127" i="4"/>
  <c r="AP127" i="4"/>
  <c r="AM127" i="4"/>
  <c r="AL127" i="4"/>
  <c r="AK127" i="4"/>
  <c r="AJ127" i="4"/>
  <c r="AI127" i="4"/>
  <c r="Z127" i="4"/>
  <c r="V127" i="4"/>
  <c r="AE127" i="4" s="1"/>
  <c r="CH126" i="4"/>
  <c r="CG126" i="4"/>
  <c r="CF126" i="4"/>
  <c r="CC126" i="4"/>
  <c r="CB126" i="4"/>
  <c r="CA126" i="4"/>
  <c r="BW126" i="4"/>
  <c r="BV126" i="4"/>
  <c r="BU126" i="4"/>
  <c r="BS126" i="4"/>
  <c r="BM126" i="4"/>
  <c r="BK126" i="4"/>
  <c r="BG126" i="4"/>
  <c r="BE126" i="4"/>
  <c r="BD126" i="4"/>
  <c r="AR126" i="4"/>
  <c r="AP126" i="4"/>
  <c r="AO126" i="4"/>
  <c r="AM126" i="4"/>
  <c r="AL126" i="4"/>
  <c r="AK126" i="4"/>
  <c r="AJ126" i="4"/>
  <c r="AI126" i="4"/>
  <c r="AF126" i="4"/>
  <c r="AB126" i="4"/>
  <c r="AA126" i="4"/>
  <c r="Z126" i="4"/>
  <c r="X126" i="4"/>
  <c r="V126" i="4"/>
  <c r="CH125" i="4"/>
  <c r="CG125" i="4"/>
  <c r="CF125" i="4"/>
  <c r="CA125" i="4"/>
  <c r="BW125" i="4"/>
  <c r="BS125" i="4"/>
  <c r="BK125" i="4"/>
  <c r="BG125" i="4"/>
  <c r="BE125" i="4"/>
  <c r="BD125" i="4"/>
  <c r="AP125" i="4"/>
  <c r="AM125" i="4"/>
  <c r="AL125" i="4"/>
  <c r="AK125" i="4"/>
  <c r="AJ125" i="4"/>
  <c r="AI125" i="4"/>
  <c r="V125" i="4"/>
  <c r="AE125" i="4" s="1"/>
  <c r="CH124" i="4"/>
  <c r="CG124" i="4"/>
  <c r="CF124" i="4"/>
  <c r="CD124" i="4"/>
  <c r="CC124" i="4"/>
  <c r="CA124" i="4"/>
  <c r="BW124" i="4"/>
  <c r="BV124" i="4"/>
  <c r="BU124" i="4"/>
  <c r="BS124" i="4"/>
  <c r="BK124" i="4"/>
  <c r="BG124" i="4"/>
  <c r="BE124" i="4"/>
  <c r="BD124" i="4"/>
  <c r="AR124" i="4"/>
  <c r="AP124" i="4"/>
  <c r="AM124" i="4"/>
  <c r="AL124" i="4"/>
  <c r="AK124" i="4"/>
  <c r="AJ124" i="4"/>
  <c r="AI124" i="4"/>
  <c r="AF124" i="4"/>
  <c r="AA124" i="4"/>
  <c r="V124" i="4"/>
  <c r="AE124" i="4" s="1"/>
  <c r="CH123" i="4"/>
  <c r="CG123" i="4"/>
  <c r="CF123" i="4"/>
  <c r="CD123" i="4"/>
  <c r="CC123" i="4"/>
  <c r="CB123" i="4"/>
  <c r="CA123" i="4"/>
  <c r="BW123" i="4"/>
  <c r="BV123" i="4"/>
  <c r="BU123" i="4"/>
  <c r="BS123" i="4"/>
  <c r="BK123" i="4"/>
  <c r="BG123" i="4"/>
  <c r="BE123" i="4"/>
  <c r="BD123" i="4"/>
  <c r="AP123" i="4"/>
  <c r="AM123" i="4"/>
  <c r="AL123" i="4"/>
  <c r="AJ123" i="4"/>
  <c r="AI123" i="4"/>
  <c r="AF123" i="4"/>
  <c r="AB123" i="4"/>
  <c r="AA123" i="4"/>
  <c r="Z123" i="4"/>
  <c r="V123" i="4"/>
  <c r="CH122" i="4"/>
  <c r="CG122" i="4"/>
  <c r="CF122" i="4"/>
  <c r="CD122" i="4"/>
  <c r="CC122" i="4"/>
  <c r="CB122" i="4"/>
  <c r="CA122" i="4"/>
  <c r="BW122" i="4"/>
  <c r="BV122" i="4"/>
  <c r="BU122" i="4"/>
  <c r="BS122" i="4"/>
  <c r="BQ122" i="4"/>
  <c r="BK122" i="4"/>
  <c r="BG122" i="4"/>
  <c r="BE122" i="4"/>
  <c r="BD122" i="4"/>
  <c r="AP122" i="4"/>
  <c r="AM122" i="4"/>
  <c r="AL122" i="4"/>
  <c r="AK122" i="4"/>
  <c r="AJ122" i="4"/>
  <c r="AI122" i="4"/>
  <c r="AF122" i="4"/>
  <c r="CH121" i="4"/>
  <c r="CG121" i="4"/>
  <c r="CF121" i="4"/>
  <c r="CE121" i="4"/>
  <c r="CD121" i="4"/>
  <c r="CC121" i="4"/>
  <c r="CB121" i="4"/>
  <c r="CA121" i="4"/>
  <c r="BW121" i="4"/>
  <c r="BV121" i="4"/>
  <c r="BU121" i="4"/>
  <c r="BS121" i="4"/>
  <c r="BG121" i="4"/>
  <c r="BE121" i="4"/>
  <c r="BD121" i="4"/>
  <c r="AR121" i="4"/>
  <c r="AP121" i="4"/>
  <c r="AM121" i="4"/>
  <c r="AL121" i="4"/>
  <c r="AK121" i="4"/>
  <c r="AJ121" i="4"/>
  <c r="AI121" i="4"/>
  <c r="AF121" i="4"/>
  <c r="AA121" i="4"/>
  <c r="X121" i="4"/>
  <c r="V121" i="4"/>
  <c r="AE121" i="4" s="1"/>
  <c r="CH120" i="4"/>
  <c r="CG120" i="4"/>
  <c r="CF120" i="4"/>
  <c r="CC120" i="4"/>
  <c r="CB120" i="4"/>
  <c r="CA120" i="4"/>
  <c r="BW120" i="4"/>
  <c r="BV120" i="4"/>
  <c r="BU120" i="4"/>
  <c r="BS120" i="4"/>
  <c r="BK120" i="4"/>
  <c r="BG120" i="4"/>
  <c r="BE120" i="4"/>
  <c r="BD120" i="4"/>
  <c r="AP120" i="4"/>
  <c r="AM120" i="4"/>
  <c r="AL120" i="4"/>
  <c r="AK120" i="4"/>
  <c r="AJ120" i="4"/>
  <c r="AI120" i="4"/>
  <c r="AF120" i="4"/>
  <c r="Z120" i="4"/>
  <c r="V120" i="4"/>
  <c r="CH119" i="4"/>
  <c r="CG119" i="4"/>
  <c r="CF119" i="4"/>
  <c r="CD119" i="4"/>
  <c r="CC119" i="4"/>
  <c r="CB119" i="4"/>
  <c r="CA119" i="4"/>
  <c r="BW119" i="4"/>
  <c r="BV119" i="4"/>
  <c r="BU119" i="4"/>
  <c r="BS119" i="4"/>
  <c r="BG119" i="4"/>
  <c r="BE119" i="4"/>
  <c r="BD119" i="4"/>
  <c r="AP119" i="4"/>
  <c r="AM119" i="4"/>
  <c r="AL119" i="4"/>
  <c r="AJ119" i="4"/>
  <c r="AI119" i="4"/>
  <c r="AF119" i="4"/>
  <c r="Z119" i="4"/>
  <c r="V119" i="4"/>
  <c r="CH118" i="4"/>
  <c r="CG118" i="4"/>
  <c r="CF118" i="4"/>
  <c r="CA118" i="4"/>
  <c r="BU118" i="4"/>
  <c r="BS118" i="4"/>
  <c r="BK118" i="4"/>
  <c r="BG118" i="4"/>
  <c r="BE118" i="4"/>
  <c r="BD118" i="4"/>
  <c r="AP118" i="4"/>
  <c r="AM118" i="4"/>
  <c r="AL118" i="4"/>
  <c r="AJ118" i="4"/>
  <c r="AI118" i="4"/>
  <c r="AF118" i="4"/>
  <c r="AB118" i="4"/>
  <c r="Z118" i="4"/>
  <c r="V118" i="4"/>
  <c r="AE118" i="4" s="1"/>
  <c r="CH117" i="4"/>
  <c r="CG117" i="4"/>
  <c r="CF117" i="4"/>
  <c r="CC117" i="4"/>
  <c r="CA117" i="4"/>
  <c r="BS117" i="4"/>
  <c r="BK117" i="4"/>
  <c r="BG117" i="4"/>
  <c r="BD117" i="4"/>
  <c r="AP117" i="4"/>
  <c r="AM117" i="4"/>
  <c r="AL117" i="4"/>
  <c r="AK117" i="4"/>
  <c r="AJ117" i="4"/>
  <c r="AI117" i="4"/>
  <c r="AF117" i="4"/>
  <c r="V117" i="4"/>
  <c r="CH116" i="4"/>
  <c r="CG116" i="4"/>
  <c r="CF116" i="4"/>
  <c r="CC116" i="4"/>
  <c r="CB116" i="4"/>
  <c r="CA116" i="4"/>
  <c r="BW116" i="4"/>
  <c r="BV116" i="4"/>
  <c r="BS116" i="4"/>
  <c r="BK116" i="4"/>
  <c r="BG116" i="4"/>
  <c r="BE116" i="4"/>
  <c r="BD116" i="4"/>
  <c r="AP116" i="4"/>
  <c r="AM116" i="4"/>
  <c r="AL116" i="4"/>
  <c r="AK116" i="4"/>
  <c r="AJ116" i="4"/>
  <c r="AI116" i="4"/>
  <c r="AF116" i="4"/>
  <c r="AA116" i="4"/>
  <c r="AE116" i="4" s="1"/>
  <c r="V116" i="4"/>
  <c r="CH114" i="4"/>
  <c r="CG114" i="4"/>
  <c r="CF114" i="4"/>
  <c r="CD114" i="4"/>
  <c r="CB114" i="4"/>
  <c r="CA114" i="4"/>
  <c r="BZ114" i="4"/>
  <c r="BX114" i="4"/>
  <c r="BW114" i="4"/>
  <c r="BV114" i="4"/>
  <c r="BR114" i="4"/>
  <c r="BK114" i="4"/>
  <c r="BG114" i="4"/>
  <c r="BF114" i="4"/>
  <c r="BE114" i="4"/>
  <c r="BD114" i="4"/>
  <c r="AP114" i="4"/>
  <c r="AO114" i="4"/>
  <c r="AN114" i="4"/>
  <c r="AM114" i="4"/>
  <c r="AL114" i="4"/>
  <c r="AK114" i="4"/>
  <c r="AJ114" i="4"/>
  <c r="AI114" i="4"/>
  <c r="AC114" i="4"/>
  <c r="AB114" i="4"/>
  <c r="AA114" i="4"/>
  <c r="Z114" i="4"/>
  <c r="V114" i="4"/>
  <c r="M114" i="4"/>
  <c r="CH113" i="4"/>
  <c r="CG113" i="4"/>
  <c r="CF113" i="4"/>
  <c r="CD113" i="4"/>
  <c r="CA113" i="4"/>
  <c r="BW113" i="4"/>
  <c r="BV113" i="4"/>
  <c r="BS113" i="4"/>
  <c r="BQ113" i="4"/>
  <c r="BK113" i="4"/>
  <c r="BG113" i="4"/>
  <c r="BE113" i="4"/>
  <c r="BD113" i="4"/>
  <c r="AP113" i="4"/>
  <c r="AM113" i="4"/>
  <c r="AK113" i="4"/>
  <c r="AJ113" i="4"/>
  <c r="AI113" i="4"/>
  <c r="AC113" i="4"/>
  <c r="Z113" i="4"/>
  <c r="V113" i="4"/>
  <c r="CH112" i="4"/>
  <c r="CG112" i="4"/>
  <c r="CF112" i="4"/>
  <c r="CD112" i="4"/>
  <c r="CC112" i="4"/>
  <c r="CB112" i="4"/>
  <c r="CA112" i="4"/>
  <c r="BZ112" i="4"/>
  <c r="BX112" i="4"/>
  <c r="BW112" i="4"/>
  <c r="BV112" i="4"/>
  <c r="BS112" i="4"/>
  <c r="BQ112" i="4"/>
  <c r="BK112" i="4"/>
  <c r="BH112" i="4"/>
  <c r="BG112" i="4"/>
  <c r="BE112" i="4"/>
  <c r="BD112" i="4"/>
  <c r="AQ112" i="4"/>
  <c r="AP112" i="4"/>
  <c r="AO112" i="4"/>
  <c r="AN112" i="4"/>
  <c r="AM112" i="4"/>
  <c r="AL112" i="4"/>
  <c r="AK112" i="4"/>
  <c r="AJ112" i="4"/>
  <c r="AI112" i="4"/>
  <c r="AF112" i="4"/>
  <c r="AC112" i="4"/>
  <c r="AB112" i="4"/>
  <c r="AE112" i="4" s="1"/>
  <c r="AA112" i="4"/>
  <c r="Z112" i="4"/>
  <c r="Y112" i="4"/>
  <c r="X112" i="4"/>
  <c r="V112" i="4"/>
  <c r="CH111" i="4"/>
  <c r="CG111" i="4"/>
  <c r="CD111" i="4"/>
  <c r="CC111" i="4"/>
  <c r="CA111" i="4"/>
  <c r="BZ111" i="4"/>
  <c r="BX111" i="4"/>
  <c r="BW111" i="4"/>
  <c r="BV111" i="4"/>
  <c r="BS111" i="4"/>
  <c r="BQ111" i="4"/>
  <c r="BK111" i="4"/>
  <c r="BH111" i="4"/>
  <c r="BG111" i="4"/>
  <c r="BE111" i="4"/>
  <c r="BD111" i="4"/>
  <c r="AP111" i="4"/>
  <c r="AM111" i="4"/>
  <c r="AL111" i="4"/>
  <c r="AK111" i="4"/>
  <c r="AJ111" i="4"/>
  <c r="AI111" i="4"/>
  <c r="AC111" i="4"/>
  <c r="V111" i="4"/>
  <c r="CH110" i="4"/>
  <c r="CG110" i="4"/>
  <c r="CF110" i="4"/>
  <c r="CD110" i="4"/>
  <c r="CA110" i="4"/>
  <c r="BX110" i="4"/>
  <c r="BW110" i="4"/>
  <c r="BV110" i="4"/>
  <c r="BS110" i="4"/>
  <c r="BR110" i="4"/>
  <c r="BQ110" i="4"/>
  <c r="BK110" i="4"/>
  <c r="BG110" i="4"/>
  <c r="BF110" i="4"/>
  <c r="BE110" i="4"/>
  <c r="BD110" i="4"/>
  <c r="AQ110" i="4"/>
  <c r="AP110" i="4"/>
  <c r="AO110" i="4"/>
  <c r="AM110" i="4"/>
  <c r="AL110" i="4"/>
  <c r="AK110" i="4"/>
  <c r="AJ110" i="4"/>
  <c r="AI110" i="4"/>
  <c r="AC110" i="4"/>
  <c r="AA110" i="4"/>
  <c r="V110" i="4"/>
  <c r="AE110" i="4" s="1"/>
  <c r="CH109" i="4"/>
  <c r="CG109" i="4"/>
  <c r="CF109" i="4"/>
  <c r="CD109" i="4"/>
  <c r="CC109" i="4"/>
  <c r="CB109" i="4"/>
  <c r="CA109" i="4"/>
  <c r="BZ109" i="4"/>
  <c r="BY109" i="4"/>
  <c r="BX109" i="4"/>
  <c r="BW109" i="4"/>
  <c r="BV109" i="4"/>
  <c r="BS109" i="4"/>
  <c r="BK109" i="4"/>
  <c r="BE109" i="4"/>
  <c r="BD109" i="4"/>
  <c r="AP109" i="4"/>
  <c r="AO109" i="4"/>
  <c r="AN109" i="4"/>
  <c r="AM109" i="4"/>
  <c r="AK109" i="4"/>
  <c r="AJ109" i="4"/>
  <c r="AI109" i="4"/>
  <c r="AC109" i="4"/>
  <c r="AA109" i="4"/>
  <c r="Z109" i="4"/>
  <c r="V109" i="4"/>
  <c r="CH108" i="4"/>
  <c r="CG108" i="4"/>
  <c r="CF108" i="4"/>
  <c r="CC108" i="4"/>
  <c r="CB108" i="4"/>
  <c r="CA108" i="4"/>
  <c r="BW108" i="4"/>
  <c r="BV108" i="4"/>
  <c r="BK108" i="4"/>
  <c r="BG108" i="4"/>
  <c r="BE108" i="4"/>
  <c r="BD108" i="4"/>
  <c r="AP108" i="4"/>
  <c r="AO108" i="4"/>
  <c r="AM108" i="4"/>
  <c r="AK108" i="4"/>
  <c r="AJ108" i="4"/>
  <c r="AI108" i="4"/>
  <c r="AC108" i="4"/>
  <c r="V108" i="4"/>
  <c r="AE108" i="4" s="1"/>
  <c r="CH107" i="4"/>
  <c r="CG107" i="4"/>
  <c r="CF107" i="4"/>
  <c r="CD107" i="4"/>
  <c r="CC107" i="4"/>
  <c r="CB107" i="4"/>
  <c r="CA107" i="4"/>
  <c r="BZ107" i="4"/>
  <c r="BX107" i="4"/>
  <c r="BW107" i="4"/>
  <c r="BV107" i="4"/>
  <c r="BS107" i="4"/>
  <c r="BR107" i="4"/>
  <c r="BQ107" i="4"/>
  <c r="BK107" i="4"/>
  <c r="BH107" i="4"/>
  <c r="BG107" i="4"/>
  <c r="BE107" i="4"/>
  <c r="BD107" i="4"/>
  <c r="AP107" i="4"/>
  <c r="AM107" i="4"/>
  <c r="AL107" i="4"/>
  <c r="AK107" i="4"/>
  <c r="AJ107" i="4"/>
  <c r="AI107" i="4"/>
  <c r="AC107" i="4"/>
  <c r="Z107" i="4"/>
  <c r="V107" i="4"/>
  <c r="M107" i="4"/>
  <c r="CH106" i="4"/>
  <c r="CG106" i="4"/>
  <c r="CF106" i="4"/>
  <c r="CD106" i="4"/>
  <c r="CC106" i="4"/>
  <c r="CB106" i="4"/>
  <c r="CA106" i="4"/>
  <c r="BW106" i="4"/>
  <c r="BV106" i="4"/>
  <c r="BR106" i="4"/>
  <c r="BK106" i="4"/>
  <c r="BH106" i="4"/>
  <c r="BG106" i="4"/>
  <c r="BE106" i="4"/>
  <c r="BD106" i="4"/>
  <c r="AP106" i="4"/>
  <c r="AO106" i="4"/>
  <c r="AM106" i="4"/>
  <c r="AK106" i="4"/>
  <c r="AJ106" i="4"/>
  <c r="AI106" i="4"/>
  <c r="AC106" i="4"/>
  <c r="Z106" i="4"/>
  <c r="V106" i="4"/>
  <c r="CH105" i="4"/>
  <c r="CG105" i="4"/>
  <c r="CF105" i="4"/>
  <c r="CD105" i="4"/>
  <c r="CC105" i="4"/>
  <c r="CB105" i="4"/>
  <c r="CA105" i="4"/>
  <c r="BW105" i="4"/>
  <c r="BV105" i="4"/>
  <c r="BS105" i="4"/>
  <c r="BK105" i="4"/>
  <c r="BH105" i="4"/>
  <c r="BG105" i="4"/>
  <c r="BE105" i="4"/>
  <c r="BD105" i="4"/>
  <c r="AP105" i="4"/>
  <c r="AO105" i="4"/>
  <c r="AM105" i="4"/>
  <c r="AL105" i="4"/>
  <c r="AK105" i="4"/>
  <c r="AJ105" i="4"/>
  <c r="AI105" i="4"/>
  <c r="AC105" i="4"/>
  <c r="Z105" i="4"/>
  <c r="V105" i="4"/>
  <c r="AE105" i="4" s="1"/>
  <c r="M105" i="4"/>
  <c r="U105" i="4" s="1"/>
  <c r="CH104" i="4"/>
  <c r="CG104" i="4"/>
  <c r="CF104" i="4"/>
  <c r="CD104" i="4"/>
  <c r="CB104" i="4"/>
  <c r="CA104" i="4"/>
  <c r="BX104" i="4"/>
  <c r="BW104" i="4"/>
  <c r="BV104" i="4"/>
  <c r="BS104" i="4"/>
  <c r="BR104" i="4"/>
  <c r="BK104" i="4"/>
  <c r="BH104" i="4"/>
  <c r="BG104" i="4"/>
  <c r="BE104" i="4"/>
  <c r="BD104" i="4"/>
  <c r="AP104" i="4"/>
  <c r="AO104" i="4"/>
  <c r="AN104" i="4"/>
  <c r="AM104" i="4"/>
  <c r="AL104" i="4"/>
  <c r="AK104" i="4"/>
  <c r="AJ104" i="4"/>
  <c r="AI104" i="4"/>
  <c r="AC104" i="4"/>
  <c r="AA104" i="4"/>
  <c r="Z104" i="4"/>
  <c r="V104" i="4"/>
  <c r="CH103" i="4"/>
  <c r="CG103" i="4"/>
  <c r="CF103" i="4"/>
  <c r="CC103" i="4"/>
  <c r="CA103" i="4"/>
  <c r="BX103" i="4"/>
  <c r="BV103" i="4"/>
  <c r="BS103" i="4"/>
  <c r="BQ103" i="4"/>
  <c r="BG103" i="4"/>
  <c r="BE103" i="4"/>
  <c r="BD103" i="4"/>
  <c r="AP103" i="4"/>
  <c r="AO103" i="4"/>
  <c r="AN103" i="4"/>
  <c r="AM103" i="4"/>
  <c r="AL103" i="4"/>
  <c r="AK103" i="4"/>
  <c r="AJ103" i="4"/>
  <c r="AI103" i="4"/>
  <c r="AC103" i="4"/>
  <c r="AA103" i="4"/>
  <c r="AE103" i="4" s="1"/>
  <c r="Z103" i="4"/>
  <c r="V103" i="4"/>
  <c r="CH102" i="4"/>
  <c r="CG102" i="4"/>
  <c r="CF102" i="4"/>
  <c r="CD102" i="4"/>
  <c r="CA102" i="4"/>
  <c r="BX102" i="4"/>
  <c r="BW102" i="4"/>
  <c r="BV102" i="4"/>
  <c r="BS102" i="4"/>
  <c r="BR102" i="4"/>
  <c r="BO102" i="4"/>
  <c r="BK102" i="4"/>
  <c r="BH102" i="4"/>
  <c r="BG102" i="4"/>
  <c r="BE102" i="4"/>
  <c r="BD102" i="4"/>
  <c r="AP102" i="4"/>
  <c r="AO102" i="4"/>
  <c r="AM102" i="4"/>
  <c r="AK102" i="4"/>
  <c r="AJ102" i="4"/>
  <c r="AI102" i="4"/>
  <c r="AC102" i="4"/>
  <c r="AB102" i="4"/>
  <c r="AA102" i="4"/>
  <c r="V102" i="4"/>
  <c r="AR100" i="4"/>
  <c r="AQ100" i="4"/>
  <c r="AP100" i="4"/>
  <c r="AO100" i="4"/>
  <c r="AN100" i="4"/>
  <c r="AM100" i="4"/>
  <c r="AL100" i="4"/>
  <c r="AK100" i="4"/>
  <c r="AJ100" i="4"/>
  <c r="AI100" i="4"/>
  <c r="AH100" i="4"/>
  <c r="AF100" i="4"/>
  <c r="AB100" i="4"/>
  <c r="AA100" i="4"/>
  <c r="Z100" i="4"/>
  <c r="X100" i="4"/>
  <c r="V100" i="4"/>
  <c r="N100" i="4"/>
  <c r="M100" i="4"/>
  <c r="AR99" i="4"/>
  <c r="AQ99" i="4"/>
  <c r="AP99" i="4"/>
  <c r="AO99" i="4"/>
  <c r="AN99" i="4"/>
  <c r="AM99" i="4"/>
  <c r="AL99" i="4"/>
  <c r="AK99" i="4"/>
  <c r="AJ99" i="4"/>
  <c r="AI99" i="4"/>
  <c r="AF99" i="4"/>
  <c r="AC99" i="4"/>
  <c r="AB99" i="4"/>
  <c r="AA99" i="4"/>
  <c r="Z99" i="4"/>
  <c r="V99" i="4"/>
  <c r="M99" i="4"/>
  <c r="U99" i="4" s="1"/>
  <c r="AR98" i="4"/>
  <c r="AP98" i="4"/>
  <c r="AO98" i="4"/>
  <c r="AM98" i="4"/>
  <c r="AL98" i="4"/>
  <c r="AK98" i="4"/>
  <c r="AJ98" i="4"/>
  <c r="AI98" i="4"/>
  <c r="AF98" i="4"/>
  <c r="AB98" i="4"/>
  <c r="AA98" i="4"/>
  <c r="Z98" i="4"/>
  <c r="V98" i="4"/>
  <c r="M98" i="4"/>
  <c r="U98" i="4" s="1"/>
  <c r="AR97" i="4"/>
  <c r="AQ97" i="4"/>
  <c r="AP97" i="4"/>
  <c r="AO97" i="4"/>
  <c r="AN97" i="4"/>
  <c r="AM97" i="4"/>
  <c r="AL97" i="4"/>
  <c r="AK97" i="4"/>
  <c r="AJ97" i="4"/>
  <c r="AI97" i="4"/>
  <c r="AF97" i="4"/>
  <c r="AC97" i="4"/>
  <c r="AB97" i="4"/>
  <c r="AA97" i="4"/>
  <c r="Z97" i="4"/>
  <c r="V97" i="4"/>
  <c r="AE97" i="4" s="1"/>
  <c r="M97" i="4"/>
  <c r="U97" i="4" s="1"/>
  <c r="AR96" i="4"/>
  <c r="AP96" i="4"/>
  <c r="AM96" i="4"/>
  <c r="AL96" i="4"/>
  <c r="AK96" i="4"/>
  <c r="AJ96" i="4"/>
  <c r="AI96" i="4"/>
  <c r="V96" i="4"/>
  <c r="AR95" i="4"/>
  <c r="AP95" i="4"/>
  <c r="AO95" i="4"/>
  <c r="AM95" i="4"/>
  <c r="AL95" i="4"/>
  <c r="AK95" i="4"/>
  <c r="AJ95" i="4"/>
  <c r="AI95" i="4"/>
  <c r="AF95" i="4"/>
  <c r="AC95" i="4"/>
  <c r="Z95" i="4"/>
  <c r="V95" i="4"/>
  <c r="M95" i="4"/>
  <c r="AR94" i="4"/>
  <c r="AP94" i="4"/>
  <c r="AO94" i="4"/>
  <c r="AM94" i="4"/>
  <c r="AL94" i="4"/>
  <c r="AK94" i="4"/>
  <c r="AJ94" i="4"/>
  <c r="AI94" i="4"/>
  <c r="AF94" i="4"/>
  <c r="AC94" i="4"/>
  <c r="V94" i="4"/>
  <c r="AE94" i="4" s="1"/>
  <c r="AR93" i="4"/>
  <c r="AP93" i="4"/>
  <c r="AO93" i="4"/>
  <c r="AM93" i="4"/>
  <c r="AL93" i="4"/>
  <c r="AK93" i="4"/>
  <c r="AJ93" i="4"/>
  <c r="AI93" i="4"/>
  <c r="AF93" i="4"/>
  <c r="AC93" i="4"/>
  <c r="AB93" i="4"/>
  <c r="AA93" i="4"/>
  <c r="V93" i="4"/>
  <c r="M93" i="4"/>
  <c r="AR92" i="4"/>
  <c r="AP92" i="4"/>
  <c r="AM92" i="4"/>
  <c r="AL92" i="4"/>
  <c r="AK92" i="4"/>
  <c r="AJ92" i="4"/>
  <c r="AI92" i="4"/>
  <c r="AF92" i="4"/>
  <c r="AC92" i="4"/>
  <c r="Z92" i="4"/>
  <c r="V92" i="4"/>
  <c r="AE92" i="4" s="1"/>
  <c r="AP91" i="4"/>
  <c r="AM91" i="4"/>
  <c r="AL91" i="4"/>
  <c r="AK91" i="4"/>
  <c r="AJ91" i="4"/>
  <c r="AI91" i="4"/>
  <c r="AC91" i="4"/>
  <c r="AB91" i="4"/>
  <c r="AA91" i="4"/>
  <c r="Z91" i="4"/>
  <c r="X91" i="4"/>
  <c r="V91" i="4"/>
  <c r="AR90" i="4"/>
  <c r="AP90" i="4"/>
  <c r="AM90" i="4"/>
  <c r="AL90" i="4"/>
  <c r="AK90" i="4"/>
  <c r="AJ90" i="4"/>
  <c r="AI90" i="4"/>
  <c r="AF90" i="4"/>
  <c r="AC90" i="4"/>
  <c r="AB90" i="4"/>
  <c r="AE90" i="4" s="1"/>
  <c r="AA90" i="4"/>
  <c r="Z90" i="4"/>
  <c r="V90" i="4"/>
  <c r="M90" i="4"/>
  <c r="AR89" i="4"/>
  <c r="AP89" i="4"/>
  <c r="AM89" i="4"/>
  <c r="AL89" i="4"/>
  <c r="AK89" i="4"/>
  <c r="AJ89" i="4"/>
  <c r="AI89" i="4"/>
  <c r="AC89" i="4"/>
  <c r="AB89" i="4"/>
  <c r="AA89" i="4"/>
  <c r="V89" i="4"/>
  <c r="AR88" i="4"/>
  <c r="AQ88" i="4"/>
  <c r="AP88" i="4"/>
  <c r="AO88" i="4"/>
  <c r="AM88" i="4"/>
  <c r="AL88" i="4"/>
  <c r="AK88" i="4"/>
  <c r="AJ88" i="4"/>
  <c r="AI88" i="4"/>
  <c r="AF88" i="4"/>
  <c r="AC88" i="4"/>
  <c r="AB88" i="4"/>
  <c r="AA88" i="4"/>
  <c r="Y88" i="4"/>
  <c r="X88" i="4"/>
  <c r="W88" i="4"/>
  <c r="V88" i="4"/>
  <c r="AP87" i="4"/>
  <c r="AM87" i="4"/>
  <c r="AL87" i="4"/>
  <c r="AK87" i="4"/>
  <c r="AJ87" i="4"/>
  <c r="AI87" i="4"/>
  <c r="AF87" i="4"/>
  <c r="AC87" i="4"/>
  <c r="AB87" i="4"/>
  <c r="AA87" i="4"/>
  <c r="AE87" i="4" s="1"/>
  <c r="V87" i="4"/>
  <c r="AR86" i="4"/>
  <c r="AP86" i="4"/>
  <c r="AO86" i="4"/>
  <c r="AM86" i="4"/>
  <c r="AL86" i="4"/>
  <c r="AK86" i="4"/>
  <c r="AJ86" i="4"/>
  <c r="AI86" i="4"/>
  <c r="AC86" i="4"/>
  <c r="AB86" i="4"/>
  <c r="AA86" i="4"/>
  <c r="Z86" i="4"/>
  <c r="V86" i="4"/>
  <c r="AR85" i="4"/>
  <c r="AP85" i="4"/>
  <c r="AO85" i="4"/>
  <c r="AM85" i="4"/>
  <c r="AL85" i="4"/>
  <c r="AK85" i="4"/>
  <c r="AJ85" i="4"/>
  <c r="AI85" i="4"/>
  <c r="AF85" i="4"/>
  <c r="AC85" i="4"/>
  <c r="Z85" i="4"/>
  <c r="V85" i="4"/>
  <c r="AR84" i="4"/>
  <c r="AP84" i="4"/>
  <c r="AO84" i="4"/>
  <c r="AM84" i="4"/>
  <c r="AL84" i="4"/>
  <c r="AK84" i="4"/>
  <c r="AJ84" i="4"/>
  <c r="AI84" i="4"/>
  <c r="AF84" i="4"/>
  <c r="AC84" i="4"/>
  <c r="AA84" i="4"/>
  <c r="Z84" i="4"/>
  <c r="V84" i="4"/>
  <c r="AR83" i="4"/>
  <c r="AP83" i="4"/>
  <c r="AM83" i="4"/>
  <c r="AL83" i="4"/>
  <c r="AK83" i="4"/>
  <c r="AJ83" i="4"/>
  <c r="AI83" i="4"/>
  <c r="AF83" i="4"/>
  <c r="AC83" i="4"/>
  <c r="AA83" i="4"/>
  <c r="Z83" i="4"/>
  <c r="X83" i="4"/>
  <c r="V83" i="4"/>
  <c r="AR82" i="4"/>
  <c r="AP82" i="4"/>
  <c r="AO82" i="4"/>
  <c r="AM82" i="4"/>
  <c r="AL82" i="4"/>
  <c r="AK82" i="4"/>
  <c r="AJ82" i="4"/>
  <c r="AI82" i="4"/>
  <c r="AF82" i="4"/>
  <c r="AC82" i="4"/>
  <c r="AA82" i="4"/>
  <c r="Z82" i="4"/>
  <c r="V82" i="4"/>
  <c r="AE82" i="4" s="1"/>
  <c r="AR81" i="4"/>
  <c r="AP81" i="4"/>
  <c r="AM81" i="4"/>
  <c r="AL81" i="4"/>
  <c r="AK81" i="4"/>
  <c r="AJ81" i="4"/>
  <c r="AI81" i="4"/>
  <c r="AF81" i="4"/>
  <c r="AC81" i="4"/>
  <c r="AB81" i="4"/>
  <c r="AA81" i="4"/>
  <c r="Z81" i="4"/>
  <c r="X81" i="4"/>
  <c r="V81" i="4"/>
  <c r="M81" i="4"/>
  <c r="U81" i="4" s="1"/>
  <c r="AR80" i="4"/>
  <c r="AP80" i="4"/>
  <c r="AO80" i="4"/>
  <c r="AM80" i="4"/>
  <c r="AL80" i="4"/>
  <c r="AK80" i="4"/>
  <c r="AJ80" i="4"/>
  <c r="AI80" i="4"/>
  <c r="AC80" i="4"/>
  <c r="AB80" i="4"/>
  <c r="AA80" i="4"/>
  <c r="Z80" i="4"/>
  <c r="X80" i="4"/>
  <c r="V80" i="4"/>
  <c r="AR79" i="4"/>
  <c r="AP79" i="4"/>
  <c r="AO79" i="4"/>
  <c r="AM79" i="4"/>
  <c r="AL79" i="4"/>
  <c r="AK79" i="4"/>
  <c r="AJ79" i="4"/>
  <c r="AI79" i="4"/>
  <c r="AF79" i="4"/>
  <c r="AC79" i="4"/>
  <c r="AA79" i="4"/>
  <c r="Z79" i="4"/>
  <c r="X79" i="4"/>
  <c r="V79" i="4"/>
  <c r="AR78" i="4"/>
  <c r="AP78" i="4"/>
  <c r="AO78" i="4"/>
  <c r="AM78" i="4"/>
  <c r="AL78" i="4"/>
  <c r="AK78" i="4"/>
  <c r="AJ78" i="4"/>
  <c r="AI78" i="4"/>
  <c r="AF78" i="4"/>
  <c r="AC78" i="4"/>
  <c r="AA78" i="4"/>
  <c r="Z78" i="4"/>
  <c r="V78" i="4"/>
  <c r="AW76" i="4"/>
  <c r="AV76" i="4"/>
  <c r="AU76" i="4"/>
  <c r="AT76" i="4"/>
  <c r="AS76" i="4"/>
  <c r="AR76" i="4"/>
  <c r="AQ76" i="4"/>
  <c r="AO76" i="4"/>
  <c r="AN76" i="4"/>
  <c r="AM76" i="4"/>
  <c r="AL76" i="4"/>
  <c r="AI76" i="4"/>
  <c r="AC76" i="4"/>
  <c r="AB76" i="4"/>
  <c r="AA76" i="4"/>
  <c r="Z76" i="4"/>
  <c r="X76" i="4"/>
  <c r="V76" i="4"/>
  <c r="AW75" i="4"/>
  <c r="AR75" i="4"/>
  <c r="AM75" i="4"/>
  <c r="AL75" i="4"/>
  <c r="AI75" i="4"/>
  <c r="AC75" i="4"/>
  <c r="AW74" i="4"/>
  <c r="AU74" i="4"/>
  <c r="AT74" i="4"/>
  <c r="AS74" i="4"/>
  <c r="AR74" i="4"/>
  <c r="AO74" i="4"/>
  <c r="AM74" i="4"/>
  <c r="AL74" i="4"/>
  <c r="AI74" i="4"/>
  <c r="AC74" i="4"/>
  <c r="AW73" i="4"/>
  <c r="AV73" i="4"/>
  <c r="AU73" i="4"/>
  <c r="AO73" i="4"/>
  <c r="AM73" i="4"/>
  <c r="AL73" i="4"/>
  <c r="AI73" i="4"/>
  <c r="AC73" i="4"/>
  <c r="Z73" i="4"/>
  <c r="AW72" i="4"/>
  <c r="AV72" i="4"/>
  <c r="AU72" i="4"/>
  <c r="AT72" i="4"/>
  <c r="AS72" i="4"/>
  <c r="AR72" i="4"/>
  <c r="AQ72" i="4"/>
  <c r="AO72" i="4"/>
  <c r="AM72" i="4"/>
  <c r="AL72" i="4"/>
  <c r="AI72" i="4"/>
  <c r="AF72" i="4"/>
  <c r="AC72" i="4"/>
  <c r="AB72" i="4"/>
  <c r="AA72" i="4"/>
  <c r="Z72" i="4"/>
  <c r="X72" i="4"/>
  <c r="V72" i="4"/>
  <c r="AE72" i="4" s="1"/>
  <c r="N72" i="4"/>
  <c r="U72" i="4" s="1"/>
  <c r="AW71" i="4"/>
  <c r="AV71" i="4"/>
  <c r="AR71" i="4"/>
  <c r="AM71" i="4"/>
  <c r="AL71" i="4"/>
  <c r="AI71" i="4"/>
  <c r="Z71" i="4"/>
  <c r="V71" i="4"/>
  <c r="AW70" i="4"/>
  <c r="AU70" i="4"/>
  <c r="AO70" i="4"/>
  <c r="AM70" i="4"/>
  <c r="AL70" i="4"/>
  <c r="AI70" i="4"/>
  <c r="AC70" i="4"/>
  <c r="AW69" i="4"/>
  <c r="AU69" i="4"/>
  <c r="AT69" i="4"/>
  <c r="AS69" i="4"/>
  <c r="AR69" i="4"/>
  <c r="AO69" i="4"/>
  <c r="AM69" i="4"/>
  <c r="AL69" i="4"/>
  <c r="AI69" i="4"/>
  <c r="AC69" i="4"/>
  <c r="Z69" i="4"/>
  <c r="AW68" i="4"/>
  <c r="AU68" i="4"/>
  <c r="AT68" i="4"/>
  <c r="AS68" i="4"/>
  <c r="AR68" i="4"/>
  <c r="AM68" i="4"/>
  <c r="AL68" i="4"/>
  <c r="AI68" i="4"/>
  <c r="AC68" i="4"/>
  <c r="AW67" i="4"/>
  <c r="AU67" i="4"/>
  <c r="AT67" i="4"/>
  <c r="AS67" i="4"/>
  <c r="AR67" i="4"/>
  <c r="AQ67" i="4"/>
  <c r="AO67" i="4"/>
  <c r="AN67" i="4"/>
  <c r="AM67" i="4"/>
  <c r="AL67" i="4"/>
  <c r="AI67" i="4"/>
  <c r="AC67" i="4"/>
  <c r="Z67" i="4"/>
  <c r="AW66" i="4"/>
  <c r="AU66" i="4"/>
  <c r="AT66" i="4"/>
  <c r="AS66" i="4"/>
  <c r="AR66" i="4"/>
  <c r="AM66" i="4"/>
  <c r="AL66" i="4"/>
  <c r="AI66" i="4"/>
  <c r="AF66" i="4"/>
  <c r="AC66" i="4"/>
  <c r="AW65" i="4"/>
  <c r="AV65" i="4"/>
  <c r="AU65" i="4"/>
  <c r="AT65" i="4"/>
  <c r="AS65" i="4"/>
  <c r="AR65" i="4"/>
  <c r="AO65" i="4"/>
  <c r="AM65" i="4"/>
  <c r="AL65" i="4"/>
  <c r="AI65" i="4"/>
  <c r="AC65" i="4"/>
  <c r="AW64" i="4"/>
  <c r="AV64" i="4"/>
  <c r="AU64" i="4"/>
  <c r="AT64" i="4"/>
  <c r="AR64" i="4"/>
  <c r="AO64" i="4"/>
  <c r="AM64" i="4"/>
  <c r="AL64" i="4"/>
  <c r="AI64" i="4"/>
  <c r="AW63" i="4"/>
  <c r="AU63" i="4"/>
  <c r="AT63" i="4"/>
  <c r="AR63" i="4"/>
  <c r="AM63" i="4"/>
  <c r="AL63" i="4"/>
  <c r="AI63" i="4"/>
  <c r="AW62" i="4"/>
  <c r="AV62" i="4"/>
  <c r="AU62" i="4"/>
  <c r="AT62" i="4"/>
  <c r="AS62" i="4"/>
  <c r="AR62" i="4"/>
  <c r="AQ62" i="4"/>
  <c r="AO62" i="4"/>
  <c r="AN62" i="4"/>
  <c r="AM62" i="4"/>
  <c r="AL62" i="4"/>
  <c r="AI62" i="4"/>
  <c r="V62" i="4"/>
  <c r="AW61" i="4"/>
  <c r="AV61" i="4"/>
  <c r="AU61" i="4"/>
  <c r="AT61" i="4"/>
  <c r="AS61" i="4"/>
  <c r="AR61" i="4"/>
  <c r="AM61" i="4"/>
  <c r="AL61" i="4"/>
  <c r="AI61" i="4"/>
  <c r="V61" i="4"/>
  <c r="AE61" i="4" s="1"/>
  <c r="AW60" i="4"/>
  <c r="AV60" i="4"/>
  <c r="AR60" i="4"/>
  <c r="AO60" i="4"/>
  <c r="AN60" i="4"/>
  <c r="AM60" i="4"/>
  <c r="AL60" i="4"/>
  <c r="AI60" i="4"/>
  <c r="AF60" i="4"/>
  <c r="AC60" i="4"/>
  <c r="Z60" i="4"/>
  <c r="V60" i="4"/>
  <c r="AV59" i="4"/>
  <c r="AU59" i="4"/>
  <c r="AT59" i="4"/>
  <c r="AR59" i="4"/>
  <c r="AM59" i="4"/>
  <c r="AL59" i="4"/>
  <c r="AI59" i="4"/>
  <c r="AC59" i="4"/>
  <c r="Z59" i="4"/>
  <c r="V59" i="4"/>
  <c r="M59" i="4"/>
  <c r="AW58" i="4"/>
  <c r="AV58" i="4"/>
  <c r="AR58" i="4"/>
  <c r="AL58" i="4"/>
  <c r="AI58" i="4"/>
  <c r="AC58" i="4"/>
  <c r="Z58" i="4"/>
  <c r="V58" i="4"/>
  <c r="AE58" i="4" s="1"/>
  <c r="AV57" i="4"/>
  <c r="AU57" i="4"/>
  <c r="AT57" i="4"/>
  <c r="AR57" i="4"/>
  <c r="AO57" i="4"/>
  <c r="AM57" i="4"/>
  <c r="AL57" i="4"/>
  <c r="AI57" i="4"/>
  <c r="AC57" i="4"/>
  <c r="Z57" i="4"/>
  <c r="V57" i="4"/>
  <c r="AW56" i="4"/>
  <c r="AV56" i="4"/>
  <c r="AU56" i="4"/>
  <c r="AT56" i="4"/>
  <c r="AR56" i="4"/>
  <c r="AO56" i="4"/>
  <c r="AN56" i="4"/>
  <c r="AM56" i="4"/>
  <c r="AL56" i="4"/>
  <c r="AF56" i="4"/>
  <c r="AC56" i="4"/>
  <c r="Z56" i="4"/>
  <c r="V56" i="4"/>
  <c r="AW55" i="4"/>
  <c r="AV55" i="4"/>
  <c r="AR55" i="4"/>
  <c r="AL55" i="4"/>
  <c r="AI55" i="4"/>
  <c r="AC55" i="4"/>
  <c r="Z55" i="4"/>
  <c r="V55" i="4"/>
  <c r="AV54" i="4"/>
  <c r="AR54" i="4"/>
  <c r="AO54" i="4"/>
  <c r="AM54" i="4"/>
  <c r="AL54" i="4"/>
  <c r="AI54" i="4"/>
  <c r="AC54" i="4"/>
  <c r="Z54" i="4"/>
  <c r="V54" i="4"/>
  <c r="AW53" i="4"/>
  <c r="AV53" i="4"/>
  <c r="AR53" i="4"/>
  <c r="AM53" i="4"/>
  <c r="AL53" i="4"/>
  <c r="AI53" i="4"/>
  <c r="AC53" i="4"/>
  <c r="Z53" i="4"/>
  <c r="V53" i="4"/>
  <c r="AE53" i="4" s="1"/>
  <c r="M53" i="4"/>
  <c r="U53" i="4" s="1"/>
  <c r="AW52" i="4"/>
  <c r="AV52" i="4"/>
  <c r="AR52" i="4"/>
  <c r="AL52" i="4"/>
  <c r="AI52" i="4"/>
  <c r="AC52" i="4"/>
  <c r="Z52" i="4"/>
  <c r="V52" i="4"/>
  <c r="M52" i="4"/>
  <c r="AV51" i="4"/>
  <c r="AM51" i="4"/>
  <c r="AL51" i="4"/>
  <c r="AI51" i="4"/>
  <c r="AC51" i="4"/>
  <c r="Z51" i="4"/>
  <c r="V51" i="4"/>
  <c r="AW50" i="4"/>
  <c r="AV50" i="4"/>
  <c r="AU50" i="4"/>
  <c r="AR50" i="4"/>
  <c r="AO50" i="4"/>
  <c r="AM50" i="4"/>
  <c r="AL50" i="4"/>
  <c r="AI50" i="4"/>
  <c r="AF50" i="4"/>
  <c r="AB50" i="4"/>
  <c r="AA50" i="4"/>
  <c r="Z50" i="4"/>
  <c r="X50" i="4"/>
  <c r="V50" i="4"/>
  <c r="AW49" i="4"/>
  <c r="AV49" i="4"/>
  <c r="AR49" i="4"/>
  <c r="AM49" i="4"/>
  <c r="AL49" i="4"/>
  <c r="AI49" i="4"/>
  <c r="AC49" i="4"/>
  <c r="Z49" i="4"/>
  <c r="AW48" i="4"/>
  <c r="AV48" i="4"/>
  <c r="AR48" i="4"/>
  <c r="AO48" i="4"/>
  <c r="AM48" i="4"/>
  <c r="AL48" i="4"/>
  <c r="AI48" i="4"/>
  <c r="AC48" i="4"/>
  <c r="AB48" i="4"/>
  <c r="AA48" i="4"/>
  <c r="Z48" i="4"/>
  <c r="V48" i="4"/>
  <c r="AV47" i="4"/>
  <c r="AR47" i="4"/>
  <c r="AL47" i="4"/>
  <c r="AI47" i="4"/>
  <c r="AC47" i="4"/>
  <c r="Z47" i="4"/>
  <c r="V47" i="4"/>
  <c r="AW46" i="4"/>
  <c r="AV46" i="4"/>
  <c r="AR46" i="4"/>
  <c r="AO46" i="4"/>
  <c r="AM46" i="4"/>
  <c r="AL46" i="4"/>
  <c r="AI46" i="4"/>
  <c r="AC46" i="4"/>
  <c r="Z46" i="4"/>
  <c r="V46" i="4"/>
  <c r="AE46" i="4" s="1"/>
  <c r="AW45" i="4"/>
  <c r="AV45" i="4"/>
  <c r="AR45" i="4"/>
  <c r="AO45" i="4"/>
  <c r="AM45" i="4"/>
  <c r="AL45" i="4"/>
  <c r="AI45" i="4"/>
  <c r="AC45" i="4"/>
  <c r="Z45" i="4"/>
  <c r="AW44" i="4"/>
  <c r="AV44" i="4"/>
  <c r="AU44" i="4"/>
  <c r="AR44" i="4"/>
  <c r="AM44" i="4"/>
  <c r="AL44" i="4"/>
  <c r="AK44" i="4"/>
  <c r="AI44" i="4"/>
  <c r="AB44" i="4"/>
  <c r="Z44" i="4"/>
  <c r="V44" i="4"/>
  <c r="AW43" i="4"/>
  <c r="AV43" i="4"/>
  <c r="AU43" i="4"/>
  <c r="AR43" i="4"/>
  <c r="AM43" i="4"/>
  <c r="AL43" i="4"/>
  <c r="AK43" i="4"/>
  <c r="AI43" i="4"/>
  <c r="Z43" i="4"/>
  <c r="V43" i="4"/>
  <c r="AW42" i="4"/>
  <c r="AV42" i="4"/>
  <c r="AU42" i="4"/>
  <c r="AR42" i="4"/>
  <c r="AM42" i="4"/>
  <c r="AL42" i="4"/>
  <c r="AK42" i="4"/>
  <c r="AI42" i="4"/>
  <c r="AB42" i="4"/>
  <c r="AA42" i="4"/>
  <c r="Z42" i="4"/>
  <c r="V42" i="4"/>
  <c r="AW41" i="4"/>
  <c r="AV41" i="4"/>
  <c r="AU41" i="4"/>
  <c r="AR41" i="4"/>
  <c r="AM41" i="4"/>
  <c r="AL41" i="4"/>
  <c r="AK41" i="4"/>
  <c r="AI41" i="4"/>
  <c r="AC41" i="4"/>
  <c r="Z41" i="4"/>
  <c r="V41" i="4"/>
  <c r="AW40" i="4"/>
  <c r="AV40" i="4"/>
  <c r="AU40" i="4"/>
  <c r="AR40" i="4"/>
  <c r="AL40" i="4"/>
  <c r="AK40" i="4"/>
  <c r="AI40" i="4"/>
  <c r="AC40" i="4"/>
  <c r="AB40" i="4"/>
  <c r="Z40" i="4"/>
  <c r="V40" i="4"/>
  <c r="AE40" i="4" s="1"/>
  <c r="AW39" i="4"/>
  <c r="AV39" i="4"/>
  <c r="AU39" i="4"/>
  <c r="AR39" i="4"/>
  <c r="AL39" i="4"/>
  <c r="AK39" i="4"/>
  <c r="AI39" i="4"/>
  <c r="AF39" i="4"/>
  <c r="AC39" i="4"/>
  <c r="Z39" i="4"/>
  <c r="V39" i="4"/>
  <c r="AW38" i="4"/>
  <c r="AV38" i="4"/>
  <c r="AU38" i="4"/>
  <c r="AT38" i="4"/>
  <c r="AR38" i="4"/>
  <c r="AO38" i="4"/>
  <c r="AL38" i="4"/>
  <c r="AK38" i="4"/>
  <c r="AI38" i="4"/>
  <c r="AC38" i="4"/>
  <c r="Z38" i="4"/>
  <c r="V38" i="4"/>
  <c r="AW37" i="4"/>
  <c r="AV37" i="4"/>
  <c r="AU37" i="4"/>
  <c r="AR37" i="4"/>
  <c r="AL37" i="4"/>
  <c r="AK37" i="4"/>
  <c r="AI37" i="4"/>
  <c r="AF37" i="4"/>
  <c r="AC37" i="4"/>
  <c r="AB37" i="4"/>
  <c r="Z37" i="4"/>
  <c r="X37" i="4"/>
  <c r="V37" i="4"/>
  <c r="AV36" i="4"/>
  <c r="AR36" i="4"/>
  <c r="AM36" i="4"/>
  <c r="AL36" i="4"/>
  <c r="AK36" i="4"/>
  <c r="AI36" i="4"/>
  <c r="AC36" i="4"/>
  <c r="Z36" i="4"/>
  <c r="V36" i="4"/>
  <c r="AE36" i="4" s="1"/>
  <c r="AW35" i="4"/>
  <c r="AV35" i="4"/>
  <c r="AU35" i="4"/>
  <c r="AT35" i="4"/>
  <c r="AS35" i="4"/>
  <c r="AR35" i="4"/>
  <c r="AO35" i="4"/>
  <c r="AM35" i="4"/>
  <c r="AL35" i="4"/>
  <c r="AK35" i="4"/>
  <c r="AI35" i="4"/>
  <c r="AF35" i="4"/>
  <c r="AC35" i="4"/>
  <c r="AB35" i="4"/>
  <c r="AA35" i="4"/>
  <c r="Z35" i="4"/>
  <c r="V35" i="4"/>
  <c r="AE35" i="4" s="1"/>
  <c r="AW34" i="4"/>
  <c r="AV34" i="4"/>
  <c r="AU34" i="4"/>
  <c r="AR34" i="4"/>
  <c r="AL34" i="4"/>
  <c r="AK34" i="4"/>
  <c r="AI34" i="4"/>
  <c r="AF34" i="4"/>
  <c r="AC34" i="4"/>
  <c r="AB34" i="4"/>
  <c r="AE34" i="4" s="1"/>
  <c r="AA34" i="4"/>
  <c r="Z34" i="4"/>
  <c r="V34" i="4"/>
  <c r="AW33" i="4"/>
  <c r="AV33" i="4"/>
  <c r="AR33" i="4"/>
  <c r="AM33" i="4"/>
  <c r="AL33" i="4"/>
  <c r="AK33" i="4"/>
  <c r="AI33" i="4"/>
  <c r="AF33" i="4"/>
  <c r="AC33" i="4"/>
  <c r="AB33" i="4"/>
  <c r="Z33" i="4"/>
  <c r="V33" i="4"/>
  <c r="AW32" i="4"/>
  <c r="AV32" i="4"/>
  <c r="AU32" i="4"/>
  <c r="AT32" i="4"/>
  <c r="AS32" i="4"/>
  <c r="AR32" i="4"/>
  <c r="AO32" i="4"/>
  <c r="AM32" i="4"/>
  <c r="AL32" i="4"/>
  <c r="AK32" i="4"/>
  <c r="AI32" i="4"/>
  <c r="AF32" i="4"/>
  <c r="AC32" i="4"/>
  <c r="AB32" i="4"/>
  <c r="AA32" i="4"/>
  <c r="Z32" i="4"/>
  <c r="V32" i="4"/>
  <c r="AE32" i="4" s="1"/>
  <c r="AW31" i="4"/>
  <c r="AV31" i="4"/>
  <c r="AU31" i="4"/>
  <c r="AT31" i="4"/>
  <c r="AR31" i="4"/>
  <c r="AM31" i="4"/>
  <c r="AL31" i="4"/>
  <c r="AK31" i="4"/>
  <c r="AI31" i="4"/>
  <c r="AF31" i="4"/>
  <c r="AC31" i="4"/>
  <c r="AB31" i="4"/>
  <c r="AE31" i="4" s="1"/>
  <c r="V31" i="4"/>
  <c r="AW30" i="4"/>
  <c r="AV30" i="4"/>
  <c r="AR30" i="4"/>
  <c r="AO30" i="4"/>
  <c r="AM30" i="4"/>
  <c r="AL30" i="4"/>
  <c r="AK30" i="4"/>
  <c r="AI30" i="4"/>
  <c r="AF30" i="4"/>
  <c r="AC30" i="4"/>
  <c r="V30" i="4"/>
  <c r="AE30" i="4" s="1"/>
  <c r="AW29" i="4"/>
  <c r="AV29" i="4"/>
  <c r="AU29" i="4"/>
  <c r="AT29" i="4"/>
  <c r="AR29" i="4"/>
  <c r="AM29" i="4"/>
  <c r="AL29" i="4"/>
  <c r="AK29" i="4"/>
  <c r="AI29" i="4"/>
  <c r="AF29" i="4"/>
  <c r="AC29" i="4"/>
  <c r="V29" i="4"/>
  <c r="AE29" i="4" s="1"/>
  <c r="AW28" i="4"/>
  <c r="AV28" i="4"/>
  <c r="AR28" i="4"/>
  <c r="AM28" i="4"/>
  <c r="AL28" i="4"/>
  <c r="AK28" i="4"/>
  <c r="AI28" i="4"/>
  <c r="AF28" i="4"/>
  <c r="AC28" i="4"/>
  <c r="AB28" i="4"/>
  <c r="AA28" i="4"/>
  <c r="Z28" i="4"/>
  <c r="V28" i="4"/>
  <c r="AW27" i="4"/>
  <c r="AV27" i="4"/>
  <c r="AR27" i="4"/>
  <c r="AM27" i="4"/>
  <c r="AL27" i="4"/>
  <c r="AK27" i="4"/>
  <c r="AI27" i="4"/>
  <c r="AF27" i="4"/>
  <c r="AC27" i="4"/>
  <c r="AB27" i="4"/>
  <c r="V27" i="4"/>
  <c r="AW26" i="4"/>
  <c r="AV26" i="4"/>
  <c r="AR26" i="4"/>
  <c r="AL26" i="4"/>
  <c r="AI26" i="4"/>
  <c r="AF26" i="4"/>
  <c r="AC26" i="4"/>
  <c r="AB26" i="4"/>
  <c r="Z26" i="4"/>
  <c r="V26" i="4"/>
  <c r="BB25" i="4"/>
  <c r="BA25" i="4"/>
  <c r="AZ25" i="4"/>
  <c r="AY25" i="4"/>
  <c r="AX25" i="4"/>
  <c r="AW25" i="4"/>
  <c r="AV25" i="4"/>
  <c r="AR25" i="4"/>
  <c r="AL25" i="4"/>
  <c r="AK25" i="4"/>
  <c r="AI25" i="4"/>
  <c r="AC25" i="4"/>
  <c r="V25" i="4"/>
  <c r="AE25" i="4" s="1"/>
  <c r="BB24" i="4"/>
  <c r="BA24" i="4"/>
  <c r="AZ24" i="4"/>
  <c r="AY24" i="4"/>
  <c r="AX24" i="4"/>
  <c r="AW24" i="4"/>
  <c r="AV24" i="4"/>
  <c r="AU24" i="4"/>
  <c r="AT24" i="4"/>
  <c r="AR24" i="4"/>
  <c r="AL24" i="4"/>
  <c r="AK24" i="4"/>
  <c r="AJ24" i="4"/>
  <c r="AI24" i="4"/>
  <c r="AC24" i="4"/>
  <c r="AB24" i="4"/>
  <c r="V24" i="4"/>
  <c r="AE24" i="4" s="1"/>
  <c r="M24" i="4"/>
  <c r="U24" i="4" s="1"/>
  <c r="BB23" i="4"/>
  <c r="BA23" i="4"/>
  <c r="AZ23" i="4"/>
  <c r="AY23" i="4"/>
  <c r="AX23" i="4"/>
  <c r="AW23" i="4"/>
  <c r="AV23" i="4"/>
  <c r="AU23" i="4"/>
  <c r="AT23" i="4"/>
  <c r="AR23" i="4"/>
  <c r="AM23" i="4"/>
  <c r="AL23" i="4"/>
  <c r="AK23" i="4"/>
  <c r="AJ23" i="4"/>
  <c r="AI23" i="4"/>
  <c r="AC23" i="4"/>
  <c r="AB23" i="4"/>
  <c r="AA23" i="4"/>
  <c r="V23" i="4"/>
  <c r="AE23" i="4" s="1"/>
  <c r="M23" i="4"/>
  <c r="BB22" i="4"/>
  <c r="BA22" i="4"/>
  <c r="AZ22" i="4"/>
  <c r="AY22" i="4"/>
  <c r="AX22" i="4"/>
  <c r="AW22" i="4"/>
  <c r="AV22" i="4"/>
  <c r="AU22" i="4"/>
  <c r="AT22" i="4"/>
  <c r="AR22" i="4"/>
  <c r="AL22" i="4"/>
  <c r="AK22" i="4"/>
  <c r="AI22" i="4"/>
  <c r="AC22" i="4"/>
  <c r="AB22" i="4"/>
  <c r="AE22" i="4" s="1"/>
  <c r="AA22" i="4"/>
  <c r="Z22" i="4"/>
  <c r="V22" i="4"/>
  <c r="BB21" i="4"/>
  <c r="BA21" i="4"/>
  <c r="AZ21" i="4"/>
  <c r="AY21" i="4"/>
  <c r="AX21" i="4"/>
  <c r="AW21" i="4"/>
  <c r="AV21" i="4"/>
  <c r="AU21" i="4"/>
  <c r="AR21" i="4"/>
  <c r="AL21" i="4"/>
  <c r="AK21" i="4"/>
  <c r="AI21" i="4"/>
  <c r="AC21" i="4"/>
  <c r="AB21" i="4"/>
  <c r="AA21" i="4"/>
  <c r="V21" i="4"/>
  <c r="M21" i="4"/>
  <c r="BB20" i="4"/>
  <c r="BA20" i="4"/>
  <c r="AZ20" i="4"/>
  <c r="AY20" i="4"/>
  <c r="AX20" i="4"/>
  <c r="AW20" i="4"/>
  <c r="AV20" i="4"/>
  <c r="AU20" i="4"/>
  <c r="AR20" i="4"/>
  <c r="AM20" i="4"/>
  <c r="AL20" i="4"/>
  <c r="AK20" i="4"/>
  <c r="AI20" i="4"/>
  <c r="AC20" i="4"/>
  <c r="AB20" i="4"/>
  <c r="AA20" i="4"/>
  <c r="V20" i="4"/>
  <c r="BB19" i="4"/>
  <c r="BA19" i="4"/>
  <c r="AZ19" i="4"/>
  <c r="AY19" i="4"/>
  <c r="AX19" i="4"/>
  <c r="AW19" i="4"/>
  <c r="AV19" i="4"/>
  <c r="AU19" i="4"/>
  <c r="AT19" i="4"/>
  <c r="AR19" i="4"/>
  <c r="AO19" i="4"/>
  <c r="AL19" i="4"/>
  <c r="AK19" i="4"/>
  <c r="AJ19" i="4"/>
  <c r="AI19" i="4"/>
  <c r="AC19" i="4"/>
  <c r="V19" i="4"/>
  <c r="BB18" i="4"/>
  <c r="BA18" i="4"/>
  <c r="AZ18" i="4"/>
  <c r="AY18" i="4"/>
  <c r="AX18" i="4"/>
  <c r="AW18" i="4"/>
  <c r="AV18" i="4"/>
  <c r="AR18" i="4"/>
  <c r="AO18" i="4"/>
  <c r="AM18" i="4"/>
  <c r="AL18" i="4"/>
  <c r="AK18" i="4"/>
  <c r="AI18" i="4"/>
  <c r="AC18" i="4"/>
  <c r="Z18" i="4"/>
  <c r="V18" i="4"/>
  <c r="BB17" i="4"/>
  <c r="BA17" i="4"/>
  <c r="AZ17" i="4"/>
  <c r="AY17" i="4"/>
  <c r="AX17" i="4"/>
  <c r="AW17" i="4"/>
  <c r="AV17" i="4"/>
  <c r="AU17" i="4"/>
  <c r="AR17" i="4"/>
  <c r="AL17" i="4"/>
  <c r="AK17" i="4"/>
  <c r="AJ17" i="4"/>
  <c r="AI17" i="4"/>
  <c r="AC17" i="4"/>
  <c r="AB17" i="4"/>
  <c r="AA17" i="4"/>
  <c r="Z17" i="4"/>
  <c r="V17" i="4"/>
  <c r="AE17" i="4" s="1"/>
  <c r="BB16" i="4"/>
  <c r="BA16" i="4"/>
  <c r="AZ16" i="4"/>
  <c r="AY16" i="4"/>
  <c r="AX16" i="4"/>
  <c r="AW16" i="4"/>
  <c r="AV16" i="4"/>
  <c r="AU16" i="4"/>
  <c r="AT16" i="4"/>
  <c r="AR16" i="4"/>
  <c r="AO16" i="4"/>
  <c r="AM16" i="4"/>
  <c r="AL16" i="4"/>
  <c r="AK16" i="4"/>
  <c r="AI16" i="4"/>
  <c r="AC16" i="4"/>
  <c r="AB16" i="4"/>
  <c r="AA16" i="4"/>
  <c r="Z16" i="4"/>
  <c r="V16" i="4"/>
  <c r="AE16" i="4" s="1"/>
  <c r="BB15" i="4"/>
  <c r="BA15" i="4"/>
  <c r="AZ15" i="4"/>
  <c r="AY15" i="4"/>
  <c r="AX15" i="4"/>
  <c r="AW15" i="4"/>
  <c r="AV15" i="4"/>
  <c r="AU15" i="4"/>
  <c r="AT15" i="4"/>
  <c r="AS15" i="4"/>
  <c r="AR15" i="4"/>
  <c r="AO15" i="4"/>
  <c r="AM15" i="4"/>
  <c r="AL15" i="4"/>
  <c r="AK15" i="4"/>
  <c r="AJ15" i="4"/>
  <c r="AI15" i="4"/>
  <c r="AC15" i="4"/>
  <c r="AB15" i="4"/>
  <c r="AA15" i="4"/>
  <c r="Z15" i="4"/>
  <c r="V15" i="4"/>
  <c r="BB14" i="4"/>
  <c r="BA14" i="4"/>
  <c r="AZ14" i="4"/>
  <c r="AY14" i="4"/>
  <c r="AX14" i="4"/>
  <c r="AW14" i="4"/>
  <c r="AV14" i="4"/>
  <c r="AU14" i="4"/>
  <c r="AR14" i="4"/>
  <c r="AM14" i="4"/>
  <c r="AL14" i="4"/>
  <c r="AK14" i="4"/>
  <c r="AI14" i="4"/>
  <c r="AC14" i="4"/>
  <c r="AB14" i="4"/>
  <c r="AA14" i="4"/>
  <c r="Z14" i="4"/>
  <c r="V14" i="4"/>
  <c r="AE14" i="4" s="1"/>
  <c r="BB13" i="4"/>
  <c r="BA13" i="4"/>
  <c r="AZ13" i="4"/>
  <c r="AY13" i="4"/>
  <c r="AX13" i="4"/>
  <c r="AW13" i="4"/>
  <c r="AV13" i="4"/>
  <c r="AU13" i="4"/>
  <c r="AR13" i="4"/>
  <c r="AM13" i="4"/>
  <c r="AL13" i="4"/>
  <c r="AK13" i="4"/>
  <c r="AI13" i="4"/>
  <c r="AC13" i="4"/>
  <c r="V13" i="4"/>
  <c r="BB12" i="4"/>
  <c r="BA12" i="4"/>
  <c r="AZ12" i="4"/>
  <c r="AY12" i="4"/>
  <c r="AX12" i="4"/>
  <c r="AW12" i="4"/>
  <c r="AV12" i="4"/>
  <c r="AU12" i="4"/>
  <c r="AR12" i="4"/>
  <c r="AM12" i="4"/>
  <c r="AL12" i="4"/>
  <c r="AK12" i="4"/>
  <c r="AJ12" i="4"/>
  <c r="AI12" i="4"/>
  <c r="AC12" i="4"/>
  <c r="AB12" i="4"/>
  <c r="AA12" i="4"/>
  <c r="Z12" i="4"/>
  <c r="V12" i="4"/>
  <c r="BB11" i="4"/>
  <c r="BA11" i="4"/>
  <c r="AZ11" i="4"/>
  <c r="AY11" i="4"/>
  <c r="AW11" i="4"/>
  <c r="AV11" i="4"/>
  <c r="AU11" i="4"/>
  <c r="AR11" i="4"/>
  <c r="AM11" i="4"/>
  <c r="AL11" i="4"/>
  <c r="AK11" i="4"/>
  <c r="AJ11" i="4"/>
  <c r="AI11" i="4"/>
  <c r="AC11" i="4"/>
  <c r="Z11" i="4"/>
  <c r="V11" i="4"/>
  <c r="BB10" i="4"/>
  <c r="BA10" i="4"/>
  <c r="AZ10" i="4"/>
  <c r="AY10" i="4"/>
  <c r="AW10" i="4"/>
  <c r="AV10" i="4"/>
  <c r="AU10" i="4"/>
  <c r="AR10" i="4"/>
  <c r="AL10" i="4"/>
  <c r="AK10" i="4"/>
  <c r="AJ10" i="4"/>
  <c r="AI10" i="4"/>
  <c r="AC10" i="4"/>
  <c r="V10" i="4"/>
  <c r="BB9" i="4"/>
  <c r="BA9" i="4"/>
  <c r="AZ9" i="4"/>
  <c r="AY9" i="4"/>
  <c r="AX9" i="4"/>
  <c r="AW9" i="4"/>
  <c r="AV9" i="4"/>
  <c r="AU9" i="4"/>
  <c r="AR9" i="4"/>
  <c r="AO9" i="4"/>
  <c r="AL9" i="4"/>
  <c r="AK9" i="4"/>
  <c r="AJ9" i="4"/>
  <c r="AI9" i="4"/>
  <c r="AC9" i="4"/>
  <c r="AB9" i="4"/>
  <c r="AE9" i="4" s="1"/>
  <c r="V9" i="4"/>
  <c r="BB8" i="4"/>
  <c r="BA8" i="4"/>
  <c r="AZ8" i="4"/>
  <c r="AY8" i="4"/>
  <c r="AX8" i="4"/>
  <c r="AW8" i="4"/>
  <c r="AV8" i="4"/>
  <c r="AU8" i="4"/>
  <c r="AT8" i="4"/>
  <c r="AR8" i="4"/>
  <c r="AL8" i="4"/>
  <c r="AK8" i="4"/>
  <c r="AJ8" i="4"/>
  <c r="AI8" i="4"/>
  <c r="AC8" i="4"/>
  <c r="AB8" i="4"/>
  <c r="V8" i="4"/>
  <c r="AE8" i="4" s="1"/>
  <c r="BB7" i="4"/>
  <c r="BA7" i="4"/>
  <c r="AZ7" i="4"/>
  <c r="AY7" i="4"/>
  <c r="AX7" i="4"/>
  <c r="AW7" i="4"/>
  <c r="AV7" i="4"/>
  <c r="AU7" i="4"/>
  <c r="AT7" i="4"/>
  <c r="AR7" i="4"/>
  <c r="AM7" i="4"/>
  <c r="AL7" i="4"/>
  <c r="AK7" i="4"/>
  <c r="AJ7" i="4"/>
  <c r="AI7" i="4"/>
  <c r="AC7" i="4"/>
  <c r="AB7" i="4"/>
  <c r="V7" i="4"/>
  <c r="AE7" i="4" s="1"/>
  <c r="M7" i="4"/>
  <c r="U7" i="4" s="1"/>
  <c r="BB6" i="4"/>
  <c r="BA6" i="4"/>
  <c r="AZ6" i="4"/>
  <c r="AY6" i="4"/>
  <c r="AX6" i="4"/>
  <c r="AW6" i="4"/>
  <c r="AV6" i="4"/>
  <c r="AU6" i="4"/>
  <c r="AR6" i="4"/>
  <c r="AO6" i="4"/>
  <c r="AL6" i="4"/>
  <c r="AK6" i="4"/>
  <c r="AI6" i="4"/>
  <c r="AC6" i="4"/>
  <c r="AB6" i="4"/>
  <c r="AA6" i="4"/>
  <c r="V6" i="4"/>
  <c r="BB5" i="4"/>
  <c r="BA5" i="4"/>
  <c r="AZ5" i="4"/>
  <c r="AY5" i="4"/>
  <c r="AX5" i="4"/>
  <c r="AW5" i="4"/>
  <c r="AV5" i="4"/>
  <c r="AU5" i="4"/>
  <c r="AT5" i="4"/>
  <c r="AS5" i="4"/>
  <c r="AR5" i="4"/>
  <c r="AQ5" i="4"/>
  <c r="AO5" i="4"/>
  <c r="AM5" i="4"/>
  <c r="AL5" i="4"/>
  <c r="AK5" i="4"/>
  <c r="AJ5" i="4"/>
  <c r="AI5" i="4"/>
  <c r="AC5" i="4"/>
  <c r="AB5" i="4"/>
  <c r="AA5" i="4"/>
  <c r="Y5" i="4"/>
  <c r="AE5" i="4" s="1"/>
  <c r="X5" i="4"/>
  <c r="W5" i="4"/>
  <c r="V5" i="4"/>
  <c r="BB4" i="4"/>
  <c r="BA4" i="4"/>
  <c r="AZ4" i="4"/>
  <c r="AY4" i="4"/>
  <c r="AX4" i="4"/>
  <c r="AW4" i="4"/>
  <c r="AV4" i="4"/>
  <c r="AR4" i="4"/>
  <c r="AM4" i="4"/>
  <c r="AL4" i="4"/>
  <c r="AK4" i="4"/>
  <c r="AJ4" i="4"/>
  <c r="AI4" i="4"/>
  <c r="AC4" i="4"/>
  <c r="AB4" i="4"/>
  <c r="AA4" i="4"/>
  <c r="V4" i="4"/>
  <c r="BB3" i="4"/>
  <c r="BA3" i="4"/>
  <c r="AZ3" i="4"/>
  <c r="AY3" i="4"/>
  <c r="AX3" i="4"/>
  <c r="AW3" i="4"/>
  <c r="AV3" i="4"/>
  <c r="AU3" i="4"/>
  <c r="AR3" i="4"/>
  <c r="AM3" i="4"/>
  <c r="AL3" i="4"/>
  <c r="AK3" i="4"/>
  <c r="AJ3" i="4"/>
  <c r="AI3" i="4"/>
  <c r="AC3" i="4"/>
  <c r="V3" i="4"/>
  <c r="BB2" i="4"/>
  <c r="BA2" i="4"/>
  <c r="AZ2" i="4"/>
  <c r="AY2" i="4"/>
  <c r="AX2" i="4"/>
  <c r="AV2" i="4"/>
  <c r="AR2" i="4"/>
  <c r="AM2" i="4"/>
  <c r="AL2" i="4"/>
  <c r="AK2" i="4"/>
  <c r="AI2" i="4"/>
  <c r="AC2" i="4"/>
  <c r="V2" i="4"/>
  <c r="AH192" i="4"/>
  <c r="AE192" i="4"/>
  <c r="U192" i="4"/>
  <c r="T192" i="4"/>
  <c r="AH191" i="4"/>
  <c r="AE191" i="4"/>
  <c r="U191" i="4"/>
  <c r="T191" i="4"/>
  <c r="AH190" i="4"/>
  <c r="AE190" i="4"/>
  <c r="U190" i="4"/>
  <c r="T190" i="4"/>
  <c r="AH189" i="4"/>
  <c r="AE189" i="4"/>
  <c r="U189" i="4"/>
  <c r="T189" i="4"/>
  <c r="AH188" i="4"/>
  <c r="AE188" i="4"/>
  <c r="U188" i="4"/>
  <c r="T188" i="4"/>
  <c r="AH187" i="4"/>
  <c r="U187" i="4"/>
  <c r="T187" i="4"/>
  <c r="AH186" i="4"/>
  <c r="U186" i="4"/>
  <c r="T186" i="4"/>
  <c r="AH185" i="4"/>
  <c r="AE185" i="4"/>
  <c r="U185" i="4"/>
  <c r="T185" i="4"/>
  <c r="AH184" i="4"/>
  <c r="U184" i="4"/>
  <c r="T184" i="4"/>
  <c r="AH183" i="4"/>
  <c r="U183" i="4"/>
  <c r="T183" i="4"/>
  <c r="AH182" i="4"/>
  <c r="U182" i="4"/>
  <c r="T182" i="4"/>
  <c r="AH181" i="4"/>
  <c r="AE181" i="4"/>
  <c r="U181" i="4"/>
  <c r="T181" i="4"/>
  <c r="AH180" i="4"/>
  <c r="AE180" i="4"/>
  <c r="U180" i="4"/>
  <c r="T180" i="4"/>
  <c r="AH179" i="4"/>
  <c r="AE179" i="4"/>
  <c r="U179" i="4"/>
  <c r="T179" i="4"/>
  <c r="AH178" i="4"/>
  <c r="AE178" i="4"/>
  <c r="U178" i="4"/>
  <c r="T178" i="4"/>
  <c r="AH177" i="4"/>
  <c r="AE177" i="4"/>
  <c r="U177" i="4"/>
  <c r="T177" i="4"/>
  <c r="AH176" i="4"/>
  <c r="AE176" i="4"/>
  <c r="U176" i="4"/>
  <c r="T176" i="4"/>
  <c r="AH175" i="4"/>
  <c r="AE175" i="4"/>
  <c r="U175" i="4"/>
  <c r="T175" i="4"/>
  <c r="AH174" i="4"/>
  <c r="AE174" i="4"/>
  <c r="U174" i="4"/>
  <c r="T174" i="4"/>
  <c r="AH173" i="4"/>
  <c r="AE173" i="4"/>
  <c r="U173" i="4"/>
  <c r="T173" i="4"/>
  <c r="AH172" i="4"/>
  <c r="AE172" i="4"/>
  <c r="U172" i="4"/>
  <c r="T172" i="4"/>
  <c r="AH171" i="4"/>
  <c r="AE171" i="4"/>
  <c r="U171" i="4"/>
  <c r="T171" i="4"/>
  <c r="AH170" i="4"/>
  <c r="U170" i="4"/>
  <c r="T170" i="4"/>
  <c r="AH169" i="4"/>
  <c r="AE169" i="4"/>
  <c r="U169" i="4"/>
  <c r="T169" i="4"/>
  <c r="AH168" i="4"/>
  <c r="U168" i="4"/>
  <c r="T168" i="4"/>
  <c r="AR167" i="4"/>
  <c r="AQ167" i="4"/>
  <c r="AO167" i="4"/>
  <c r="AN167" i="4"/>
  <c r="AH167" i="4"/>
  <c r="AR166" i="4"/>
  <c r="AQ166" i="4"/>
  <c r="AO166" i="4"/>
  <c r="AN166" i="4"/>
  <c r="AH166" i="4"/>
  <c r="AR165" i="4"/>
  <c r="AQ165" i="4"/>
  <c r="AO165" i="4"/>
  <c r="AN165" i="4"/>
  <c r="AM165" i="4"/>
  <c r="AH165" i="4"/>
  <c r="AE165" i="4"/>
  <c r="U165" i="4"/>
  <c r="T165" i="4"/>
  <c r="AR164" i="4"/>
  <c r="AQ164" i="4"/>
  <c r="AO164" i="4"/>
  <c r="AN164" i="4"/>
  <c r="AH164" i="4"/>
  <c r="AE164" i="4"/>
  <c r="T164" i="4"/>
  <c r="AR163" i="4"/>
  <c r="AQ163" i="4"/>
  <c r="AO163" i="4"/>
  <c r="AN163" i="4"/>
  <c r="AH163" i="4"/>
  <c r="T163" i="4"/>
  <c r="AQ162" i="4"/>
  <c r="AN162" i="4"/>
  <c r="AH162" i="4"/>
  <c r="AR161" i="4"/>
  <c r="AQ161" i="4"/>
  <c r="AO161" i="4"/>
  <c r="AN161" i="4"/>
  <c r="AH161" i="4"/>
  <c r="AH160" i="4"/>
  <c r="AK159" i="4"/>
  <c r="AI159" i="4"/>
  <c r="AH159" i="4"/>
  <c r="AK158" i="4"/>
  <c r="AH158" i="4"/>
  <c r="AK157" i="4"/>
  <c r="AH157" i="4"/>
  <c r="AO156" i="4"/>
  <c r="AN156" i="4"/>
  <c r="AM156" i="4"/>
  <c r="AK156" i="4"/>
  <c r="AJ156" i="4"/>
  <c r="AI156" i="4"/>
  <c r="AH156" i="4"/>
  <c r="AO155" i="4"/>
  <c r="AN155" i="4"/>
  <c r="AM155" i="4"/>
  <c r="AK155" i="4"/>
  <c r="AJ155" i="4"/>
  <c r="AI155" i="4"/>
  <c r="AH155" i="4"/>
  <c r="AE155" i="4"/>
  <c r="AO154" i="4"/>
  <c r="AN154" i="4"/>
  <c r="AM154" i="4"/>
  <c r="AK154" i="4"/>
  <c r="AI154" i="4"/>
  <c r="AH154" i="4"/>
  <c r="AE154" i="4"/>
  <c r="AO153" i="4"/>
  <c r="AN153" i="4"/>
  <c r="AM153" i="4"/>
  <c r="AK153" i="4"/>
  <c r="AI153" i="4"/>
  <c r="AH153" i="4"/>
  <c r="T152" i="4"/>
  <c r="AD149" i="4"/>
  <c r="T149" i="4"/>
  <c r="AE148" i="4"/>
  <c r="AD148" i="4"/>
  <c r="T148" i="4"/>
  <c r="T147" i="4"/>
  <c r="T146" i="4"/>
  <c r="T145" i="4"/>
  <c r="AE144" i="4"/>
  <c r="T144" i="4"/>
  <c r="AE143" i="4"/>
  <c r="AD143" i="4"/>
  <c r="T143" i="4"/>
  <c r="AE141" i="4"/>
  <c r="U141" i="4"/>
  <c r="AE140" i="4"/>
  <c r="U140" i="4"/>
  <c r="AE139" i="4"/>
  <c r="U139" i="4"/>
  <c r="U138" i="4"/>
  <c r="AE137" i="4"/>
  <c r="U137" i="4"/>
  <c r="AG136" i="4"/>
  <c r="U136" i="4"/>
  <c r="U135" i="4"/>
  <c r="AE134" i="4"/>
  <c r="AE133" i="4"/>
  <c r="U133" i="4"/>
  <c r="U132" i="4"/>
  <c r="U131" i="4"/>
  <c r="U130" i="4"/>
  <c r="AE129" i="4"/>
  <c r="U129" i="4"/>
  <c r="AE128" i="4"/>
  <c r="AG127" i="4"/>
  <c r="U127" i="4"/>
  <c r="AE126" i="4"/>
  <c r="U126" i="4"/>
  <c r="AG125" i="4"/>
  <c r="U125" i="4"/>
  <c r="U124" i="4"/>
  <c r="U123" i="4"/>
  <c r="AE122" i="4"/>
  <c r="U122" i="4"/>
  <c r="U121" i="4"/>
  <c r="AE120" i="4"/>
  <c r="U120" i="4"/>
  <c r="AE119" i="4"/>
  <c r="U119" i="4"/>
  <c r="U118" i="4"/>
  <c r="AE117" i="4"/>
  <c r="U117" i="4"/>
  <c r="U116" i="4"/>
  <c r="AE115" i="4"/>
  <c r="AG114" i="4"/>
  <c r="AE114" i="4"/>
  <c r="U114" i="4"/>
  <c r="AG113" i="4"/>
  <c r="AE113" i="4"/>
  <c r="U113" i="4"/>
  <c r="U112" i="4"/>
  <c r="AG111" i="4"/>
  <c r="AE111" i="4"/>
  <c r="U111" i="4"/>
  <c r="AG110" i="4"/>
  <c r="U110" i="4"/>
  <c r="AG109" i="4"/>
  <c r="U109" i="4"/>
  <c r="AG108" i="4"/>
  <c r="U108" i="4"/>
  <c r="AG107" i="4"/>
  <c r="AE107" i="4"/>
  <c r="U107" i="4"/>
  <c r="AG106" i="4"/>
  <c r="AE106" i="4"/>
  <c r="U106" i="4"/>
  <c r="AG105" i="4"/>
  <c r="AG104" i="4"/>
  <c r="U104" i="4"/>
  <c r="AG103" i="4"/>
  <c r="U103" i="4"/>
  <c r="AG102" i="4"/>
  <c r="AE102" i="4"/>
  <c r="U102" i="4"/>
  <c r="AE100" i="4"/>
  <c r="U100" i="4"/>
  <c r="AE99" i="4"/>
  <c r="AG96" i="4"/>
  <c r="AE96" i="4"/>
  <c r="U96" i="4"/>
  <c r="AE95" i="4"/>
  <c r="U95" i="4"/>
  <c r="U94" i="4"/>
  <c r="AE93" i="4"/>
  <c r="U93" i="4"/>
  <c r="U92" i="4"/>
  <c r="AG91" i="4"/>
  <c r="U91" i="4"/>
  <c r="U90" i="4"/>
  <c r="AG89" i="4"/>
  <c r="U89" i="4"/>
  <c r="U88" i="4"/>
  <c r="U87" i="4"/>
  <c r="AG86" i="4"/>
  <c r="AE86" i="4"/>
  <c r="U86" i="4"/>
  <c r="AE85" i="4"/>
  <c r="U85" i="4"/>
  <c r="U84" i="4"/>
  <c r="U83" i="4"/>
  <c r="U82" i="4"/>
  <c r="AE81" i="4"/>
  <c r="AG80" i="4"/>
  <c r="AE80" i="4"/>
  <c r="U80" i="4"/>
  <c r="AE79" i="4"/>
  <c r="U79" i="4"/>
  <c r="AE78" i="4"/>
  <c r="U78" i="4"/>
  <c r="AG75" i="4"/>
  <c r="AE75" i="4"/>
  <c r="U75" i="4"/>
  <c r="AG74" i="4"/>
  <c r="AE74" i="4"/>
  <c r="U74" i="4"/>
  <c r="AG73" i="4"/>
  <c r="AE73" i="4"/>
  <c r="U73" i="4"/>
  <c r="AG71" i="4"/>
  <c r="AE71" i="4"/>
  <c r="U71" i="4"/>
  <c r="AG70" i="4"/>
  <c r="AE70" i="4"/>
  <c r="U70" i="4"/>
  <c r="AG69" i="4"/>
  <c r="AE69" i="4"/>
  <c r="U69" i="4"/>
  <c r="AG68" i="4"/>
  <c r="AE68" i="4"/>
  <c r="U68" i="4"/>
  <c r="AG67" i="4"/>
  <c r="AE67" i="4"/>
  <c r="U67" i="4"/>
  <c r="AE66" i="4"/>
  <c r="U66" i="4"/>
  <c r="AG65" i="4"/>
  <c r="AE65" i="4"/>
  <c r="U65" i="4"/>
  <c r="AG64" i="4"/>
  <c r="AE64" i="4"/>
  <c r="U64" i="4"/>
  <c r="AG63" i="4"/>
  <c r="AE63" i="4"/>
  <c r="U63" i="4"/>
  <c r="AG62" i="4"/>
  <c r="AE62" i="4"/>
  <c r="U62" i="4"/>
  <c r="AG61" i="4"/>
  <c r="U61" i="4"/>
  <c r="AE60" i="4"/>
  <c r="U60" i="4"/>
  <c r="T60" i="4"/>
  <c r="AG59" i="4"/>
  <c r="AE59" i="4"/>
  <c r="U59" i="4"/>
  <c r="T59" i="4"/>
  <c r="AG58" i="4"/>
  <c r="U58" i="4"/>
  <c r="T58" i="4"/>
  <c r="AG57" i="4"/>
  <c r="AE57" i="4"/>
  <c r="U57" i="4"/>
  <c r="T57" i="4"/>
  <c r="AE56" i="4"/>
  <c r="U56" i="4"/>
  <c r="T56" i="4"/>
  <c r="AG55" i="4"/>
  <c r="AE55" i="4"/>
  <c r="U55" i="4"/>
  <c r="T55" i="4"/>
  <c r="AG54" i="4"/>
  <c r="AE54" i="4"/>
  <c r="U54" i="4"/>
  <c r="T54" i="4"/>
  <c r="AG53" i="4"/>
  <c r="AG52" i="4"/>
  <c r="AE52" i="4"/>
  <c r="U52" i="4"/>
  <c r="T52" i="4"/>
  <c r="AG51" i="4"/>
  <c r="AE51" i="4"/>
  <c r="U51" i="4"/>
  <c r="T51" i="4"/>
  <c r="U50" i="4"/>
  <c r="T50" i="4"/>
  <c r="AG49" i="4"/>
  <c r="AE49" i="4"/>
  <c r="U49" i="4"/>
  <c r="T49" i="4"/>
  <c r="AG48" i="4"/>
  <c r="U48" i="4"/>
  <c r="T48" i="4"/>
  <c r="AG47" i="4"/>
  <c r="AE47" i="4"/>
  <c r="U47" i="4"/>
  <c r="T47" i="4"/>
  <c r="AG46" i="4"/>
  <c r="U46" i="4"/>
  <c r="T46" i="4"/>
  <c r="AG45" i="4"/>
  <c r="AE45" i="4"/>
  <c r="U45" i="4"/>
  <c r="T45" i="4"/>
  <c r="AG44" i="4"/>
  <c r="AE44" i="4"/>
  <c r="U44" i="4"/>
  <c r="T44" i="4"/>
  <c r="AG43" i="4"/>
  <c r="AE43" i="4"/>
  <c r="U43" i="4"/>
  <c r="T43" i="4"/>
  <c r="AG42" i="4"/>
  <c r="U42" i="4"/>
  <c r="T42" i="4"/>
  <c r="AG41" i="4"/>
  <c r="AE41" i="4"/>
  <c r="U41" i="4"/>
  <c r="T41" i="4"/>
  <c r="AG40" i="4"/>
  <c r="U40" i="4"/>
  <c r="T40" i="4"/>
  <c r="AE39" i="4"/>
  <c r="U39" i="4"/>
  <c r="T39" i="4"/>
  <c r="AG38" i="4"/>
  <c r="AE38" i="4"/>
  <c r="U38" i="4"/>
  <c r="T38" i="4"/>
  <c r="AE37" i="4"/>
  <c r="U37" i="4"/>
  <c r="T37" i="4"/>
  <c r="AG36" i="4"/>
  <c r="U36" i="4"/>
  <c r="T36" i="4"/>
  <c r="U35" i="4"/>
  <c r="T35" i="4"/>
  <c r="U34" i="4"/>
  <c r="T34" i="4"/>
  <c r="AE33" i="4"/>
  <c r="U33" i="4"/>
  <c r="U32" i="4"/>
  <c r="U31" i="4"/>
  <c r="U30" i="4"/>
  <c r="U29" i="4"/>
  <c r="AE28" i="4"/>
  <c r="U28" i="4"/>
  <c r="AE27" i="4"/>
  <c r="U27" i="4"/>
  <c r="AE26" i="4"/>
  <c r="U26" i="4"/>
  <c r="U25" i="4"/>
  <c r="U23" i="4"/>
  <c r="U22" i="4"/>
  <c r="AE21" i="4"/>
  <c r="U21" i="4"/>
  <c r="AE20" i="4"/>
  <c r="U20" i="4"/>
  <c r="AE19" i="4"/>
  <c r="U19" i="4"/>
  <c r="AE18" i="4"/>
  <c r="U18" i="4"/>
  <c r="U17" i="4"/>
  <c r="U16" i="4"/>
  <c r="U15" i="4"/>
  <c r="U14" i="4"/>
  <c r="AE13" i="4"/>
  <c r="U13" i="4"/>
  <c r="AE12" i="4"/>
  <c r="U12" i="4"/>
  <c r="AE11" i="4"/>
  <c r="U11" i="4"/>
  <c r="AE10" i="4"/>
  <c r="U10" i="4"/>
  <c r="U9" i="4"/>
  <c r="U8" i="4"/>
  <c r="U6" i="4"/>
  <c r="U5" i="4"/>
  <c r="AE4" i="4"/>
  <c r="U4" i="4"/>
  <c r="AE3" i="4"/>
  <c r="U3" i="4"/>
  <c r="AE2" i="4"/>
  <c r="U2" i="4"/>
  <c r="AG125" i="2"/>
  <c r="AE15" i="4" l="1"/>
  <c r="AE48" i="4"/>
  <c r="AE84" i="4"/>
  <c r="AE123" i="4"/>
  <c r="AE132" i="4"/>
  <c r="AE135" i="4"/>
  <c r="U166" i="4"/>
  <c r="AD145" i="4"/>
  <c r="AE88" i="4"/>
  <c r="AE161" i="4"/>
  <c r="AE89" i="4"/>
  <c r="AE98" i="4"/>
  <c r="AE147" i="4"/>
  <c r="AD150" i="4"/>
  <c r="AE153" i="4"/>
  <c r="AE83" i="4"/>
  <c r="AE91" i="4"/>
  <c r="AE151" i="4"/>
  <c r="AD152" i="4"/>
  <c r="AE166" i="4"/>
  <c r="AE168" i="4"/>
  <c r="AE50" i="4"/>
  <c r="AE109" i="4"/>
  <c r="AE6" i="4"/>
  <c r="AE42" i="4"/>
  <c r="AE104" i="4"/>
  <c r="AE146" i="4"/>
  <c r="AE162" i="4"/>
  <c r="T167" i="4"/>
  <c r="AD151" i="4"/>
  <c r="T53" i="4"/>
  <c r="AE150" i="4"/>
  <c r="AD146" i="4"/>
  <c r="T161" i="4"/>
  <c r="T162" i="4"/>
  <c r="AD147" i="4"/>
  <c r="AE152" i="4"/>
  <c r="AG36" i="2"/>
  <c r="AG38" i="2"/>
  <c r="AG40" i="2"/>
  <c r="AG41" i="2"/>
  <c r="AG42" i="2"/>
  <c r="AG43" i="2"/>
  <c r="AG44" i="2"/>
  <c r="AG46" i="2"/>
  <c r="AG47" i="2"/>
  <c r="AG48" i="2"/>
  <c r="AG49" i="2"/>
  <c r="AG51" i="2"/>
  <c r="AG52" i="2"/>
  <c r="AG53" i="2"/>
  <c r="AG54" i="2"/>
  <c r="AG55" i="2"/>
  <c r="AG57" i="2"/>
  <c r="AG58" i="2"/>
  <c r="AG59" i="2"/>
  <c r="AG61" i="2"/>
  <c r="AG62" i="2"/>
  <c r="AG63" i="2"/>
  <c r="AG64" i="2"/>
  <c r="AG65" i="2"/>
  <c r="AG67" i="2"/>
  <c r="AG68" i="2"/>
  <c r="AG69" i="2"/>
  <c r="AG70" i="2"/>
  <c r="AG71" i="2"/>
  <c r="AG73" i="2"/>
  <c r="AG74" i="2"/>
  <c r="AG75" i="2"/>
  <c r="AG80" i="2"/>
  <c r="AG86" i="2"/>
  <c r="AG89" i="2"/>
  <c r="AG91" i="2"/>
  <c r="AG96" i="2"/>
  <c r="AG102" i="2"/>
  <c r="AG103" i="2"/>
  <c r="AG104" i="2"/>
  <c r="AG105" i="2"/>
  <c r="AG106" i="2"/>
  <c r="AG107" i="2"/>
  <c r="AG108" i="2"/>
  <c r="AG109" i="2"/>
  <c r="AG110" i="2"/>
  <c r="AG111" i="2"/>
  <c r="AG113" i="2"/>
  <c r="AG114" i="2"/>
  <c r="AG127" i="2"/>
  <c r="AG136" i="2"/>
  <c r="T44" i="2" l="1"/>
  <c r="T43" i="2"/>
  <c r="T42" i="2"/>
  <c r="T41" i="2"/>
  <c r="T40" i="2"/>
  <c r="T39" i="2"/>
  <c r="T38" i="2"/>
  <c r="T37" i="2"/>
  <c r="T36" i="2"/>
  <c r="T35" i="2"/>
  <c r="T34" i="2"/>
  <c r="T45" i="2"/>
  <c r="AG45" i="2"/>
  <c r="T46" i="2"/>
  <c r="T47" i="2"/>
  <c r="AH168" i="2" l="1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AR167" i="2" l="1"/>
  <c r="AQ167" i="2"/>
  <c r="AO167" i="2"/>
  <c r="AN167" i="2"/>
  <c r="AR166" i="2"/>
  <c r="AQ166" i="2"/>
  <c r="AO166" i="2"/>
  <c r="AN166" i="2"/>
  <c r="AR165" i="2"/>
  <c r="AQ165" i="2"/>
  <c r="AO165" i="2"/>
  <c r="AN165" i="2"/>
  <c r="AM165" i="2"/>
  <c r="AR164" i="2"/>
  <c r="AQ164" i="2"/>
  <c r="AO164" i="2"/>
  <c r="AN164" i="2"/>
  <c r="AR163" i="2"/>
  <c r="AQ163" i="2"/>
  <c r="AO163" i="2"/>
  <c r="AN163" i="2"/>
  <c r="AQ162" i="2"/>
  <c r="AN162" i="2"/>
  <c r="AR161" i="2"/>
  <c r="AQ161" i="2"/>
  <c r="AO161" i="2"/>
  <c r="AN161" i="2"/>
  <c r="AO156" i="2"/>
  <c r="AN156" i="2"/>
  <c r="AM156" i="2"/>
  <c r="AJ156" i="2"/>
  <c r="AO155" i="2"/>
  <c r="AN155" i="2"/>
  <c r="AM155" i="2"/>
  <c r="AJ155" i="2"/>
  <c r="AO154" i="2"/>
  <c r="AN154" i="2"/>
  <c r="AM154" i="2"/>
  <c r="AO153" i="2"/>
  <c r="AN153" i="2"/>
  <c r="AM153" i="2"/>
  <c r="AK159" i="2"/>
  <c r="AK158" i="2"/>
  <c r="AK157" i="2"/>
  <c r="AK156" i="2"/>
  <c r="AK155" i="2"/>
  <c r="AK154" i="2"/>
  <c r="AK153" i="2"/>
  <c r="AI159" i="2"/>
  <c r="AI156" i="2"/>
  <c r="AI155" i="2"/>
  <c r="AI154" i="2"/>
  <c r="AI153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54" i="2"/>
  <c r="AH153" i="2"/>
  <c r="T162" i="2" l="1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61" i="2"/>
  <c r="AD144" i="2" l="1"/>
  <c r="AD145" i="2"/>
  <c r="AD146" i="2"/>
  <c r="AD147" i="2"/>
  <c r="AD148" i="2"/>
  <c r="AD149" i="2"/>
  <c r="AD150" i="2"/>
  <c r="AD151" i="2"/>
  <c r="AD152" i="2"/>
  <c r="AD143" i="2"/>
  <c r="T144" i="2"/>
  <c r="T145" i="2"/>
  <c r="T146" i="2"/>
  <c r="T147" i="2"/>
  <c r="T148" i="2"/>
  <c r="T149" i="2"/>
  <c r="T150" i="2"/>
  <c r="T151" i="2"/>
  <c r="T152" i="2"/>
  <c r="T143" i="2"/>
</calcChain>
</file>

<file path=xl/sharedStrings.xml><?xml version="1.0" encoding="utf-8"?>
<sst xmlns="http://schemas.openxmlformats.org/spreadsheetml/2006/main" count="31392" uniqueCount="553">
  <si>
    <t>Lokal</t>
  </si>
  <si>
    <t>Fångstdatum</t>
  </si>
  <si>
    <t>SWEREF 99 18 00</t>
  </si>
  <si>
    <t>Nej</t>
  </si>
  <si>
    <t>Riddarfjärden</t>
  </si>
  <si>
    <t>Ulvsundasjön</t>
  </si>
  <si>
    <t>Långsjön</t>
  </si>
  <si>
    <t>Trekanten</t>
  </si>
  <si>
    <t>Flaten</t>
  </si>
  <si>
    <t>Ältasjön</t>
  </si>
  <si>
    <t>Orlången</t>
  </si>
  <si>
    <t>Tyresö-Flaten</t>
  </si>
  <si>
    <t>Trehörningen-Sjödalen</t>
  </si>
  <si>
    <t>ej inkommit</t>
  </si>
  <si>
    <t>Kvarnsjön-Gladö</t>
  </si>
  <si>
    <t>Lycksjön</t>
  </si>
  <si>
    <t>Bylsjön</t>
  </si>
  <si>
    <t>Art</t>
  </si>
  <si>
    <t>År</t>
  </si>
  <si>
    <t>Aborre</t>
  </si>
  <si>
    <t>Abborre</t>
  </si>
  <si>
    <t>Drevviken</t>
  </si>
  <si>
    <t>Årstaviken</t>
  </si>
  <si>
    <t>Brunnsviken</t>
  </si>
  <si>
    <t>Djurgårdsbrunnsviken</t>
  </si>
  <si>
    <t>Magelungen</t>
  </si>
  <si>
    <t>Judarn</t>
  </si>
  <si>
    <t>Görväln</t>
  </si>
  <si>
    <t>Fiskarfjärden</t>
  </si>
  <si>
    <t>Råstasjön</t>
  </si>
  <si>
    <t>Sicklasjön</t>
  </si>
  <si>
    <t>-</t>
  </si>
  <si>
    <t>Detektionsgräns</t>
  </si>
  <si>
    <t>Ja</t>
  </si>
  <si>
    <t>&lt;0,027</t>
  </si>
  <si>
    <t>&lt;0,074</t>
  </si>
  <si>
    <t>&lt;0,21</t>
  </si>
  <si>
    <t>&lt;0,075</t>
  </si>
  <si>
    <t>&lt;0,22</t>
  </si>
  <si>
    <t>&lt;0,04</t>
  </si>
  <si>
    <t>&lt;0,026</t>
  </si>
  <si>
    <t>&lt;0,11</t>
  </si>
  <si>
    <t>&lt;0,31</t>
  </si>
  <si>
    <t>&lt;35</t>
  </si>
  <si>
    <t>&lt;10</t>
  </si>
  <si>
    <t>&lt;1,0</t>
  </si>
  <si>
    <t>&lt;0,5</t>
  </si>
  <si>
    <t>&lt;0,029</t>
  </si>
  <si>
    <t>&lt;0,035</t>
  </si>
  <si>
    <t>&lt;0,032</t>
  </si>
  <si>
    <t>&lt;0,056</t>
  </si>
  <si>
    <t>&lt;0,059</t>
  </si>
  <si>
    <t>&lt;0,055</t>
  </si>
  <si>
    <t>&lt;0,079</t>
  </si>
  <si>
    <t>&lt;1</t>
  </si>
  <si>
    <t>&lt;0,12</t>
  </si>
  <si>
    <t>&lt;0,02</t>
  </si>
  <si>
    <t>&lt;0,017</t>
  </si>
  <si>
    <t>&lt;0,0079</t>
  </si>
  <si>
    <t>&lt;0,012</t>
  </si>
  <si>
    <t>&lt;0,013</t>
  </si>
  <si>
    <t>&lt;0,008</t>
  </si>
  <si>
    <t>&lt;0,015</t>
  </si>
  <si>
    <t>&lt;0,004</t>
  </si>
  <si>
    <t>&lt;0,009</t>
  </si>
  <si>
    <t>&lt;0,1</t>
  </si>
  <si>
    <t>&lt;0,019</t>
  </si>
  <si>
    <t>&lt;0,014</t>
  </si>
  <si>
    <t>&lt;0,022</t>
  </si>
  <si>
    <t>&lt;0,2</t>
  </si>
  <si>
    <t>&lt;0,03</t>
  </si>
  <si>
    <t>&lt;0,05</t>
  </si>
  <si>
    <t>&lt;0,01</t>
  </si>
  <si>
    <t>&lt;0,011</t>
  </si>
  <si>
    <t>&lt;0,018</t>
  </si>
  <si>
    <t>&lt;0,028</t>
  </si>
  <si>
    <t>&lt;0,024</t>
  </si>
  <si>
    <t>&lt;0,023</t>
  </si>
  <si>
    <t>&lt;0,025</t>
  </si>
  <si>
    <t>Lilla Värtan</t>
  </si>
  <si>
    <t>Nedre Rudasjön</t>
  </si>
  <si>
    <t>Råcksta träsk</t>
  </si>
  <si>
    <t>Lilla värtan</t>
  </si>
  <si>
    <t>&lt;0,0014</t>
  </si>
  <si>
    <t>&lt;0,0003</t>
  </si>
  <si>
    <t>&lt;0,00043</t>
  </si>
  <si>
    <t>&lt;0,00073</t>
  </si>
  <si>
    <t>&lt;0,00092</t>
  </si>
  <si>
    <t>&lt;0,0026</t>
  </si>
  <si>
    <t>&lt;0,0046</t>
  </si>
  <si>
    <t>&lt;0,0086</t>
  </si>
  <si>
    <t>&lt;0,0021</t>
  </si>
  <si>
    <t>&lt;0,0023</t>
  </si>
  <si>
    <t>&lt;0,00069</t>
  </si>
  <si>
    <t>&lt;0,0034</t>
  </si>
  <si>
    <t>&lt;0,0044</t>
  </si>
  <si>
    <t>&lt;0,0024</t>
  </si>
  <si>
    <t>&lt;0,0029</t>
  </si>
  <si>
    <t>&lt;0,0027</t>
  </si>
  <si>
    <t>&lt;0,0016</t>
  </si>
  <si>
    <t>&lt;0,0006</t>
  </si>
  <si>
    <t>&lt;0,0015</t>
  </si>
  <si>
    <t>&lt;0,0013</t>
  </si>
  <si>
    <t>&lt;0,0054</t>
  </si>
  <si>
    <t>&lt;0,0037</t>
  </si>
  <si>
    <t>&lt;0,044</t>
  </si>
  <si>
    <t>&lt;0,033</t>
  </si>
  <si>
    <t>&lt;0,042</t>
  </si>
  <si>
    <t>&lt;0,037</t>
  </si>
  <si>
    <t>&lt;0,036</t>
  </si>
  <si>
    <t>Notering</t>
  </si>
  <si>
    <t>Vattenförekomst</t>
  </si>
  <si>
    <t>Strömmen</t>
  </si>
  <si>
    <t>Antal fiskar i poolat prov</t>
  </si>
  <si>
    <t>1</t>
  </si>
  <si>
    <t>Brunnsviken N</t>
  </si>
  <si>
    <t>Brunnsviken S</t>
  </si>
  <si>
    <t>&lt;72</t>
  </si>
  <si>
    <t>&lt;43</t>
  </si>
  <si>
    <t>&lt;86</t>
  </si>
  <si>
    <t>&lt;52</t>
  </si>
  <si>
    <t>&lt;87</t>
  </si>
  <si>
    <t>&lt;64</t>
  </si>
  <si>
    <t>&lt;38</t>
  </si>
  <si>
    <t>Insamling av fisk i norra delen av Brunnsviken gjordes som en screening bara detta år. Undersökning på initiativ av Solna stad.</t>
  </si>
  <si>
    <t>Halter av PFAS i muskel är beräknade baserat på uppmätta halter i lever (dividerat med 18,8) (Faxneld S., et al 2014, Report 9:2014. Swedish Museum of Natural History.)</t>
  </si>
  <si>
    <t>&lt;0,3</t>
  </si>
  <si>
    <t xml:space="preserve"> -</t>
  </si>
  <si>
    <t>&lt;0,19</t>
  </si>
  <si>
    <t>&lt;0,18</t>
  </si>
  <si>
    <t>&lt;0,005</t>
  </si>
  <si>
    <t>&lt;0,51</t>
  </si>
  <si>
    <t>Älvsjö-Långsjön</t>
  </si>
  <si>
    <t>&lt;0,15</t>
  </si>
  <si>
    <t>&lt;0,092</t>
  </si>
  <si>
    <t>&lt;0,095</t>
  </si>
  <si>
    <t>&lt;0,096</t>
  </si>
  <si>
    <t>&lt;0,097</t>
  </si>
  <si>
    <t>&lt;0,039</t>
  </si>
  <si>
    <t>&lt;0,089</t>
  </si>
  <si>
    <t>&lt;0,038</t>
  </si>
  <si>
    <t>&lt;0,087</t>
  </si>
  <si>
    <t>&lt;0,094</t>
  </si>
  <si>
    <t>&lt;2</t>
  </si>
  <si>
    <t>&lt;0,06</t>
  </si>
  <si>
    <t>&lt;0,16</t>
  </si>
  <si>
    <t>&lt;5</t>
  </si>
  <si>
    <t>&lt;0,29</t>
  </si>
  <si>
    <t>&lt;0,46</t>
  </si>
  <si>
    <t>&lt;4</t>
  </si>
  <si>
    <t>&lt;0,39</t>
  </si>
  <si>
    <t>&lt;0,17</t>
  </si>
  <si>
    <t>&lt;0,32</t>
  </si>
  <si>
    <t>&lt;0,13</t>
  </si>
  <si>
    <t>&lt;0,112</t>
  </si>
  <si>
    <t>&lt;0,00469</t>
  </si>
  <si>
    <t>&lt;0,004989</t>
  </si>
  <si>
    <t>&lt;0,00492</t>
  </si>
  <si>
    <t>NA</t>
  </si>
  <si>
    <t xml:space="preserve"> NA</t>
  </si>
  <si>
    <t>LOD</t>
  </si>
  <si>
    <t>NA1,0</t>
  </si>
  <si>
    <t>NA1,4</t>
  </si>
  <si>
    <t>&lt;0,78</t>
  </si>
  <si>
    <t>NA1,9</t>
  </si>
  <si>
    <t>NA1,7</t>
  </si>
  <si>
    <t>&lt;2,9</t>
  </si>
  <si>
    <t>&lt;3,7</t>
  </si>
  <si>
    <t>&lt;2,5</t>
  </si>
  <si>
    <t>Brunnsviken Södra  är den ordinarie provpunkten</t>
  </si>
  <si>
    <t>Järlasjön</t>
  </si>
  <si>
    <t>Lillsjön</t>
  </si>
  <si>
    <t>2022</t>
  </si>
  <si>
    <t>10</t>
  </si>
  <si>
    <t>&lt;0,10275380189067</t>
  </si>
  <si>
    <t>&lt;0,001</t>
  </si>
  <si>
    <t>&lt;0,104942806170637</t>
  </si>
  <si>
    <t>&lt;0,102480016396803</t>
  </si>
  <si>
    <t>&lt;0,0986096045754856</t>
  </si>
  <si>
    <t>&lt;0,100684655658478</t>
  </si>
  <si>
    <t>&lt;0,100361300682457</t>
  </si>
  <si>
    <t>&lt;0,0976467141880676</t>
  </si>
  <si>
    <t>&lt;0,102522042239081</t>
  </si>
  <si>
    <t>&lt;0,0178135179153094</t>
  </si>
  <si>
    <t>&lt;0,101791530944625</t>
  </si>
  <si>
    <t>&lt;0,0179487179487179</t>
  </si>
  <si>
    <t>&lt;0,102564102564103</t>
  </si>
  <si>
    <t>&lt;0,0188070929607738</t>
  </si>
  <si>
    <t>&lt;0,107469102632993</t>
  </si>
  <si>
    <t>&lt;0,0162187210379981</t>
  </si>
  <si>
    <t>&lt;0,0129749768303985</t>
  </si>
  <si>
    <t>&lt;0,092678405931418</t>
  </si>
  <si>
    <t>&lt;0,016562559151997</t>
  </si>
  <si>
    <t>&lt;0,0946431951542684</t>
  </si>
  <si>
    <t>&lt;0,0179193118984231</t>
  </si>
  <si>
    <t>&lt;0,102396067990989</t>
  </si>
  <si>
    <t>&lt;0,018434636047614</t>
  </si>
  <si>
    <t>&lt;0,105340777414937</t>
  </si>
  <si>
    <t>&lt;0,0183997476606035</t>
  </si>
  <si>
    <t>&lt;0,105141415203449</t>
  </si>
  <si>
    <t>&lt;0,016394978452314</t>
  </si>
  <si>
    <t>&lt;0,017770105605199</t>
  </si>
  <si>
    <t>&lt;0,0178973205154428</t>
  </si>
  <si>
    <t>Djurgårdsbrunnsv</t>
  </si>
  <si>
    <t>Magelungen*, fryst 2021 analys 2023</t>
  </si>
  <si>
    <t>Magelungen*, fryst 2020 analys 2023</t>
  </si>
  <si>
    <t>Djurgårdsbrunnsv*, fryst 2020, analys 2023</t>
  </si>
  <si>
    <t>Djurgårdsbrunnsv*, fryst 2022, analys 2023</t>
  </si>
  <si>
    <t>Magelungen*, fryst 2022 analys 2023</t>
  </si>
  <si>
    <t>Djurgårdsbrunnsv*, fryst 2021, analys 2023</t>
  </si>
  <si>
    <t>&lt;0,0253395499695925</t>
  </si>
  <si>
    <t>&lt;0,0506790999391851</t>
  </si>
  <si>
    <t>&lt;0,4</t>
  </si>
  <si>
    <t>&lt;0,23</t>
  </si>
  <si>
    <t>&lt;0,0251382604323781</t>
  </si>
  <si>
    <t>&lt;0,0502765208647562</t>
  </si>
  <si>
    <t>&lt;0,76</t>
  </si>
  <si>
    <t>&lt;0,024492995003429</t>
  </si>
  <si>
    <t>&lt;0,0391887920054864</t>
  </si>
  <si>
    <t>&lt;0,048985990006858</t>
  </si>
  <si>
    <t>&lt;0,0201106083459025</t>
  </si>
  <si>
    <t>&lt;0,0301659125188537</t>
  </si>
  <si>
    <t>&lt;0,0402212166918049</t>
  </si>
  <si>
    <t>&lt;0,37</t>
  </si>
  <si>
    <t>&lt;0,41</t>
  </si>
  <si>
    <t>&lt;0,0243878645985758</t>
  </si>
  <si>
    <t>&lt;0,0390205833577212</t>
  </si>
  <si>
    <t>&lt;0,0507305194805195</t>
  </si>
  <si>
    <t>&lt;0,0246329687653956</t>
  </si>
  <si>
    <t>&lt;0,0492659375307912</t>
  </si>
  <si>
    <t>&lt;0,025166096235152</t>
  </si>
  <si>
    <t>&lt;0,050332192470304</t>
  </si>
  <si>
    <t>&lt;0,0250802568218299</t>
  </si>
  <si>
    <t>&lt;0,0501605136436597</t>
  </si>
  <si>
    <t>&lt;0,0246305418719212</t>
  </si>
  <si>
    <t>&lt;0,0492610837438424</t>
  </si>
  <si>
    <t>&lt;0,0247304382233653</t>
  </si>
  <si>
    <t>&lt;0,0494608764467306</t>
  </si>
  <si>
    <t>&lt;0,0244355390479914</t>
  </si>
  <si>
    <t>&lt;0,0390968624767862</t>
  </si>
  <si>
    <t>&lt;0,0488710780959828</t>
  </si>
  <si>
    <t>&lt;0,0254478827361564</t>
  </si>
  <si>
    <t>&lt;0,0508957654723127</t>
  </si>
  <si>
    <t>&lt;0,0249476100189602</t>
  </si>
  <si>
    <t>&lt;0,0399161760303363</t>
  </si>
  <si>
    <t>&lt;0,0498952200379204</t>
  </si>
  <si>
    <t>&lt;0,0249505461028524</t>
  </si>
  <si>
    <t>&lt;0,0399208737645639</t>
  </si>
  <si>
    <t>&lt;0,0503119339907426</t>
  </si>
  <si>
    <t>&lt;0,0252117789431222</t>
  </si>
  <si>
    <t>&lt;0,0403388463089956</t>
  </si>
  <si>
    <t>&lt;0,0504235578862445</t>
  </si>
  <si>
    <t>&lt;0,33</t>
  </si>
  <si>
    <t>&lt;0,48</t>
  </si>
  <si>
    <t>&lt;0,52</t>
  </si>
  <si>
    <t>&lt;0,0251281535832747</t>
  </si>
  <si>
    <t>&lt;0,0402050457332395</t>
  </si>
  <si>
    <t>&lt;0,0502563071665494</t>
  </si>
  <si>
    <t>&lt;0,024781919111816</t>
  </si>
  <si>
    <t>&lt;0,049563838223632</t>
  </si>
  <si>
    <t>&lt;0,0252576278035967</t>
  </si>
  <si>
    <t>&lt;0,0505152556071934</t>
  </si>
  <si>
    <t>&lt;0,024975024975025</t>
  </si>
  <si>
    <t>&lt;0,03996003996004</t>
  </si>
  <si>
    <t>&lt;0,04995004995005</t>
  </si>
  <si>
    <t>&lt;0,0247573776985542</t>
  </si>
  <si>
    <t>&lt;0,0396118043176867</t>
  </si>
  <si>
    <t>&lt;0,0495147553971083</t>
  </si>
  <si>
    <t>&lt;0,0251635631605435</t>
  </si>
  <si>
    <t>&lt;0,0402617010568697</t>
  </si>
  <si>
    <t>&lt;0,0503271263210871</t>
  </si>
  <si>
    <t>&lt;0,0245990357177999</t>
  </si>
  <si>
    <t>&lt;0,0393584571484798</t>
  </si>
  <si>
    <t>&lt;0,0491980714355997</t>
  </si>
  <si>
    <t>&lt;0,0250978817387812</t>
  </si>
  <si>
    <t>&lt;0,0501957634775625</t>
  </si>
  <si>
    <t>&lt;0,0252397778899546</t>
  </si>
  <si>
    <t>&lt;0,0504795557799091</t>
  </si>
  <si>
    <t>PCB28 µg/kg vv muskel</t>
  </si>
  <si>
    <t>PCB52 µg/kg vv muskel</t>
  </si>
  <si>
    <t>PCB101 µg/kg vv muskel</t>
  </si>
  <si>
    <t>PCB118 µg/kg vv muskel</t>
  </si>
  <si>
    <t>PCB153 µg/kg vv muskel</t>
  </si>
  <si>
    <t>PCB138 µg/kg vv muskel</t>
  </si>
  <si>
    <t>PCB180 µg/kg vv muskel</t>
  </si>
  <si>
    <t>SummaPCB7 µg/kg vv muskel</t>
  </si>
  <si>
    <t>Fetthalt muskel %</t>
  </si>
  <si>
    <t>Fetthalt lever %</t>
  </si>
  <si>
    <t>Poolat prov Ja/Nej</t>
  </si>
  <si>
    <t>SummaPCB6_lipidnorm (MB) muskel</t>
  </si>
  <si>
    <t>PBDE28 µg/kg vv muskel</t>
  </si>
  <si>
    <t>PBDE47 µg/kg vv muskel</t>
  </si>
  <si>
    <t>PBDE100 µg/kg vv muskel</t>
  </si>
  <si>
    <t>PBDE99 µg/kg vv muskel</t>
  </si>
  <si>
    <t>PBDE85 µg/kg vv muskel</t>
  </si>
  <si>
    <t>PBDE154 µg/kg vv muskel</t>
  </si>
  <si>
    <t>PBDE153 µg/kg vv muskel</t>
  </si>
  <si>
    <t>PBDE209 µg/kg vv muskel</t>
  </si>
  <si>
    <t>SummaPBDE µg/kg vv muskel</t>
  </si>
  <si>
    <t>Summa_PBDE6 (MB) µg/kg vv muskel</t>
  </si>
  <si>
    <t>HBCD µg/kg vv muskel</t>
  </si>
  <si>
    <t>HBCD_lipidnorm (MB) muskel</t>
  </si>
  <si>
    <t>PFOS (MB) µg/kg vv muskel</t>
  </si>
  <si>
    <t>PFOA µg/kg vv muskel</t>
  </si>
  <si>
    <t>PFHxA µg/kg vv muskel</t>
  </si>
  <si>
    <t>PFHxS µg/kg vv muskel</t>
  </si>
  <si>
    <t>PFHpA µg/kg vv muskel</t>
  </si>
  <si>
    <t>PFNA µg/kg vv muskel</t>
  </si>
  <si>
    <t>PFDA µg/kg vv muskel</t>
  </si>
  <si>
    <t>PFDS µg/kg vv muskel</t>
  </si>
  <si>
    <t>PFBS µg/kg vv muskel</t>
  </si>
  <si>
    <t>PFUnDA µg/kg vv muskel</t>
  </si>
  <si>
    <t>PFOSA µg/kg vv muskel</t>
  </si>
  <si>
    <t>PFDoDA µg/kg vv muskel</t>
  </si>
  <si>
    <t>PFTrDA µg/kg vv muskel</t>
  </si>
  <si>
    <t>PFTeDA µg/kg vv muskel</t>
  </si>
  <si>
    <t>6:2 FTS µg/kg vv muskel</t>
  </si>
  <si>
    <t>8:2 FTS µg/kg vv muskel</t>
  </si>
  <si>
    <t>PFHpS µg/kg vv muskel</t>
  </si>
  <si>
    <t>PFNS µg/kg vv muskel</t>
  </si>
  <si>
    <t>PFUnDS µg/kg vv muskel</t>
  </si>
  <si>
    <t>PFDoDS µg/kg vv muskel</t>
  </si>
  <si>
    <t>PFTrDS µg/kg vv muskel</t>
  </si>
  <si>
    <t>PFOS µg/kg vv lever</t>
  </si>
  <si>
    <t>PFOA µg/kg vv lever</t>
  </si>
  <si>
    <t>PFHxA µg/kg vv lever</t>
  </si>
  <si>
    <t>PFHxS µg/kg vv lever</t>
  </si>
  <si>
    <t>PFHpA µg/kg vv lever</t>
  </si>
  <si>
    <t>PFNA µg/kg vv lever</t>
  </si>
  <si>
    <t>PFDA µg/kg vv lever</t>
  </si>
  <si>
    <t>PFDS µg/kg vv lever</t>
  </si>
  <si>
    <t>PFBS µg/kg vv lever</t>
  </si>
  <si>
    <t>PFUnDA µg/kg vv lever</t>
  </si>
  <si>
    <t>PFOSA µg/kg vv lever</t>
  </si>
  <si>
    <t>Kvicksilver (MB) µg/kg vv muskel</t>
  </si>
  <si>
    <t>DiBP  µg/kg vv muskel</t>
  </si>
  <si>
    <t>DBP µg/kg vv muskel</t>
  </si>
  <si>
    <t>BBP µg/kg vv muskel</t>
  </si>
  <si>
    <t>DEHP µg/kg vv muskel</t>
  </si>
  <si>
    <t>DOP µg/kg vv muskel</t>
  </si>
  <si>
    <t>DiNP µg/kg vv muskel</t>
  </si>
  <si>
    <t>DiDP µg/kg vv muskel</t>
  </si>
  <si>
    <t>TiBP µg/kg vv muskel</t>
  </si>
  <si>
    <t>TBP µg/kg vv muskel</t>
  </si>
  <si>
    <t>TCEP µg/kg vv muskel</t>
  </si>
  <si>
    <t>TCPP µg/kg vv muskel</t>
  </si>
  <si>
    <t>DBPhP µg/kg vv muskel</t>
  </si>
  <si>
    <t>DPhBP µg/kg vv muskel</t>
  </si>
  <si>
    <t>TDCPP µg/kg vv muskel</t>
  </si>
  <si>
    <t>TBEP µg/kg vv muskel</t>
  </si>
  <si>
    <t>TPhP µg/kg vv muskel</t>
  </si>
  <si>
    <t>EHDPP µg/kg vv muskel</t>
  </si>
  <si>
    <t>TEHP µg/kg vv muskel</t>
  </si>
  <si>
    <t>ToCP µg/kg vv muskel</t>
  </si>
  <si>
    <t>TCP µg/kg vv muskel</t>
  </si>
  <si>
    <t>PCB 28 ng/g lipid muskel</t>
  </si>
  <si>
    <t>PCB 52 ng/g lipid muskel</t>
  </si>
  <si>
    <t>PCB 101 ng/g lipid muskel</t>
  </si>
  <si>
    <t>PCB 118 ng/g lipid muskel</t>
  </si>
  <si>
    <t>PCB 153 ng/g lipid muskel</t>
  </si>
  <si>
    <t>PCB 138 ng/g lipid muskel</t>
  </si>
  <si>
    <t>PCB180 ng/g lipid muskel</t>
  </si>
  <si>
    <t>Summa PCB7 ng/g lipid muskel</t>
  </si>
  <si>
    <t>PBDE 47* ng/g lipid muskel</t>
  </si>
  <si>
    <t>PBDE-100* ng/g lipid muskel</t>
  </si>
  <si>
    <t>PBDE-99* ng/g lipid muskel</t>
  </si>
  <si>
    <t>PBDE 85* ng/g lipid muskel</t>
  </si>
  <si>
    <t>PBDE 154* ng/g lipid muskel</t>
  </si>
  <si>
    <t>PBDE 153*ng/g lipid muskel</t>
  </si>
  <si>
    <t>PBDE-209* ng/g lipid muskel</t>
  </si>
  <si>
    <t>Summa PBDE ng/g lipid muskel</t>
  </si>
  <si>
    <t>HBCD* ng/g lipid muskel</t>
  </si>
  <si>
    <t>-0,0253395499695925</t>
  </si>
  <si>
    <t>-0,0506790999391851</t>
  </si>
  <si>
    <t>-0,0251382604323781</t>
  </si>
  <si>
    <t>-0,0502765208647562</t>
  </si>
  <si>
    <t>-0,024492995003429</t>
  </si>
  <si>
    <t>-0,0391887920054864</t>
  </si>
  <si>
    <t>-0,048985990006858</t>
  </si>
  <si>
    <t>-0,0201106083459025</t>
  </si>
  <si>
    <t>-0,0301659125188537</t>
  </si>
  <si>
    <t>-0,0402212166918049</t>
  </si>
  <si>
    <t>-0,18</t>
  </si>
  <si>
    <t>-0,0243878645985758</t>
  </si>
  <si>
    <t>-0,0390205833577212</t>
  </si>
  <si>
    <t>-0,0507305194805195</t>
  </si>
  <si>
    <t>-0,039</t>
  </si>
  <si>
    <t>-0,0246329687653956</t>
  </si>
  <si>
    <t>-0,0492659375307912</t>
  </si>
  <si>
    <t>-0,025166096235152</t>
  </si>
  <si>
    <t>-0,050332192470304</t>
  </si>
  <si>
    <t>-0,0250802568218299</t>
  </si>
  <si>
    <t>-0,0501605136436597</t>
  </si>
  <si>
    <t>-0,0246305418719212</t>
  </si>
  <si>
    <t>-0,0492610837438424</t>
  </si>
  <si>
    <t>-0,0247304382233653</t>
  </si>
  <si>
    <t>-0,0494608764467306</t>
  </si>
  <si>
    <t>-0,0244355390479914</t>
  </si>
  <si>
    <t>-0,0390968624767862</t>
  </si>
  <si>
    <t>-0,0488710780959828</t>
  </si>
  <si>
    <t>-0,0254478827361564</t>
  </si>
  <si>
    <t>-0,0508957654723127</t>
  </si>
  <si>
    <t>-0,0249476100189602</t>
  </si>
  <si>
    <t>-0,0399161760303363</t>
  </si>
  <si>
    <t>-0,0498952200379204</t>
  </si>
  <si>
    <t>-0,0249505461028524</t>
  </si>
  <si>
    <t>-0,0399208737645639</t>
  </si>
  <si>
    <t>-0,0503119339907426</t>
  </si>
  <si>
    <t>-0,0252117789431222</t>
  </si>
  <si>
    <t>-0,0403388463089956</t>
  </si>
  <si>
    <t>-0,0504235578862445</t>
  </si>
  <si>
    <t>-0,0251281535832747</t>
  </si>
  <si>
    <t>-0,0402050457332395</t>
  </si>
  <si>
    <t>-0,0502563071665494</t>
  </si>
  <si>
    <t>-0,024781919111816</t>
  </si>
  <si>
    <t>-0,049563838223632</t>
  </si>
  <si>
    <t>-0,0252576278035967</t>
  </si>
  <si>
    <t>-0,0505152556071934</t>
  </si>
  <si>
    <t>-0,024975024975025</t>
  </si>
  <si>
    <t>-0,03996003996004</t>
  </si>
  <si>
    <t>-0,04995004995005</t>
  </si>
  <si>
    <t>-0,04</t>
  </si>
  <si>
    <t>-0,0247573776985542</t>
  </si>
  <si>
    <t>-0,0396118043176867</t>
  </si>
  <si>
    <t>-0,0495147553971083</t>
  </si>
  <si>
    <t>-0,0251635631605435</t>
  </si>
  <si>
    <t>-0,0402617010568697</t>
  </si>
  <si>
    <t>-0,0503271263210871</t>
  </si>
  <si>
    <t>-0,0245990357177999</t>
  </si>
  <si>
    <t>-0,0393584571484798</t>
  </si>
  <si>
    <t>-0,0491980714355997</t>
  </si>
  <si>
    <t>-0,0250978817387812</t>
  </si>
  <si>
    <t>-0,0501957634775625</t>
  </si>
  <si>
    <t>-0,0252397778899546</t>
  </si>
  <si>
    <t>-0,0504795557799091</t>
  </si>
  <si>
    <t>-0,026</t>
  </si>
  <si>
    <t>-0,10275380189067</t>
  </si>
  <si>
    <t>-0,2</t>
  </si>
  <si>
    <t>-0,1</t>
  </si>
  <si>
    <t>-0,104942806170637</t>
  </si>
  <si>
    <t>-0,025</t>
  </si>
  <si>
    <t>-0,102480016396803</t>
  </si>
  <si>
    <t>-0,0986096045754856</t>
  </si>
  <si>
    <t>-0,100684655658478</t>
  </si>
  <si>
    <t>-0,100361300682457</t>
  </si>
  <si>
    <t>-0,024</t>
  </si>
  <si>
    <t>-0,0976467141880676</t>
  </si>
  <si>
    <t>-0,102522042239081</t>
  </si>
  <si>
    <t>-0,0178135179153094</t>
  </si>
  <si>
    <t>-0,101791530944625</t>
  </si>
  <si>
    <t>-0,0179487179487179</t>
  </si>
  <si>
    <t>-0,102564102564103</t>
  </si>
  <si>
    <t>-0,0188070929607738</t>
  </si>
  <si>
    <t>-0,107469102632993</t>
  </si>
  <si>
    <t>-0,0162187210379981</t>
  </si>
  <si>
    <t>-0,0129749768303985</t>
  </si>
  <si>
    <t>-0,092678405931418</t>
  </si>
  <si>
    <t>-0,016562559151997</t>
  </si>
  <si>
    <t>-0,0946431951542684</t>
  </si>
  <si>
    <t>-0,0179193118984231</t>
  </si>
  <si>
    <t>-0,102396067990989</t>
  </si>
  <si>
    <t>-0,018434636047614</t>
  </si>
  <si>
    <t>-0,105340777414937</t>
  </si>
  <si>
    <t>-0,0183997476606035</t>
  </si>
  <si>
    <t>-0,105141415203449</t>
  </si>
  <si>
    <t>-0,016394978452314</t>
  </si>
  <si>
    <t>-0,017770105605199</t>
  </si>
  <si>
    <t>-0,0178973205154428</t>
  </si>
  <si>
    <t>-0,022</t>
  </si>
  <si>
    <t>-0,092</t>
  </si>
  <si>
    <t>-0,095</t>
  </si>
  <si>
    <t>-0,096</t>
  </si>
  <si>
    <t>-0,023</t>
  </si>
  <si>
    <t>-0,019</t>
  </si>
  <si>
    <t>-0,097</t>
  </si>
  <si>
    <t>-0,089</t>
  </si>
  <si>
    <t>-0,038</t>
  </si>
  <si>
    <t>-0,087</t>
  </si>
  <si>
    <t>-0,094</t>
  </si>
  <si>
    <t>-0,5</t>
  </si>
  <si>
    <t>-0,3</t>
  </si>
  <si>
    <t>-0,19</t>
  </si>
  <si>
    <t>-0,02</t>
  </si>
  <si>
    <t>-0,013</t>
  </si>
  <si>
    <t>-0,01</t>
  </si>
  <si>
    <t>-0,015</t>
  </si>
  <si>
    <t>-0,03</t>
  </si>
  <si>
    <t>-0,014</t>
  </si>
  <si>
    <t>-0,05</t>
  </si>
  <si>
    <t>-1,0</t>
  </si>
  <si>
    <t>-0,78</t>
  </si>
  <si>
    <t>-0,012</t>
  </si>
  <si>
    <t>-0,06</t>
  </si>
  <si>
    <t>-0,004</t>
  </si>
  <si>
    <t>-2,5</t>
  </si>
  <si>
    <t>-0,011</t>
  </si>
  <si>
    <t>-0,018</t>
  </si>
  <si>
    <t>-0,028</t>
  </si>
  <si>
    <t>-0,027</t>
  </si>
  <si>
    <t>-0,074</t>
  </si>
  <si>
    <t>-0,075</t>
  </si>
  <si>
    <t>-0,22</t>
  </si>
  <si>
    <t>-0,11</t>
  </si>
  <si>
    <t>-0,31</t>
  </si>
  <si>
    <t>-2,9</t>
  </si>
  <si>
    <t>-3,7</t>
  </si>
  <si>
    <t>-0,0014</t>
  </si>
  <si>
    <t>-0,0034</t>
  </si>
  <si>
    <t>-0,0044</t>
  </si>
  <si>
    <t>-0,0016</t>
  </si>
  <si>
    <t>-0,0054</t>
  </si>
  <si>
    <t>-0,044</t>
  </si>
  <si>
    <t>-0,029</t>
  </si>
  <si>
    <t>-0,032</t>
  </si>
  <si>
    <t>-0,055</t>
  </si>
  <si>
    <t>-0,16</t>
  </si>
  <si>
    <t>-0,079</t>
  </si>
  <si>
    <t>-0,0003</t>
  </si>
  <si>
    <t>-0,0026</t>
  </si>
  <si>
    <t>-0,00069</t>
  </si>
  <si>
    <t>-0,0024</t>
  </si>
  <si>
    <t>-0,0006</t>
  </si>
  <si>
    <t>-0,0021</t>
  </si>
  <si>
    <t>-0,033</t>
  </si>
  <si>
    <t>-0,035</t>
  </si>
  <si>
    <t>-0,056</t>
  </si>
  <si>
    <t>-0,12</t>
  </si>
  <si>
    <t>-0,29</t>
  </si>
  <si>
    <t>-0,00043</t>
  </si>
  <si>
    <t>-0,0046</t>
  </si>
  <si>
    <t>-0,0023</t>
  </si>
  <si>
    <t>-0,0029</t>
  </si>
  <si>
    <t>-0,0015</t>
  </si>
  <si>
    <t>-0,042</t>
  </si>
  <si>
    <t>-0,46</t>
  </si>
  <si>
    <t>-0,00073</t>
  </si>
  <si>
    <t>-0,39</t>
  </si>
  <si>
    <t>-0,0027</t>
  </si>
  <si>
    <t>-0,059</t>
  </si>
  <si>
    <t>-0,17</t>
  </si>
  <si>
    <t>-0,32</t>
  </si>
  <si>
    <t>-0,13</t>
  </si>
  <si>
    <t>-0,00092</t>
  </si>
  <si>
    <t>-0,0086</t>
  </si>
  <si>
    <t>-0,0013</t>
  </si>
  <si>
    <t>-0,0037</t>
  </si>
  <si>
    <t>-0,037</t>
  </si>
  <si>
    <t>-0,036</t>
  </si>
  <si>
    <t>-0,009</t>
  </si>
  <si>
    <t>-0,017</t>
  </si>
  <si>
    <t>-0,0079</t>
  </si>
  <si>
    <t>-0,008</t>
  </si>
  <si>
    <t>PBDE 153* ng/g lipid muskel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</si>
</sst>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11"/>
      <color theme="1"/>
      <name val="Calibri"/>
      <family val="2"/>
    </font>
    <font>
      <i/>
      <sz val="11"/>
      <color theme="1"/>
      <name val="Arial"/>
      <family val="2"/>
      <scheme val="minor"/>
    </font>
    <font>
      <i/>
      <sz val="11"/>
      <name val="Arial"/>
      <family val="2"/>
      <scheme val="minor"/>
    </font>
    <font>
      <sz val="10"/>
      <name val="Calibri"/>
      <family val="2"/>
    </font>
    <font>
      <sz val="11"/>
      <color theme="1"/>
      <name val="Arial"/>
      <family val="2"/>
      <scheme val="major"/>
    </font>
    <font>
      <sz val="11"/>
      <name val="Arial"/>
      <family val="2"/>
      <scheme val="major"/>
    </font>
    <font>
      <i/>
      <sz val="11"/>
      <name val="Arial"/>
      <family val="2"/>
      <scheme val="major"/>
    </font>
    <font>
      <sz val="11"/>
      <color rgb="FFFF0000"/>
      <name val="Arial"/>
      <family val="2"/>
      <scheme val="minor"/>
    </font>
    <font>
      <sz val="10"/>
      <color theme="1"/>
      <name val="Calibri"/>
      <family val="2"/>
    </font>
    <font>
      <b/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DE6E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</cellStyleXfs>
  <cellXfs count="307">
    <xf numFmtId="0" fontId="0" fillId="0" borderId="0" xfId="0"/>
    <xf numFmtId="0" fontId="0" fillId="0" borderId="0" xfId="0" applyFont="1" applyFill="1" applyBorder="1" applyAlignment="1">
      <alignment horizontal="center" vertical="top"/>
    </xf>
    <xf numFmtId="14" fontId="3" fillId="0" borderId="0" xfId="1" applyNumberFormat="1" applyFont="1" applyFill="1" applyBorder="1" applyAlignment="1">
      <alignment horizontal="center"/>
    </xf>
    <xf numFmtId="14" fontId="3" fillId="0" borderId="0" xfId="2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top"/>
    </xf>
    <xf numFmtId="2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 vertical="top"/>
    </xf>
    <xf numFmtId="2" fontId="0" fillId="0" borderId="0" xfId="0" quotePrefix="1" applyNumberFormat="1" applyFont="1" applyFill="1" applyBorder="1" applyAlignment="1">
      <alignment horizontal="center" vertical="top"/>
    </xf>
    <xf numFmtId="0" fontId="3" fillId="0" borderId="0" xfId="1" applyFont="1" applyFill="1" applyBorder="1" applyAlignment="1">
      <alignment horizontal="left" wrapText="1"/>
    </xf>
    <xf numFmtId="1" fontId="3" fillId="0" borderId="0" xfId="1" applyNumberFormat="1" applyFont="1" applyFill="1" applyBorder="1" applyAlignment="1">
      <alignment horizontal="center" wrapText="1"/>
    </xf>
    <xf numFmtId="0" fontId="3" fillId="0" borderId="0" xfId="2" applyFont="1" applyFill="1" applyBorder="1" applyAlignment="1">
      <alignment horizontal="left" wrapText="1"/>
    </xf>
    <xf numFmtId="1" fontId="3" fillId="0" borderId="0" xfId="2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center" vertical="top" wrapText="1"/>
    </xf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wrapText="1"/>
    </xf>
    <xf numFmtId="2" fontId="0" fillId="0" borderId="1" xfId="0" applyNumberFormat="1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 wrapText="1"/>
    </xf>
    <xf numFmtId="2" fontId="5" fillId="0" borderId="1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 vertical="top" wrapText="1"/>
    </xf>
    <xf numFmtId="2" fontId="5" fillId="0" borderId="0" xfId="0" applyNumberFormat="1" applyFont="1" applyFill="1" applyBorder="1" applyAlignment="1">
      <alignment horizontal="center" vertical="top"/>
    </xf>
    <xf numFmtId="49" fontId="0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14" fontId="0" fillId="0" borderId="0" xfId="0" applyNumberFormat="1" applyFont="1" applyFill="1" applyBorder="1" applyAlignment="1">
      <alignment horizontal="center" wrapText="1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 wrapText="1"/>
    </xf>
    <xf numFmtId="0" fontId="0" fillId="0" borderId="3" xfId="0" applyFont="1" applyFill="1" applyBorder="1"/>
    <xf numFmtId="0" fontId="3" fillId="0" borderId="3" xfId="1" applyFont="1" applyFill="1" applyBorder="1" applyAlignment="1">
      <alignment horizontal="left"/>
    </xf>
    <xf numFmtId="0" fontId="3" fillId="0" borderId="3" xfId="2" applyFont="1" applyFill="1" applyBorder="1" applyAlignment="1">
      <alignment horizontal="left"/>
    </xf>
    <xf numFmtId="0" fontId="3" fillId="0" borderId="3" xfId="0" applyFont="1" applyFill="1" applyBorder="1" applyAlignment="1">
      <alignment vertical="top"/>
    </xf>
    <xf numFmtId="0" fontId="0" fillId="0" borderId="3" xfId="0" applyFont="1" applyFill="1" applyBorder="1" applyAlignment="1"/>
    <xf numFmtId="49" fontId="3" fillId="0" borderId="3" xfId="3" applyNumberFormat="1" applyFont="1" applyFill="1" applyBorder="1" applyAlignment="1">
      <alignment horizontal="left"/>
    </xf>
    <xf numFmtId="2" fontId="0" fillId="0" borderId="0" xfId="4" applyNumberFormat="1" applyFont="1" applyFill="1" applyBorder="1" applyAlignment="1">
      <alignment horizontal="center"/>
    </xf>
    <xf numFmtId="2" fontId="3" fillId="0" borderId="0" xfId="4" applyNumberFormat="1" applyFont="1" applyFill="1" applyBorder="1" applyAlignment="1">
      <alignment horizontal="center"/>
    </xf>
    <xf numFmtId="164" fontId="3" fillId="0" borderId="0" xfId="3" applyNumberFormat="1" applyFont="1" applyFill="1" applyBorder="1" applyAlignment="1">
      <alignment horizontal="center" wrapText="1"/>
    </xf>
    <xf numFmtId="0" fontId="3" fillId="0" borderId="0" xfId="3" applyNumberFormat="1" applyFont="1" applyFill="1" applyBorder="1" applyAlignment="1">
      <alignment horizontal="center"/>
    </xf>
    <xf numFmtId="2" fontId="3" fillId="0" borderId="0" xfId="3" applyNumberFormat="1" applyFont="1" applyFill="1" applyBorder="1" applyAlignment="1">
      <alignment horizontal="center"/>
    </xf>
    <xf numFmtId="2" fontId="3" fillId="0" borderId="0" xfId="3" applyNumberFormat="1" applyFont="1" applyFill="1" applyBorder="1" applyAlignment="1">
      <alignment horizontal="center" wrapText="1"/>
    </xf>
    <xf numFmtId="164" fontId="0" fillId="0" borderId="0" xfId="0" applyNumberFormat="1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wrapText="1"/>
    </xf>
    <xf numFmtId="49" fontId="3" fillId="0" borderId="4" xfId="3" applyNumberFormat="1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 wrapText="1"/>
    </xf>
    <xf numFmtId="0" fontId="3" fillId="0" borderId="1" xfId="3" applyNumberFormat="1" applyFont="1" applyFill="1" applyBorder="1" applyAlignment="1">
      <alignment horizontal="center"/>
    </xf>
    <xf numFmtId="2" fontId="3" fillId="0" borderId="1" xfId="3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0" fontId="3" fillId="0" borderId="0" xfId="3" applyFont="1" applyFill="1" applyBorder="1" applyAlignment="1">
      <alignment horizontal="left"/>
    </xf>
    <xf numFmtId="0" fontId="3" fillId="0" borderId="0" xfId="3" applyFont="1" applyFill="1" applyBorder="1" applyAlignment="1">
      <alignment horizontal="center" wrapText="1"/>
    </xf>
    <xf numFmtId="1" fontId="3" fillId="0" borderId="0" xfId="3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0" xfId="0" applyFont="1" applyFill="1" applyBorder="1" applyAlignment="1">
      <alignment vertical="top"/>
    </xf>
    <xf numFmtId="0" fontId="0" fillId="0" borderId="0" xfId="0" applyFont="1" applyFill="1" applyBorder="1" applyAlignment="1"/>
    <xf numFmtId="49" fontId="3" fillId="0" borderId="0" xfId="3" applyNumberFormat="1" applyFont="1" applyFill="1" applyBorder="1" applyAlignment="1">
      <alignment horizontal="left"/>
    </xf>
    <xf numFmtId="49" fontId="3" fillId="0" borderId="1" xfId="3" applyNumberFormat="1" applyFont="1" applyFill="1" applyBorder="1" applyAlignment="1">
      <alignment horizontal="left"/>
    </xf>
    <xf numFmtId="1" fontId="3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2" fontId="5" fillId="0" borderId="6" xfId="0" applyNumberFormat="1" applyFont="1" applyFill="1" applyBorder="1" applyAlignment="1">
      <alignment horizontal="center"/>
    </xf>
    <xf numFmtId="164" fontId="0" fillId="0" borderId="6" xfId="0" applyNumberFormat="1" applyFont="1" applyBorder="1" applyAlignment="1">
      <alignment horizontal="center"/>
    </xf>
    <xf numFmtId="1" fontId="0" fillId="0" borderId="6" xfId="0" applyNumberFormat="1" applyFont="1" applyBorder="1" applyAlignment="1">
      <alignment horizontal="center"/>
    </xf>
    <xf numFmtId="2" fontId="5" fillId="0" borderId="7" xfId="0" applyNumberFormat="1" applyFont="1" applyFill="1" applyBorder="1" applyAlignment="1">
      <alignment horizontal="center"/>
    </xf>
    <xf numFmtId="0" fontId="3" fillId="0" borderId="0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0" fillId="0" borderId="0" xfId="0" applyFont="1" applyBorder="1"/>
    <xf numFmtId="14" fontId="0" fillId="0" borderId="0" xfId="0" applyNumberFormat="1" applyFont="1" applyAlignment="1">
      <alignment horizontal="center"/>
    </xf>
    <xf numFmtId="166" fontId="0" fillId="0" borderId="0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66" fontId="3" fillId="0" borderId="0" xfId="0" applyNumberFormat="1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14" fontId="3" fillId="0" borderId="0" xfId="3" applyNumberFormat="1" applyFont="1" applyFill="1" applyBorder="1" applyAlignment="1">
      <alignment horizontal="center"/>
    </xf>
    <xf numFmtId="14" fontId="3" fillId="0" borderId="1" xfId="3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wrapText="1"/>
    </xf>
    <xf numFmtId="2" fontId="3" fillId="0" borderId="0" xfId="0" applyNumberFormat="1" applyFont="1" applyFill="1" applyAlignment="1">
      <alignment horizontal="center"/>
    </xf>
    <xf numFmtId="166" fontId="6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6" fontId="0" fillId="0" borderId="0" xfId="0" applyNumberFormat="1" applyFont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3" fillId="0" borderId="0" xfId="1" applyFont="1" applyBorder="1" applyAlignment="1">
      <alignment horizontal="center"/>
    </xf>
    <xf numFmtId="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2" fontId="0" fillId="0" borderId="0" xfId="0" applyNumberFormat="1" applyFont="1" applyFill="1" applyAlignment="1">
      <alignment horizontal="center"/>
    </xf>
    <xf numFmtId="164" fontId="0" fillId="0" borderId="0" xfId="0" applyNumberFormat="1" applyFont="1" applyAlignment="1">
      <alignment horizontal="center" vertical="center"/>
    </xf>
    <xf numFmtId="164" fontId="0" fillId="0" borderId="0" xfId="0" applyNumberFormat="1" applyFont="1" applyFill="1" applyAlignment="1">
      <alignment horizontal="center"/>
    </xf>
    <xf numFmtId="0" fontId="0" fillId="0" borderId="0" xfId="4" applyFont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left"/>
    </xf>
    <xf numFmtId="0" fontId="3" fillId="0" borderId="0" xfId="3" applyNumberFormat="1" applyFont="1" applyAlignment="1">
      <alignment horizontal="center"/>
    </xf>
    <xf numFmtId="0" fontId="3" fillId="0" borderId="1" xfId="3" applyNumberFormat="1" applyFont="1" applyBorder="1" applyAlignment="1">
      <alignment horizontal="center"/>
    </xf>
    <xf numFmtId="49" fontId="3" fillId="0" borderId="0" xfId="3" applyNumberFormat="1" applyFont="1" applyFill="1" applyBorder="1" applyAlignment="1">
      <alignment horizontal="center" wrapText="1"/>
    </xf>
    <xf numFmtId="0" fontId="0" fillId="0" borderId="6" xfId="0" applyFont="1" applyFill="1" applyBorder="1" applyAlignment="1">
      <alignment horizontal="center"/>
    </xf>
    <xf numFmtId="49" fontId="7" fillId="0" borderId="0" xfId="1" applyNumberFormat="1" applyFont="1"/>
    <xf numFmtId="166" fontId="3" fillId="0" borderId="0" xfId="0" applyNumberFormat="1" applyFont="1" applyFill="1" applyBorder="1" applyAlignment="1">
      <alignment horizontal="center" vertical="top"/>
    </xf>
    <xf numFmtId="2" fontId="3" fillId="0" borderId="0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4" fontId="3" fillId="0" borderId="0" xfId="0" applyNumberFormat="1" applyFont="1" applyFill="1" applyBorder="1" applyAlignment="1">
      <alignment horizontal="center" vertical="top"/>
    </xf>
    <xf numFmtId="0" fontId="8" fillId="0" borderId="0" xfId="0" applyFont="1" applyFill="1" applyBorder="1"/>
    <xf numFmtId="166" fontId="9" fillId="0" borderId="0" xfId="0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>
      <alignment horizontal="center" vertical="top"/>
    </xf>
    <xf numFmtId="166" fontId="9" fillId="0" borderId="0" xfId="0" applyNumberFormat="1" applyFont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top"/>
    </xf>
    <xf numFmtId="0" fontId="8" fillId="0" borderId="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4" fontId="9" fillId="0" borderId="0" xfId="0" applyNumberFormat="1" applyFont="1" applyFill="1" applyBorder="1" applyAlignment="1">
      <alignment horizontal="center" vertical="top"/>
    </xf>
    <xf numFmtId="2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/>
    </xf>
    <xf numFmtId="49" fontId="9" fillId="0" borderId="0" xfId="1" applyNumberFormat="1" applyFont="1"/>
    <xf numFmtId="0" fontId="9" fillId="0" borderId="0" xfId="1" applyFont="1" applyBorder="1"/>
    <xf numFmtId="0" fontId="9" fillId="0" borderId="0" xfId="0" applyFont="1" applyBorder="1"/>
    <xf numFmtId="0" fontId="9" fillId="0" borderId="0" xfId="1" applyFont="1"/>
    <xf numFmtId="49" fontId="7" fillId="0" borderId="0" xfId="1" applyNumberFormat="1" applyFont="1" applyAlignment="1">
      <alignment horizontal="center"/>
    </xf>
    <xf numFmtId="49" fontId="9" fillId="0" borderId="0" xfId="1" applyNumberFormat="1" applyFont="1" applyAlignment="1">
      <alignment horizontal="center"/>
    </xf>
    <xf numFmtId="0" fontId="0" fillId="0" borderId="0" xfId="0" applyFont="1" applyFill="1" applyBorder="1" applyAlignment="1">
      <alignment horizontal="right"/>
    </xf>
    <xf numFmtId="2" fontId="0" fillId="0" borderId="0" xfId="7" applyNumberFormat="1" applyFont="1" applyFill="1" applyBorder="1" applyAlignment="1">
      <alignment horizontal="right"/>
    </xf>
    <xf numFmtId="2" fontId="0" fillId="0" borderId="1" xfId="7" applyNumberFormat="1" applyFont="1" applyFill="1" applyBorder="1" applyAlignment="1">
      <alignment horizontal="right"/>
    </xf>
    <xf numFmtId="49" fontId="7" fillId="0" borderId="0" xfId="1" applyNumberFormat="1" applyFont="1" applyAlignment="1">
      <alignment horizontal="right"/>
    </xf>
    <xf numFmtId="49" fontId="9" fillId="0" borderId="0" xfId="1" applyNumberFormat="1" applyFont="1" applyAlignment="1">
      <alignment horizontal="right"/>
    </xf>
    <xf numFmtId="0" fontId="3" fillId="0" borderId="0" xfId="7" applyNumberFormat="1" applyFont="1" applyFill="1" applyBorder="1" applyAlignment="1">
      <alignment horizontal="right"/>
    </xf>
    <xf numFmtId="2" fontId="3" fillId="0" borderId="0" xfId="7" applyNumberFormat="1" applyFont="1" applyFill="1" applyBorder="1" applyAlignment="1">
      <alignment horizontal="right"/>
    </xf>
    <xf numFmtId="0" fontId="0" fillId="0" borderId="0" xfId="0" applyFont="1" applyFill="1" applyBorder="1" applyAlignment="1">
      <alignment horizontal="right" vertical="top"/>
    </xf>
    <xf numFmtId="49" fontId="3" fillId="0" borderId="0" xfId="3" applyNumberFormat="1" applyFont="1" applyFill="1" applyBorder="1" applyAlignment="1">
      <alignment horizontal="right"/>
    </xf>
    <xf numFmtId="49" fontId="3" fillId="0" borderId="1" xfId="3" applyNumberFormat="1" applyFont="1" applyFill="1" applyBorder="1" applyAlignment="1">
      <alignment horizontal="right"/>
    </xf>
    <xf numFmtId="0" fontId="3" fillId="0" borderId="0" xfId="3" applyFont="1" applyFill="1" applyBorder="1" applyAlignment="1">
      <alignment horizontal="right"/>
    </xf>
    <xf numFmtId="1" fontId="3" fillId="0" borderId="0" xfId="3" applyNumberFormat="1" applyFont="1" applyFill="1" applyBorder="1" applyAlignment="1">
      <alignment horizontal="right"/>
    </xf>
    <xf numFmtId="49" fontId="3" fillId="0" borderId="0" xfId="3" applyNumberFormat="1" applyFont="1" applyFill="1" applyBorder="1" applyAlignment="1">
      <alignment horizontal="right" wrapText="1"/>
    </xf>
    <xf numFmtId="0" fontId="3" fillId="0" borderId="0" xfId="0" applyFont="1" applyFill="1" applyBorder="1"/>
    <xf numFmtId="14" fontId="3" fillId="0" borderId="0" xfId="0" applyNumberFormat="1" applyFont="1" applyAlignment="1">
      <alignment horizontal="center"/>
    </xf>
    <xf numFmtId="2" fontId="3" fillId="0" borderId="0" xfId="0" applyNumberFormat="1" applyFont="1" applyBorder="1" applyAlignment="1">
      <alignment horizontal="center"/>
    </xf>
    <xf numFmtId="1" fontId="3" fillId="0" borderId="0" xfId="0" applyNumberFormat="1" applyFont="1" applyFill="1" applyBorder="1" applyAlignment="1">
      <alignment horizontal="center" vertical="top"/>
    </xf>
    <xf numFmtId="2" fontId="6" fillId="0" borderId="0" xfId="0" applyNumberFormat="1" applyFont="1" applyFill="1" applyBorder="1" applyAlignment="1">
      <alignment horizontal="center"/>
    </xf>
    <xf numFmtId="166" fontId="6" fillId="0" borderId="0" xfId="0" applyNumberFormat="1" applyFont="1" applyFill="1" applyBorder="1" applyAlignment="1">
      <alignment horizontal="center" vertical="top"/>
    </xf>
    <xf numFmtId="2" fontId="6" fillId="0" borderId="0" xfId="0" applyNumberFormat="1" applyFont="1" applyFill="1" applyBorder="1" applyAlignment="1">
      <alignment horizontal="center" wrapText="1"/>
    </xf>
    <xf numFmtId="2" fontId="6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6" fontId="3" fillId="0" borderId="0" xfId="0" applyNumberFormat="1" applyFont="1" applyFill="1" applyBorder="1" applyAlignment="1">
      <alignment horizontal="center"/>
    </xf>
    <xf numFmtId="166" fontId="6" fillId="0" borderId="0" xfId="0" applyNumberFormat="1" applyFont="1" applyFill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0" fontId="9" fillId="0" borderId="0" xfId="0" applyFont="1" applyFill="1" applyBorder="1"/>
    <xf numFmtId="14" fontId="9" fillId="0" borderId="0" xfId="0" applyNumberFormat="1" applyFont="1" applyAlignment="1">
      <alignment horizontal="center"/>
    </xf>
    <xf numFmtId="2" fontId="9" fillId="0" borderId="0" xfId="7" applyNumberFormat="1" applyFont="1" applyAlignment="1">
      <alignment horizontal="right" vertical="top"/>
    </xf>
    <xf numFmtId="166" fontId="10" fillId="0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166" fontId="10" fillId="0" borderId="0" xfId="0" applyNumberFormat="1" applyFont="1" applyFill="1" applyBorder="1" applyAlignment="1">
      <alignment horizontal="center" vertical="top"/>
    </xf>
    <xf numFmtId="0" fontId="9" fillId="0" borderId="0" xfId="0" applyFont="1" applyAlignment="1">
      <alignment horizontal="center"/>
    </xf>
    <xf numFmtId="1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2" fontId="9" fillId="0" borderId="0" xfId="0" applyNumberFormat="1" applyFont="1" applyAlignment="1">
      <alignment horizontal="center" vertical="top"/>
    </xf>
    <xf numFmtId="2" fontId="10" fillId="0" borderId="0" xfId="0" applyNumberFormat="1" applyFont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166" fontId="9" fillId="0" borderId="0" xfId="0" applyNumberFormat="1" applyFont="1" applyFill="1" applyAlignment="1">
      <alignment horizontal="center" vertical="top"/>
    </xf>
    <xf numFmtId="166" fontId="10" fillId="0" borderId="0" xfId="0" applyNumberFormat="1" applyFont="1" applyFill="1" applyAlignment="1">
      <alignment horizontal="center" vertical="top"/>
    </xf>
    <xf numFmtId="2" fontId="9" fillId="0" borderId="0" xfId="0" applyNumberFormat="1" applyFont="1" applyFill="1" applyAlignment="1">
      <alignment horizontal="center" vertical="top"/>
    </xf>
    <xf numFmtId="2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 vertical="top"/>
    </xf>
    <xf numFmtId="0" fontId="11" fillId="0" borderId="0" xfId="0" applyFont="1" applyFill="1" applyBorder="1"/>
    <xf numFmtId="166" fontId="5" fillId="0" borderId="0" xfId="0" applyNumberFormat="1" applyFont="1" applyBorder="1" applyAlignment="1">
      <alignment horizontal="center"/>
    </xf>
    <xf numFmtId="166" fontId="5" fillId="0" borderId="0" xfId="0" applyNumberFormat="1" applyFont="1" applyFill="1" applyBorder="1" applyAlignment="1">
      <alignment horizontal="center" vertical="top"/>
    </xf>
    <xf numFmtId="166" fontId="5" fillId="0" borderId="0" xfId="0" applyNumberFormat="1" applyFont="1" applyFill="1" applyAlignment="1">
      <alignment horizontal="center" vertical="top"/>
    </xf>
    <xf numFmtId="49" fontId="12" fillId="0" borderId="0" xfId="1" applyNumberFormat="1" applyFont="1"/>
    <xf numFmtId="0" fontId="1" fillId="0" borderId="0" xfId="0" applyFont="1" applyAlignment="1">
      <alignment horizontal="center"/>
    </xf>
    <xf numFmtId="1" fontId="1" fillId="0" borderId="0" xfId="1" applyNumberFormat="1" applyFont="1" applyBorder="1" applyAlignment="1">
      <alignment horizontal="center"/>
    </xf>
    <xf numFmtId="14" fontId="1" fillId="0" borderId="0" xfId="0" applyNumberFormat="1" applyFont="1" applyAlignment="1">
      <alignment wrapText="1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165" fontId="1" fillId="0" borderId="0" xfId="7" applyNumberFormat="1" applyFont="1" applyFill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6" fontId="1" fillId="0" borderId="0" xfId="0" applyNumberFormat="1" applyFont="1" applyFill="1" applyBorder="1" applyAlignment="1">
      <alignment horizontal="center" vertical="top"/>
    </xf>
    <xf numFmtId="2" fontId="1" fillId="0" borderId="0" xfId="0" applyNumberFormat="1" applyFont="1" applyFill="1" applyBorder="1" applyAlignment="1">
      <alignment horizontal="center" vertical="top"/>
    </xf>
    <xf numFmtId="164" fontId="1" fillId="0" borderId="0" xfId="0" applyNumberFormat="1" applyFont="1"/>
    <xf numFmtId="2" fontId="1" fillId="0" borderId="0" xfId="0" applyNumberFormat="1" applyFont="1"/>
    <xf numFmtId="2" fontId="5" fillId="0" borderId="0" xfId="0" applyNumberFormat="1" applyFont="1"/>
    <xf numFmtId="0" fontId="1" fillId="0" borderId="0" xfId="0" applyFont="1"/>
    <xf numFmtId="14" fontId="1" fillId="0" borderId="0" xfId="0" applyNumberFormat="1" applyFont="1"/>
    <xf numFmtId="49" fontId="5" fillId="0" borderId="0" xfId="0" applyNumberFormat="1" applyFont="1" applyAlignment="1">
      <alignment horizontal="left" vertical="top"/>
    </xf>
    <xf numFmtId="0" fontId="1" fillId="0" borderId="0" xfId="3" applyFont="1"/>
    <xf numFmtId="2" fontId="1" fillId="0" borderId="0" xfId="0" applyNumberFormat="1" applyFont="1" applyFill="1" applyBorder="1" applyAlignment="1">
      <alignment horizontal="center"/>
    </xf>
    <xf numFmtId="165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vertical="top"/>
    </xf>
    <xf numFmtId="1" fontId="1" fillId="0" borderId="0" xfId="0" applyNumberFormat="1" applyFont="1"/>
    <xf numFmtId="49" fontId="5" fillId="0" borderId="0" xfId="0" applyNumberFormat="1" applyFont="1" applyFill="1" applyBorder="1" applyAlignment="1">
      <alignment horizontal="left" vertical="top"/>
    </xf>
    <xf numFmtId="49" fontId="1" fillId="0" borderId="0" xfId="0" applyNumberFormat="1" applyFont="1" applyFill="1" applyBorder="1" applyAlignment="1">
      <alignment horizontal="left" vertical="top"/>
    </xf>
    <xf numFmtId="166" fontId="1" fillId="0" borderId="0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 vertical="top"/>
    </xf>
    <xf numFmtId="0" fontId="12" fillId="0" borderId="0" xfId="1" applyFont="1" applyBorder="1"/>
    <xf numFmtId="49" fontId="1" fillId="0" borderId="0" xfId="0" applyNumberFormat="1" applyFont="1" applyAlignment="1">
      <alignment vertical="top"/>
    </xf>
    <xf numFmtId="0" fontId="12" fillId="0" borderId="0" xfId="0" applyFont="1" applyBorder="1"/>
    <xf numFmtId="1" fontId="1" fillId="0" borderId="0" xfId="1" applyNumberFormat="1" applyFont="1" applyAlignment="1">
      <alignment horizontal="center"/>
    </xf>
    <xf numFmtId="166" fontId="1" fillId="0" borderId="0" xfId="0" applyNumberFormat="1" applyFont="1" applyFill="1" applyAlignment="1">
      <alignment horizontal="center" vertical="top"/>
    </xf>
    <xf numFmtId="0" fontId="12" fillId="0" borderId="0" xfId="1" applyFont="1"/>
    <xf numFmtId="2" fontId="1" fillId="0" borderId="0" xfId="0" applyNumberFormat="1" applyFont="1" applyFill="1" applyAlignment="1">
      <alignment horizontal="center" vertical="top"/>
    </xf>
    <xf numFmtId="165" fontId="1" fillId="0" borderId="0" xfId="0" applyNumberFormat="1" applyFont="1" applyFill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0" fontId="0" fillId="2" borderId="4" xfId="0" applyFont="1" applyFill="1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0" xfId="0" applyFont="1" applyFill="1" applyBorder="1" applyAlignment="1">
      <alignment wrapText="1"/>
    </xf>
    <xf numFmtId="0" fontId="0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right"/>
    </xf>
    <xf numFmtId="2" fontId="0" fillId="2" borderId="2" xfId="7" applyNumberFormat="1" applyFont="1" applyFill="1" applyBorder="1" applyAlignment="1">
      <alignment horizontal="right"/>
    </xf>
    <xf numFmtId="2" fontId="0" fillId="2" borderId="2" xfId="0" applyNumberFormat="1" applyFont="1" applyFill="1" applyBorder="1" applyAlignment="1">
      <alignment horizontal="center"/>
    </xf>
    <xf numFmtId="0" fontId="0" fillId="2" borderId="0" xfId="0" applyFont="1" applyFill="1" applyAlignment="1">
      <alignment horizontal="left" vertical="top"/>
    </xf>
    <xf numFmtId="165" fontId="3" fillId="2" borderId="2" xfId="0" applyNumberFormat="1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3" borderId="4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0" xfId="0" applyFont="1" applyFill="1" applyBorder="1" applyAlignment="1">
      <alignment wrapText="1"/>
    </xf>
    <xf numFmtId="0" fontId="0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right"/>
    </xf>
    <xf numFmtId="2" fontId="0" fillId="3" borderId="2" xfId="7" applyNumberFormat="1" applyFont="1" applyFill="1" applyBorder="1" applyAlignment="1">
      <alignment horizontal="right"/>
    </xf>
    <xf numFmtId="2" fontId="0" fillId="3" borderId="2" xfId="0" applyNumberFormat="1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center" wrapText="1"/>
    </xf>
    <xf numFmtId="0" fontId="0" fillId="3" borderId="0" xfId="0" applyFont="1" applyFill="1" applyAlignment="1">
      <alignment horizontal="left" vertical="top"/>
    </xf>
    <xf numFmtId="165" fontId="3" fillId="3" borderId="2" xfId="0" applyNumberFormat="1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2" fontId="13" fillId="2" borderId="2" xfId="0" applyNumberFormat="1" applyFont="1" applyFill="1" applyBorder="1" applyAlignment="1">
      <alignment horizontal="center"/>
    </xf>
    <xf numFmtId="2" fontId="13" fillId="2" borderId="2" xfId="0" applyNumberFormat="1" applyFont="1" applyFill="1" applyBorder="1" applyAlignment="1">
      <alignment horizontal="center" wrapText="1"/>
    </xf>
    <xf numFmtId="2" fontId="0" fillId="3" borderId="2" xfId="0" applyNumberFormat="1" applyFont="1" applyFill="1" applyBorder="1" applyAlignment="1">
      <alignment horizontal="center" textRotation="45"/>
    </xf>
    <xf numFmtId="0" fontId="0" fillId="3" borderId="0" xfId="0" applyFont="1" applyFill="1" applyAlignment="1">
      <alignment horizontal="left" textRotation="45"/>
    </xf>
    <xf numFmtId="2" fontId="0" fillId="3" borderId="2" xfId="0" applyNumberFormat="1" applyFont="1" applyFill="1" applyBorder="1" applyAlignment="1">
      <alignment horizontal="center" vertical="top" textRotation="45"/>
    </xf>
    <xf numFmtId="2" fontId="5" fillId="4" borderId="2" xfId="0" applyNumberFormat="1" applyFont="1" applyFill="1" applyBorder="1" applyAlignment="1">
      <alignment horizontal="center" textRotation="45" wrapText="1"/>
    </xf>
    <xf numFmtId="2" fontId="0" fillId="4" borderId="2" xfId="0" applyNumberFormat="1" applyFont="1" applyFill="1" applyBorder="1" applyAlignment="1">
      <alignment horizontal="center" textRotation="45"/>
    </xf>
    <xf numFmtId="164" fontId="1" fillId="4" borderId="0" xfId="0" applyNumberFormat="1" applyFont="1" applyFill="1"/>
    <xf numFmtId="2" fontId="1" fillId="4" borderId="0" xfId="0" applyNumberFormat="1" applyFont="1" applyFill="1"/>
    <xf numFmtId="2" fontId="5" fillId="4" borderId="0" xfId="0" applyNumberFormat="1" applyFont="1" applyFill="1"/>
    <xf numFmtId="1" fontId="1" fillId="4" borderId="0" xfId="0" applyNumberFormat="1" applyFont="1" applyFill="1"/>
    <xf numFmtId="16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2" fontId="6" fillId="4" borderId="0" xfId="0" applyNumberFormat="1" applyFont="1" applyFill="1" applyBorder="1" applyAlignment="1">
      <alignment horizontal="center"/>
    </xf>
    <xf numFmtId="2" fontId="3" fillId="4" borderId="0" xfId="0" applyNumberFormat="1" applyFont="1" applyFill="1" applyBorder="1" applyAlignment="1">
      <alignment horizontal="center"/>
    </xf>
    <xf numFmtId="164" fontId="3" fillId="4" borderId="0" xfId="0" applyNumberFormat="1" applyFont="1" applyFill="1" applyBorder="1" applyAlignment="1">
      <alignment horizontal="center" vertical="top"/>
    </xf>
    <xf numFmtId="1" fontId="9" fillId="4" borderId="0" xfId="0" applyNumberFormat="1" applyFont="1" applyFill="1" applyBorder="1" applyAlignment="1">
      <alignment horizontal="center" vertical="top"/>
    </xf>
    <xf numFmtId="0" fontId="9" fillId="4" borderId="0" xfId="0" applyFont="1" applyFill="1" applyAlignment="1">
      <alignment horizontal="center"/>
    </xf>
    <xf numFmtId="2" fontId="9" fillId="4" borderId="0" xfId="0" applyNumberFormat="1" applyFont="1" applyFill="1" applyBorder="1" applyAlignment="1">
      <alignment horizontal="center"/>
    </xf>
    <xf numFmtId="164" fontId="9" fillId="4" borderId="0" xfId="0" applyNumberFormat="1" applyFont="1" applyFill="1" applyBorder="1" applyAlignment="1">
      <alignment horizontal="center"/>
    </xf>
    <xf numFmtId="164" fontId="9" fillId="4" borderId="0" xfId="0" applyNumberFormat="1" applyFont="1" applyFill="1" applyBorder="1" applyAlignment="1">
      <alignment horizontal="center" vertical="top"/>
    </xf>
    <xf numFmtId="2" fontId="10" fillId="4" borderId="0" xfId="0" applyNumberFormat="1" applyFont="1" applyFill="1" applyBorder="1" applyAlignment="1">
      <alignment horizontal="center"/>
    </xf>
    <xf numFmtId="164" fontId="9" fillId="4" borderId="0" xfId="0" applyNumberFormat="1" applyFont="1" applyFill="1" applyAlignment="1">
      <alignment horizontal="center"/>
    </xf>
    <xf numFmtId="2" fontId="9" fillId="4" borderId="0" xfId="0" applyNumberFormat="1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2" fontId="10" fillId="4" borderId="0" xfId="0" applyNumberFormat="1" applyFont="1" applyFill="1" applyAlignment="1">
      <alignment horizontal="center"/>
    </xf>
    <xf numFmtId="1" fontId="0" fillId="4" borderId="0" xfId="0" applyNumberFormat="1" applyFont="1" applyFill="1" applyAlignment="1">
      <alignment horizontal="center"/>
    </xf>
    <xf numFmtId="2" fontId="0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ont="1" applyFill="1" applyAlignment="1">
      <alignment horizontal="center"/>
    </xf>
    <xf numFmtId="0" fontId="0" fillId="4" borderId="0" xfId="0" applyFont="1" applyFill="1" applyBorder="1" applyAlignment="1">
      <alignment horizontal="center"/>
    </xf>
    <xf numFmtId="164" fontId="0" fillId="4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Border="1" applyAlignment="1">
      <alignment horizontal="center" wrapText="1"/>
    </xf>
    <xf numFmtId="2" fontId="0" fillId="4" borderId="0" xfId="0" applyNumberFormat="1" applyFont="1" applyFill="1" applyBorder="1" applyAlignment="1">
      <alignment horizontal="center"/>
    </xf>
    <xf numFmtId="2" fontId="5" fillId="4" borderId="0" xfId="0" applyNumberFormat="1" applyFont="1" applyFill="1" applyBorder="1" applyAlignment="1">
      <alignment horizontal="center" vertical="top" wrapText="1"/>
    </xf>
    <xf numFmtId="2" fontId="0" fillId="4" borderId="0" xfId="0" applyNumberFormat="1" applyFont="1" applyFill="1" applyBorder="1" applyAlignment="1">
      <alignment horizontal="center" vertical="top"/>
    </xf>
    <xf numFmtId="2" fontId="3" fillId="4" borderId="0" xfId="0" applyNumberFormat="1" applyFont="1" applyFill="1" applyBorder="1" applyAlignment="1">
      <alignment horizontal="center" wrapText="1"/>
    </xf>
    <xf numFmtId="2" fontId="5" fillId="4" borderId="0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 wrapText="1"/>
    </xf>
    <xf numFmtId="2" fontId="5" fillId="4" borderId="1" xfId="0" applyNumberFormat="1" applyFont="1" applyFill="1" applyBorder="1" applyAlignment="1">
      <alignment horizontal="center"/>
    </xf>
    <xf numFmtId="2" fontId="3" fillId="4" borderId="0" xfId="3" applyNumberFormat="1" applyFont="1" applyFill="1" applyBorder="1" applyAlignment="1">
      <alignment horizontal="center" wrapText="1"/>
    </xf>
    <xf numFmtId="2" fontId="3" fillId="4" borderId="0" xfId="3" applyNumberFormat="1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 vertical="top"/>
    </xf>
    <xf numFmtId="0" fontId="0" fillId="4" borderId="0" xfId="4" applyFont="1" applyFill="1" applyBorder="1" applyAlignment="1">
      <alignment horizontal="center"/>
    </xf>
    <xf numFmtId="164" fontId="0" fillId="4" borderId="0" xfId="0" applyNumberFormat="1" applyFont="1" applyFill="1" applyBorder="1" applyAlignment="1">
      <alignment horizontal="center"/>
    </xf>
    <xf numFmtId="164" fontId="0" fillId="4" borderId="0" xfId="0" applyNumberFormat="1" applyFont="1" applyFill="1" applyBorder="1" applyAlignment="1">
      <alignment horizontal="center" vertical="center"/>
    </xf>
    <xf numFmtId="0" fontId="0" fillId="5" borderId="3" xfId="0" applyFont="1" applyFill="1" applyBorder="1"/>
    <xf numFmtId="0" fontId="0" fillId="5" borderId="0" xfId="0" applyFont="1" applyFill="1" applyBorder="1"/>
    <xf numFmtId="0" fontId="0" fillId="5" borderId="0" xfId="0" applyFont="1" applyFill="1" applyBorder="1" applyAlignment="1">
      <alignment wrapText="1"/>
    </xf>
    <xf numFmtId="0" fontId="0" fillId="5" borderId="0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right"/>
    </xf>
    <xf numFmtId="2" fontId="0" fillId="5" borderId="0" xfId="7" applyNumberFormat="1" applyFont="1" applyFill="1" applyBorder="1" applyAlignment="1">
      <alignment horizontal="right"/>
    </xf>
    <xf numFmtId="2" fontId="0" fillId="5" borderId="0" xfId="0" applyNumberFormat="1" applyFont="1" applyFill="1" applyBorder="1" applyAlignment="1">
      <alignment horizontal="center"/>
    </xf>
    <xf numFmtId="2" fontId="0" fillId="5" borderId="0" xfId="0" applyNumberFormat="1" applyFont="1" applyFill="1" applyBorder="1" applyAlignment="1">
      <alignment horizontal="center" vertical="top"/>
    </xf>
    <xf numFmtId="2" fontId="5" fillId="5" borderId="0" xfId="0" applyNumberFormat="1" applyFont="1" applyFill="1" applyBorder="1" applyAlignment="1">
      <alignment horizontal="center"/>
    </xf>
    <xf numFmtId="2" fontId="5" fillId="5" borderId="0" xfId="0" applyNumberFormat="1" applyFont="1" applyFill="1" applyBorder="1" applyAlignment="1">
      <alignment horizontal="center" vertical="top"/>
    </xf>
    <xf numFmtId="2" fontId="5" fillId="5" borderId="0" xfId="0" applyNumberFormat="1" applyFont="1" applyFill="1" applyBorder="1" applyAlignment="1">
      <alignment horizontal="center" wrapText="1"/>
    </xf>
    <xf numFmtId="2" fontId="5" fillId="5" borderId="6" xfId="0" applyNumberFormat="1" applyFont="1" applyFill="1" applyBorder="1" applyAlignment="1">
      <alignment horizontal="center"/>
    </xf>
    <xf numFmtId="0" fontId="0" fillId="5" borderId="0" xfId="0" applyFont="1" applyFill="1" applyBorder="1" applyAlignment="1">
      <alignment horizontal="right" vertical="top"/>
    </xf>
    <xf numFmtId="0" fontId="0" fillId="5" borderId="6" xfId="0" applyFont="1" applyFill="1" applyBorder="1" applyAlignment="1">
      <alignment horizontal="center"/>
    </xf>
  </cellXfs>
  <cellStyles count="8">
    <cellStyle name="Normal" xfId="0" builtinId="0"/>
    <cellStyle name="Normal 2" xfId="3" xr:uid="{00000000-0005-0000-0000-000001000000}"/>
    <cellStyle name="Normal 3" xfId="1" xr:uid="{00000000-0005-0000-0000-000002000000}"/>
    <cellStyle name="Normal 4" xfId="4" xr:uid="{00000000-0005-0000-0000-000003000000}"/>
    <cellStyle name="Normal 5" xfId="6" xr:uid="{00000000-0005-0000-0000-000004000000}"/>
    <cellStyle name="Normal 6 3" xfId="2" xr:uid="{00000000-0005-0000-0000-000005000000}"/>
    <cellStyle name="Normal 7" xfId="5" xr:uid="{00000000-0005-0000-0000-000006000000}"/>
    <cellStyle name="Percent" xfId="7" builtinId="5"/>
  </cellStyles>
  <dxfs count="9">
    <dxf>
      <font>
        <color rgb="FFFF0000"/>
      </font>
    </dxf>
    <dxf>
      <font>
        <color theme="1"/>
      </font>
    </dxf>
    <dxf>
      <font>
        <color auto="1"/>
      </font>
      <fill>
        <patternFill>
          <bgColor theme="3" tint="0.59996337778862885"/>
        </patternFill>
      </fill>
    </dxf>
    <dxf>
      <font>
        <color rgb="FFFF0000"/>
      </font>
    </dxf>
    <dxf>
      <font>
        <color theme="1"/>
      </font>
    </dxf>
    <dxf>
      <font>
        <color auto="1"/>
      </font>
      <fill>
        <patternFill>
          <bgColor theme="3" tint="0.59996337778862885"/>
        </patternFill>
      </fill>
    </dxf>
    <dxf>
      <font>
        <color rgb="FFFF0000"/>
      </font>
    </dxf>
    <dxf>
      <font>
        <color theme="1"/>
      </font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DDE6E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1</xdr:rowOff>
    </xdr:from>
    <xdr:to>
      <xdr:col>8</xdr:col>
      <xdr:colOff>565453</xdr:colOff>
      <xdr:row>8</xdr:row>
      <xdr:rowOff>169334</xdr:rowOff>
    </xdr:to>
    <xdr:sp macro="" textlink="">
      <xdr:nvSpPr>
        <xdr:cNvPr id="2" name="textruta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50167" y="1640418"/>
          <a:ext cx="5592536" cy="529166"/>
        </a:xfrm>
        <a:prstGeom prst="rect">
          <a:avLst/>
        </a:prstGeom>
        <a:solidFill>
          <a:srgbClr val="FFFF99"/>
        </a:solidFill>
        <a:ln w="38100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 b="0"/>
            <a:t>Halter under rapporteringsgräns</a:t>
          </a:r>
          <a:r>
            <a:rPr lang="sv-SE" sz="1100" b="0" baseline="0"/>
            <a:t> har ersatts med värdet för halva rapporteringsgränsen (&lt; ersatt med =0,5*)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Stockholms stad">
      <a:dk1>
        <a:srgbClr val="000000"/>
      </a:dk1>
      <a:lt1>
        <a:srgbClr val="FFFFFF"/>
      </a:lt1>
      <a:dk2>
        <a:srgbClr val="C40064"/>
      </a:dk2>
      <a:lt2>
        <a:srgbClr val="FEDEED"/>
      </a:lt2>
      <a:accent1>
        <a:srgbClr val="00867F"/>
      </a:accent1>
      <a:accent2>
        <a:srgbClr val="D5F7F4"/>
      </a:accent2>
      <a:accent3>
        <a:srgbClr val="006EBF"/>
      </a:accent3>
      <a:accent4>
        <a:srgbClr val="DCD9D2"/>
      </a:accent4>
      <a:accent5>
        <a:srgbClr val="5D237D"/>
      </a:accent5>
      <a:accent6>
        <a:srgbClr val="F1E6FC"/>
      </a:accent6>
      <a:hlink>
        <a:srgbClr val="006EBF"/>
      </a:hlink>
      <a:folHlink>
        <a:srgbClr val="5D237D"/>
      </a:folHlink>
    </a:clrScheme>
    <a:fontScheme name="Stockholms stad - Excel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solidFill>
            <a:schemeClr val="accent1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09"/>
  <sheetViews>
    <sheetView tabSelected="1" topLeftCell="CC1" zoomScaleNormal="100" workbookViewId="0">
      <pane ySplit="1" topLeftCell="A165" activePane="bottomLeft" state="frozen"/>
      <selection pane="bottomLeft" activeCell="CV1" sqref="CV1"/>
    </sheetView>
  </sheetViews>
  <sheetFormatPr defaultColWidth="9" defaultRowHeight="14.25" x14ac:dyDescent="0.2"/>
  <cols>
    <col min="1" max="1" width="21.375" style="14" bestFit="1" customWidth="1"/>
    <col min="2" max="2" width="23.875" style="14" customWidth="1"/>
    <col min="3" max="3" width="7.75" style="14" bestFit="1" customWidth="1"/>
    <col min="4" max="4" width="10.875" style="14" hidden="1" customWidth="1"/>
    <col min="5" max="5" width="10.125" style="15" hidden="1" customWidth="1"/>
    <col min="6" max="6" width="11" style="15" hidden="1" customWidth="1"/>
    <col min="7" max="7" width="20.625" style="16" bestFit="1" customWidth="1"/>
    <col min="8" max="8" width="5.5" style="16" bestFit="1" customWidth="1"/>
    <col min="9" max="9" width="19.375" style="135" customWidth="1"/>
    <col min="10" max="10" width="11.25" style="135" customWidth="1"/>
    <col min="11" max="11" width="18.5" style="136" customWidth="1"/>
    <col min="12" max="12" width="15.875" style="5" customWidth="1"/>
    <col min="13" max="13" width="15.125" style="5" customWidth="1"/>
    <col min="14" max="14" width="8.25" style="5" customWidth="1"/>
    <col min="15" max="15" width="9.25" style="5" customWidth="1"/>
    <col min="16" max="19" width="9.375" style="5" customWidth="1"/>
    <col min="20" max="20" width="14" style="5" customWidth="1"/>
    <col min="21" max="21" width="19.375" style="17" customWidth="1"/>
    <col min="22" max="22" width="26.125" style="5" customWidth="1"/>
    <col min="23" max="29" width="9.25" style="5" customWidth="1"/>
    <col min="30" max="30" width="21.25" style="5" customWidth="1"/>
    <col min="31" max="31" width="21" style="17" customWidth="1"/>
    <col min="32" max="32" width="21" style="5" customWidth="1"/>
    <col min="33" max="33" width="18.375" style="18" customWidth="1"/>
    <col min="34" max="34" width="12.75" style="279" customWidth="1"/>
    <col min="35" max="44" width="9.25" style="280" bestFit="1" customWidth="1"/>
    <col min="45" max="48" width="9.25" style="5" customWidth="1"/>
    <col min="49" max="54" width="18.875" style="5" customWidth="1"/>
    <col min="55" max="65" width="9.25" style="5" bestFit="1" customWidth="1"/>
    <col min="66" max="66" width="9" style="17" customWidth="1"/>
    <col min="67" max="86" width="9" style="5" customWidth="1"/>
    <col min="87" max="102" width="9" style="16" customWidth="1"/>
    <col min="103" max="103" width="22.875" style="110" customWidth="1"/>
    <col min="104" max="16384" width="9" style="14"/>
  </cols>
  <sheetData>
    <row r="1" spans="1:103" ht="103.5" thickBot="1" x14ac:dyDescent="0.25">
      <c r="A1" s="234" t="s">
        <v>111</v>
      </c>
      <c r="B1" s="235" t="s">
        <v>0</v>
      </c>
      <c r="C1" s="235" t="s">
        <v>17</v>
      </c>
      <c r="D1" s="236" t="s">
        <v>110</v>
      </c>
      <c r="E1" s="237" t="s">
        <v>2</v>
      </c>
      <c r="F1" s="237" t="s">
        <v>2</v>
      </c>
      <c r="G1" s="238" t="s">
        <v>1</v>
      </c>
      <c r="H1" s="238" t="s">
        <v>18</v>
      </c>
      <c r="I1" s="239" t="s">
        <v>288</v>
      </c>
      <c r="J1" s="239" t="s">
        <v>113</v>
      </c>
      <c r="K1" s="240" t="s">
        <v>286</v>
      </c>
      <c r="L1" s="241" t="s">
        <v>287</v>
      </c>
      <c r="M1" s="241" t="s">
        <v>278</v>
      </c>
      <c r="N1" s="241" t="s">
        <v>279</v>
      </c>
      <c r="O1" s="241" t="s">
        <v>280</v>
      </c>
      <c r="P1" s="241" t="s">
        <v>281</v>
      </c>
      <c r="Q1" s="241" t="s">
        <v>282</v>
      </c>
      <c r="R1" s="241" t="s">
        <v>283</v>
      </c>
      <c r="S1" s="241" t="s">
        <v>284</v>
      </c>
      <c r="T1" s="241" t="s">
        <v>285</v>
      </c>
      <c r="U1" s="242" t="s">
        <v>289</v>
      </c>
      <c r="V1" s="241" t="s">
        <v>290</v>
      </c>
      <c r="W1" s="241" t="s">
        <v>291</v>
      </c>
      <c r="X1" s="241" t="s">
        <v>292</v>
      </c>
      <c r="Y1" s="241" t="s">
        <v>293</v>
      </c>
      <c r="Z1" s="241" t="s">
        <v>294</v>
      </c>
      <c r="AA1" s="241" t="s">
        <v>295</v>
      </c>
      <c r="AB1" s="241" t="s">
        <v>296</v>
      </c>
      <c r="AC1" s="241" t="s">
        <v>297</v>
      </c>
      <c r="AD1" s="241" t="s">
        <v>298</v>
      </c>
      <c r="AE1" s="242" t="s">
        <v>299</v>
      </c>
      <c r="AF1" s="241" t="s">
        <v>300</v>
      </c>
      <c r="AG1" s="243" t="s">
        <v>301</v>
      </c>
      <c r="AH1" s="252" t="s">
        <v>302</v>
      </c>
      <c r="AI1" s="253" t="s">
        <v>303</v>
      </c>
      <c r="AJ1" s="253" t="s">
        <v>304</v>
      </c>
      <c r="AK1" s="253" t="s">
        <v>305</v>
      </c>
      <c r="AL1" s="253" t="s">
        <v>306</v>
      </c>
      <c r="AM1" s="253" t="s">
        <v>307</v>
      </c>
      <c r="AN1" s="253" t="s">
        <v>308</v>
      </c>
      <c r="AO1" s="253" t="s">
        <v>309</v>
      </c>
      <c r="AP1" s="253" t="s">
        <v>310</v>
      </c>
      <c r="AQ1" s="253" t="s">
        <v>311</v>
      </c>
      <c r="AR1" s="253" t="s">
        <v>312</v>
      </c>
      <c r="AS1" s="249" t="s">
        <v>313</v>
      </c>
      <c r="AT1" s="249" t="s">
        <v>314</v>
      </c>
      <c r="AU1" s="249" t="s">
        <v>315</v>
      </c>
      <c r="AV1" s="249" t="s">
        <v>316</v>
      </c>
      <c r="AW1" s="249" t="s">
        <v>317</v>
      </c>
      <c r="AX1" s="250" t="s">
        <v>318</v>
      </c>
      <c r="AY1" s="250" t="s">
        <v>319</v>
      </c>
      <c r="AZ1" s="250" t="s">
        <v>320</v>
      </c>
      <c r="BA1" s="250" t="s">
        <v>321</v>
      </c>
      <c r="BB1" s="250" t="s">
        <v>322</v>
      </c>
      <c r="BC1" s="251" t="s">
        <v>323</v>
      </c>
      <c r="BD1" s="251" t="s">
        <v>324</v>
      </c>
      <c r="BE1" s="251" t="s">
        <v>325</v>
      </c>
      <c r="BF1" s="251" t="s">
        <v>326</v>
      </c>
      <c r="BG1" s="251" t="s">
        <v>327</v>
      </c>
      <c r="BH1" s="251" t="s">
        <v>328</v>
      </c>
      <c r="BI1" s="251" t="s">
        <v>329</v>
      </c>
      <c r="BJ1" s="251" t="s">
        <v>330</v>
      </c>
      <c r="BK1" s="251" t="s">
        <v>331</v>
      </c>
      <c r="BL1" s="251" t="s">
        <v>332</v>
      </c>
      <c r="BM1" s="251" t="s">
        <v>333</v>
      </c>
      <c r="BN1" s="242" t="s">
        <v>334</v>
      </c>
      <c r="BO1" s="241" t="s">
        <v>335</v>
      </c>
      <c r="BP1" s="241" t="s">
        <v>336</v>
      </c>
      <c r="BQ1" s="241" t="s">
        <v>337</v>
      </c>
      <c r="BR1" s="241" t="s">
        <v>338</v>
      </c>
      <c r="BS1" s="241" t="s">
        <v>339</v>
      </c>
      <c r="BT1" s="241" t="s">
        <v>340</v>
      </c>
      <c r="BU1" s="241" t="s">
        <v>341</v>
      </c>
      <c r="BV1" s="241" t="s">
        <v>342</v>
      </c>
      <c r="BW1" s="241" t="s">
        <v>343</v>
      </c>
      <c r="BX1" s="241" t="s">
        <v>344</v>
      </c>
      <c r="BY1" s="241" t="s">
        <v>345</v>
      </c>
      <c r="BZ1" s="241" t="s">
        <v>346</v>
      </c>
      <c r="CA1" s="241" t="s">
        <v>347</v>
      </c>
      <c r="CB1" s="241" t="s">
        <v>348</v>
      </c>
      <c r="CC1" s="241" t="s">
        <v>349</v>
      </c>
      <c r="CD1" s="241" t="s">
        <v>350</v>
      </c>
      <c r="CE1" s="241" t="s">
        <v>351</v>
      </c>
      <c r="CF1" s="241" t="s">
        <v>352</v>
      </c>
      <c r="CG1" s="241" t="s">
        <v>353</v>
      </c>
      <c r="CH1" s="241" t="s">
        <v>354</v>
      </c>
      <c r="CI1" s="245" t="s">
        <v>355</v>
      </c>
      <c r="CJ1" s="245" t="s">
        <v>356</v>
      </c>
      <c r="CK1" s="245" t="s">
        <v>357</v>
      </c>
      <c r="CL1" s="245" t="s">
        <v>358</v>
      </c>
      <c r="CM1" s="245" t="s">
        <v>359</v>
      </c>
      <c r="CN1" s="245" t="s">
        <v>360</v>
      </c>
      <c r="CO1" s="245" t="s">
        <v>361</v>
      </c>
      <c r="CP1" s="245" t="s">
        <v>362</v>
      </c>
      <c r="CQ1" s="238" t="s">
        <v>363</v>
      </c>
      <c r="CR1" s="238" t="s">
        <v>364</v>
      </c>
      <c r="CS1" s="238" t="s">
        <v>365</v>
      </c>
      <c r="CT1" s="238" t="s">
        <v>366</v>
      </c>
      <c r="CU1" s="238" t="s">
        <v>367</v>
      </c>
      <c r="CV1" s="238" t="s">
        <v>552</v>
      </c>
      <c r="CW1" s="238" t="s">
        <v>369</v>
      </c>
      <c r="CX1" s="238" t="s">
        <v>370</v>
      </c>
      <c r="CY1" s="246" t="s">
        <v>371</v>
      </c>
    </row>
    <row r="2" spans="1:103" hidden="1" x14ac:dyDescent="0.2">
      <c r="A2" s="185" t="s">
        <v>5</v>
      </c>
      <c r="B2" s="185" t="s">
        <v>5</v>
      </c>
      <c r="C2" s="186" t="s">
        <v>20</v>
      </c>
      <c r="D2" s="185"/>
      <c r="E2" s="187"/>
      <c r="F2" s="187"/>
      <c r="G2" s="188">
        <v>45169</v>
      </c>
      <c r="H2" s="189">
        <v>2023</v>
      </c>
      <c r="I2" s="190" t="s">
        <v>33</v>
      </c>
      <c r="J2" s="190">
        <v>10</v>
      </c>
      <c r="K2" s="191">
        <v>0.61740890688266237</v>
      </c>
      <c r="L2" s="191"/>
      <c r="M2" s="192">
        <v>4.8127812690046623</v>
      </c>
      <c r="N2" s="192">
        <v>7.8949777011960274</v>
      </c>
      <c r="O2" s="193">
        <v>14.68236874113116</v>
      </c>
      <c r="P2" s="193">
        <v>10.639083721873099</v>
      </c>
      <c r="Q2" s="193">
        <v>15.289762821812285</v>
      </c>
      <c r="R2" s="193">
        <v>15.198155280762213</v>
      </c>
      <c r="S2" s="192">
        <v>2.9353334684776002</v>
      </c>
      <c r="T2" s="193">
        <v>71.452463004257041</v>
      </c>
      <c r="U2" s="17">
        <f t="shared" ref="U2:U26" si="0">SUM(M2,N2,O2,Q2,R2,S2)*(5/K2)</f>
        <v>492.48867812285573</v>
      </c>
      <c r="V2" s="194" t="s">
        <v>372</v>
      </c>
      <c r="W2" s="195">
        <v>0.16121610489074714</v>
      </c>
      <c r="X2" s="195">
        <v>8.4990663233436833E-2</v>
      </c>
      <c r="Y2" s="195">
        <v>0.10614650769578192</v>
      </c>
      <c r="Z2" s="194">
        <v>1.9088322603970226E-2</v>
      </c>
      <c r="AA2" s="183">
        <v>2.4511806073074877E-2</v>
      </c>
      <c r="AB2" s="194">
        <v>3.0588227273083857E-2</v>
      </c>
      <c r="AC2" s="194" t="s">
        <v>373</v>
      </c>
      <c r="AD2" s="195">
        <v>0.42654163177009485</v>
      </c>
      <c r="AE2" s="152">
        <f t="shared" ref="AE2:AE25" si="1">SUM(V2,W2,Y2,X2,AB2,AA2)</f>
        <v>0.40745330916612466</v>
      </c>
      <c r="AF2" s="185"/>
      <c r="AG2" s="185"/>
      <c r="AH2" s="254">
        <v>9.5043034320538826</v>
      </c>
      <c r="AI2" s="255">
        <v>-0.4</v>
      </c>
      <c r="AJ2" s="255">
        <v>0.33969492854342626</v>
      </c>
      <c r="AK2" s="255">
        <v>-0.23</v>
      </c>
      <c r="AL2" s="255">
        <v>-0.15</v>
      </c>
      <c r="AM2" s="255">
        <v>-0.15</v>
      </c>
      <c r="AN2" s="255">
        <v>0.65372964111336807</v>
      </c>
      <c r="AO2" s="255">
        <v>0.19667486368010259</v>
      </c>
      <c r="AP2" s="255"/>
      <c r="AQ2" s="255">
        <v>0.66652410991125821</v>
      </c>
      <c r="AR2" s="255">
        <v>-0.15</v>
      </c>
      <c r="AS2" s="196">
        <v>1.5831996863751376</v>
      </c>
      <c r="AT2" s="197">
        <v>0.90936954274920667</v>
      </c>
      <c r="AU2" s="198">
        <v>0.22949855661285143</v>
      </c>
      <c r="AV2" s="197">
        <v>-0.15</v>
      </c>
      <c r="AW2" s="198">
        <v>5.7735485940339983E-2</v>
      </c>
      <c r="AX2" s="197">
        <v>-0.15</v>
      </c>
      <c r="AY2" s="197">
        <v>-0.15</v>
      </c>
      <c r="AZ2" s="197">
        <v>-0.15</v>
      </c>
      <c r="BA2" s="197">
        <v>-0.15</v>
      </c>
      <c r="BB2" s="197">
        <v>-0.15</v>
      </c>
      <c r="BC2" s="199"/>
      <c r="BD2" s="199"/>
      <c r="BE2" s="199"/>
      <c r="BF2" s="199"/>
      <c r="BG2" s="199"/>
      <c r="BH2" s="199"/>
      <c r="BI2" s="199"/>
      <c r="BJ2" s="200"/>
      <c r="BK2" s="201"/>
      <c r="BL2" s="185"/>
      <c r="BM2" s="202"/>
      <c r="BN2" s="202">
        <v>73</v>
      </c>
      <c r="BO2" s="203"/>
      <c r="BP2" s="203"/>
      <c r="BQ2" s="203"/>
      <c r="BR2" s="203"/>
      <c r="BS2" s="203"/>
      <c r="BT2" s="203"/>
      <c r="BU2" s="203"/>
      <c r="BV2" s="203"/>
      <c r="BW2" s="203"/>
      <c r="BX2" s="203"/>
      <c r="BY2" s="203"/>
      <c r="BZ2" s="203"/>
      <c r="CA2" s="203"/>
      <c r="CB2" s="203"/>
      <c r="CC2" s="203"/>
      <c r="CD2" s="203"/>
      <c r="CE2" s="203"/>
      <c r="CF2" s="203"/>
      <c r="CG2" s="203"/>
      <c r="CH2" s="203"/>
      <c r="CI2" s="204"/>
      <c r="CJ2" s="204"/>
      <c r="CK2" s="204"/>
      <c r="CL2" s="204"/>
      <c r="CM2" s="204"/>
      <c r="CN2" s="204"/>
      <c r="CO2" s="204"/>
      <c r="CP2" s="204"/>
      <c r="CQ2" s="205"/>
      <c r="CR2" s="205"/>
      <c r="CS2" s="205"/>
      <c r="CT2" s="205"/>
      <c r="CU2" s="205"/>
      <c r="CV2" s="205"/>
      <c r="CW2" s="205"/>
      <c r="CX2" s="205"/>
      <c r="CY2" s="206"/>
    </row>
    <row r="3" spans="1:103" hidden="1" x14ac:dyDescent="0.2">
      <c r="A3" s="185" t="s">
        <v>171</v>
      </c>
      <c r="B3" s="185" t="s">
        <v>171</v>
      </c>
      <c r="C3" s="186" t="s">
        <v>20</v>
      </c>
      <c r="D3" s="185"/>
      <c r="E3" s="187"/>
      <c r="F3" s="187"/>
      <c r="G3" s="188">
        <v>45174</v>
      </c>
      <c r="H3" s="189">
        <v>2023</v>
      </c>
      <c r="I3" s="190" t="s">
        <v>33</v>
      </c>
      <c r="J3" s="190">
        <v>10</v>
      </c>
      <c r="K3" s="191">
        <v>0.56852485409542486</v>
      </c>
      <c r="L3" s="191"/>
      <c r="M3" s="207">
        <v>0.55535444947209645</v>
      </c>
      <c r="N3" s="192">
        <v>1.4680693815987933</v>
      </c>
      <c r="O3" s="192">
        <v>5.8920412267471081</v>
      </c>
      <c r="P3" s="192">
        <v>4.8552941176470581</v>
      </c>
      <c r="Q3" s="192">
        <v>9.2394067370537964</v>
      </c>
      <c r="R3" s="192">
        <v>8.4134942182001016</v>
      </c>
      <c r="S3" s="192">
        <v>1.8209049773755654</v>
      </c>
      <c r="T3" s="193">
        <v>32.244565108094513</v>
      </c>
      <c r="U3" s="17">
        <f t="shared" si="0"/>
        <v>240.88015495845207</v>
      </c>
      <c r="V3" s="194" t="s">
        <v>374</v>
      </c>
      <c r="W3" s="195">
        <v>0.11514735685776428</v>
      </c>
      <c r="X3" s="183">
        <v>5.8818646140047282E-2</v>
      </c>
      <c r="Y3" s="194">
        <v>2.1062693854441143E-2</v>
      </c>
      <c r="Z3" s="183">
        <v>1.7454497522672658E-2</v>
      </c>
      <c r="AA3" s="183">
        <v>1.7526688127611819E-2</v>
      </c>
      <c r="AB3" s="194">
        <v>1.5507586635324781E-2</v>
      </c>
      <c r="AC3" s="194" t="s">
        <v>375</v>
      </c>
      <c r="AD3" s="195">
        <v>0.24551746913786199</v>
      </c>
      <c r="AE3" s="152">
        <f t="shared" si="1"/>
        <v>0.22806297161518932</v>
      </c>
      <c r="AF3" s="185"/>
      <c r="AG3" s="185"/>
      <c r="AH3" s="254">
        <v>4.1781765937758726</v>
      </c>
      <c r="AI3" s="255">
        <v>-0.4</v>
      </c>
      <c r="AJ3" s="255">
        <v>-0.21</v>
      </c>
      <c r="AK3" s="255">
        <v>-0.23</v>
      </c>
      <c r="AL3" s="255">
        <v>-0.15</v>
      </c>
      <c r="AM3" s="255">
        <v>-0.15</v>
      </c>
      <c r="AN3" s="255">
        <v>0.2692089157291514</v>
      </c>
      <c r="AO3" s="256">
        <v>0.12287537135343107</v>
      </c>
      <c r="AP3" s="256"/>
      <c r="AQ3" s="255">
        <v>0.2948911508303706</v>
      </c>
      <c r="AR3" s="255">
        <v>-0.15</v>
      </c>
      <c r="AS3" s="197">
        <v>0.39849672884300069</v>
      </c>
      <c r="AT3" s="198">
        <v>0.22703290637835027</v>
      </c>
      <c r="AU3" s="197">
        <v>-0.76</v>
      </c>
      <c r="AV3" s="197">
        <v>-0.15</v>
      </c>
      <c r="AW3" s="197">
        <v>-0.15</v>
      </c>
      <c r="AX3" s="197">
        <v>-0.15</v>
      </c>
      <c r="AY3" s="197">
        <v>-0.15</v>
      </c>
      <c r="AZ3" s="197">
        <v>-0.15</v>
      </c>
      <c r="BA3" s="197">
        <v>-0.15</v>
      </c>
      <c r="BB3" s="197">
        <v>-0.15</v>
      </c>
      <c r="BC3" s="199"/>
      <c r="BD3" s="199"/>
      <c r="BE3" s="199"/>
      <c r="BF3" s="199"/>
      <c r="BG3" s="199"/>
      <c r="BH3" s="199"/>
      <c r="BI3" s="199"/>
      <c r="BJ3" s="200"/>
      <c r="BK3" s="208"/>
      <c r="BL3" s="185"/>
      <c r="BM3" s="202"/>
      <c r="BN3" s="202">
        <v>38</v>
      </c>
      <c r="BO3" s="203"/>
      <c r="BP3" s="203"/>
      <c r="BQ3" s="203"/>
      <c r="BR3" s="203"/>
      <c r="BS3" s="203"/>
      <c r="BT3" s="203"/>
      <c r="BU3" s="203"/>
      <c r="BV3" s="203"/>
      <c r="BW3" s="203"/>
      <c r="BX3" s="203"/>
      <c r="BY3" s="203"/>
      <c r="BZ3" s="203"/>
      <c r="CA3" s="203"/>
      <c r="CB3" s="203"/>
      <c r="CC3" s="203"/>
      <c r="CD3" s="203"/>
      <c r="CE3" s="203"/>
      <c r="CF3" s="203"/>
      <c r="CG3" s="203"/>
      <c r="CH3" s="203"/>
      <c r="CI3" s="204"/>
      <c r="CJ3" s="204"/>
      <c r="CK3" s="204"/>
      <c r="CL3" s="204"/>
      <c r="CM3" s="204"/>
      <c r="CN3" s="204"/>
      <c r="CO3" s="204"/>
      <c r="CP3" s="204"/>
      <c r="CQ3" s="205"/>
      <c r="CR3" s="205"/>
      <c r="CS3" s="205"/>
      <c r="CT3" s="205"/>
      <c r="CU3" s="205"/>
      <c r="CV3" s="205"/>
      <c r="CW3" s="205"/>
      <c r="CX3" s="205"/>
      <c r="CY3" s="206"/>
    </row>
    <row r="4" spans="1:103" hidden="1" x14ac:dyDescent="0.2">
      <c r="A4" s="185" t="s">
        <v>23</v>
      </c>
      <c r="B4" s="185" t="s">
        <v>23</v>
      </c>
      <c r="C4" s="186" t="s">
        <v>20</v>
      </c>
      <c r="D4" s="185"/>
      <c r="E4" s="187"/>
      <c r="F4" s="187"/>
      <c r="G4" s="188">
        <v>45169</v>
      </c>
      <c r="H4" s="189">
        <v>2023</v>
      </c>
      <c r="I4" s="190" t="s">
        <v>33</v>
      </c>
      <c r="J4" s="190">
        <v>10</v>
      </c>
      <c r="K4" s="191">
        <v>0.56772908366536023</v>
      </c>
      <c r="L4" s="191"/>
      <c r="M4" s="207">
        <v>0.20016655236602329</v>
      </c>
      <c r="N4" s="192">
        <v>1.168085627510532</v>
      </c>
      <c r="O4" s="192">
        <v>4.4648329577740764</v>
      </c>
      <c r="P4" s="192">
        <v>3.3233957088272752</v>
      </c>
      <c r="Q4" s="192">
        <v>8.3775546193788557</v>
      </c>
      <c r="R4" s="192">
        <v>7.7184481238365823</v>
      </c>
      <c r="S4" s="192">
        <v>2.0277358675418826</v>
      </c>
      <c r="T4" s="193">
        <v>27.280219457235223</v>
      </c>
      <c r="U4" s="17">
        <f t="shared" si="0"/>
        <v>210.9881670473743</v>
      </c>
      <c r="V4" s="194" t="s">
        <v>376</v>
      </c>
      <c r="W4" s="183">
        <v>4.1362112151506883E-2</v>
      </c>
      <c r="X4" s="183">
        <v>2.8783740535993703E-2</v>
      </c>
      <c r="Y4" s="183">
        <v>1.7120965943289226E-2</v>
      </c>
      <c r="Z4" s="194">
        <v>2.2125998443970289E-2</v>
      </c>
      <c r="AA4" s="194" t="s">
        <v>377</v>
      </c>
      <c r="AB4" s="194" t="s">
        <v>376</v>
      </c>
      <c r="AC4" s="194" t="s">
        <v>378</v>
      </c>
      <c r="AD4" s="195">
        <v>0.1093928170747601</v>
      </c>
      <c r="AE4" s="152">
        <f t="shared" si="1"/>
        <v>8.7266818630789805E-2</v>
      </c>
      <c r="AF4" s="185"/>
      <c r="AG4" s="185"/>
      <c r="AH4" s="257">
        <v>13.485258489713795</v>
      </c>
      <c r="AI4" s="255">
        <v>-0.4</v>
      </c>
      <c r="AJ4" s="255">
        <v>-0.21</v>
      </c>
      <c r="AK4" s="255">
        <v>-0.23</v>
      </c>
      <c r="AL4" s="255">
        <v>-0.15</v>
      </c>
      <c r="AM4" s="255">
        <v>-0.15</v>
      </c>
      <c r="AN4" s="254">
        <v>1.0733653622414763</v>
      </c>
      <c r="AO4" s="256">
        <v>0.10807703363035358</v>
      </c>
      <c r="AP4" s="256"/>
      <c r="AQ4" s="255">
        <v>0.78409230895577553</v>
      </c>
      <c r="AR4" s="255">
        <v>-0.15</v>
      </c>
      <c r="AS4" s="197">
        <v>0.94626260967163534</v>
      </c>
      <c r="AT4" s="197">
        <v>0.4316785064126254</v>
      </c>
      <c r="AU4" s="198">
        <v>0.33018519278938946</v>
      </c>
      <c r="AV4" s="197">
        <v>-0.15</v>
      </c>
      <c r="AW4" s="197">
        <v>-0.15</v>
      </c>
      <c r="AX4" s="197">
        <v>-0.15</v>
      </c>
      <c r="AY4" s="197">
        <v>-0.15</v>
      </c>
      <c r="AZ4" s="197">
        <v>-0.15</v>
      </c>
      <c r="BA4" s="197">
        <v>-0.15</v>
      </c>
      <c r="BB4" s="197">
        <v>-0.15</v>
      </c>
      <c r="BC4" s="199"/>
      <c r="BD4" s="199"/>
      <c r="BE4" s="199"/>
      <c r="BF4" s="199"/>
      <c r="BG4" s="199"/>
      <c r="BH4" s="199"/>
      <c r="BI4" s="199"/>
      <c r="BJ4" s="200"/>
      <c r="BK4" s="210"/>
      <c r="BL4" s="185"/>
      <c r="BM4" s="202"/>
      <c r="BN4" s="202">
        <v>370</v>
      </c>
      <c r="BO4" s="203"/>
      <c r="BP4" s="203"/>
      <c r="BQ4" s="203"/>
      <c r="BR4" s="203"/>
      <c r="BS4" s="203"/>
      <c r="BT4" s="203"/>
      <c r="BU4" s="203"/>
      <c r="BV4" s="203"/>
      <c r="BW4" s="203"/>
      <c r="BX4" s="203"/>
      <c r="BY4" s="203"/>
      <c r="BZ4" s="203"/>
      <c r="CA4" s="203"/>
      <c r="CB4" s="203"/>
      <c r="CC4" s="203"/>
      <c r="CD4" s="203"/>
      <c r="CE4" s="203"/>
      <c r="CF4" s="203"/>
      <c r="CG4" s="203"/>
      <c r="CH4" s="203"/>
      <c r="CI4" s="204"/>
      <c r="CJ4" s="204"/>
      <c r="CK4" s="204"/>
      <c r="CL4" s="204"/>
      <c r="CM4" s="204"/>
      <c r="CN4" s="204"/>
      <c r="CO4" s="204"/>
      <c r="CP4" s="204"/>
      <c r="CQ4" s="205"/>
      <c r="CR4" s="205"/>
      <c r="CS4" s="205"/>
      <c r="CT4" s="205"/>
      <c r="CU4" s="205"/>
      <c r="CV4" s="205"/>
      <c r="CW4" s="205"/>
      <c r="CX4" s="205"/>
      <c r="CY4" s="206"/>
    </row>
    <row r="5" spans="1:103" hidden="1" x14ac:dyDescent="0.2">
      <c r="A5" s="185" t="s">
        <v>26</v>
      </c>
      <c r="B5" s="185" t="s">
        <v>26</v>
      </c>
      <c r="C5" s="186" t="s">
        <v>20</v>
      </c>
      <c r="D5" s="185"/>
      <c r="E5" s="187"/>
      <c r="F5" s="187"/>
      <c r="G5" s="188">
        <v>45177</v>
      </c>
      <c r="H5" s="189">
        <v>2023</v>
      </c>
      <c r="I5" s="190" t="s">
        <v>33</v>
      </c>
      <c r="J5" s="190">
        <v>10</v>
      </c>
      <c r="K5" s="191">
        <v>0.56687067322166473</v>
      </c>
      <c r="L5" s="191"/>
      <c r="M5" s="182">
        <v>2.3991955756661638E-2</v>
      </c>
      <c r="N5" s="182">
        <v>3.6596279537456006E-2</v>
      </c>
      <c r="O5" s="207">
        <v>0.17120663650075416</v>
      </c>
      <c r="P5" s="207">
        <v>0.19407742584213172</v>
      </c>
      <c r="Q5" s="193">
        <v>15.289762821812285</v>
      </c>
      <c r="R5" s="193">
        <v>15.198155280762213</v>
      </c>
      <c r="S5" s="207">
        <v>0.17447963800904978</v>
      </c>
      <c r="T5" s="193">
        <v>31.088270038220553</v>
      </c>
      <c r="U5" s="17">
        <f t="shared" si="0"/>
        <v>272.49771483854659</v>
      </c>
      <c r="V5" s="194" t="s">
        <v>374</v>
      </c>
      <c r="W5" s="194" t="s">
        <v>379</v>
      </c>
      <c r="X5" s="194" t="s">
        <v>379</v>
      </c>
      <c r="Y5" s="194" t="s">
        <v>380</v>
      </c>
      <c r="Z5" s="183">
        <v>1.4011993247602083E-2</v>
      </c>
      <c r="AA5" s="183" t="s">
        <v>381</v>
      </c>
      <c r="AB5" s="183" t="s">
        <v>374</v>
      </c>
      <c r="AC5" s="194" t="s">
        <v>375</v>
      </c>
      <c r="AD5" s="194">
        <v>1.4011993247602083E-2</v>
      </c>
      <c r="AE5" s="152">
        <f t="shared" si="1"/>
        <v>0</v>
      </c>
      <c r="AF5" s="185"/>
      <c r="AG5" s="185"/>
      <c r="AH5" s="255">
        <v>0.55671061162740421</v>
      </c>
      <c r="AI5" s="255">
        <v>-0.4</v>
      </c>
      <c r="AJ5" s="255">
        <v>-0.21</v>
      </c>
      <c r="AK5" s="255">
        <v>-0.23</v>
      </c>
      <c r="AL5" s="255">
        <v>-0.15</v>
      </c>
      <c r="AM5" s="255">
        <v>-0.15</v>
      </c>
      <c r="AN5" s="255">
        <v>6.6032706577335912E-2</v>
      </c>
      <c r="AO5" s="255">
        <v>-0.15</v>
      </c>
      <c r="AP5" s="255"/>
      <c r="AQ5" s="255">
        <v>-0.18</v>
      </c>
      <c r="AR5" s="255">
        <v>-0.15</v>
      </c>
      <c r="AS5" s="197">
        <v>-0.37</v>
      </c>
      <c r="AT5" s="197">
        <v>-0.41</v>
      </c>
      <c r="AU5" s="197">
        <v>-0.76</v>
      </c>
      <c r="AV5" s="197">
        <v>-0.15</v>
      </c>
      <c r="AW5" s="197">
        <v>-0.15</v>
      </c>
      <c r="AX5" s="197">
        <v>-0.15</v>
      </c>
      <c r="AY5" s="197">
        <v>-0.15</v>
      </c>
      <c r="AZ5" s="197">
        <v>-0.15</v>
      </c>
      <c r="BA5" s="197">
        <v>-0.15</v>
      </c>
      <c r="BB5" s="197">
        <v>-0.15</v>
      </c>
      <c r="BC5" s="199"/>
      <c r="BD5" s="199"/>
      <c r="BE5" s="199"/>
      <c r="BF5" s="199"/>
      <c r="BG5" s="199"/>
      <c r="BH5" s="199"/>
      <c r="BI5" s="199"/>
      <c r="BJ5" s="200"/>
      <c r="BK5" s="211"/>
      <c r="BL5" s="185"/>
      <c r="BM5" s="202"/>
      <c r="BN5" s="202">
        <v>41</v>
      </c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4"/>
      <c r="CJ5" s="204"/>
      <c r="CK5" s="204"/>
      <c r="CL5" s="204"/>
      <c r="CM5" s="204"/>
      <c r="CN5" s="204"/>
      <c r="CO5" s="204"/>
      <c r="CP5" s="204"/>
      <c r="CQ5" s="205"/>
      <c r="CR5" s="205"/>
      <c r="CS5" s="205"/>
      <c r="CT5" s="205"/>
      <c r="CU5" s="205"/>
      <c r="CV5" s="205"/>
      <c r="CW5" s="205"/>
      <c r="CX5" s="205"/>
      <c r="CY5" s="206"/>
    </row>
    <row r="6" spans="1:103" hidden="1" x14ac:dyDescent="0.2">
      <c r="A6" s="185" t="s">
        <v>79</v>
      </c>
      <c r="B6" s="185" t="s">
        <v>79</v>
      </c>
      <c r="C6" s="186" t="s">
        <v>20</v>
      </c>
      <c r="D6" s="185"/>
      <c r="E6" s="187"/>
      <c r="F6" s="187"/>
      <c r="G6" s="188">
        <v>45169</v>
      </c>
      <c r="H6" s="189">
        <v>2023</v>
      </c>
      <c r="I6" s="190" t="s">
        <v>33</v>
      </c>
      <c r="J6" s="190">
        <v>10</v>
      </c>
      <c r="K6" s="191">
        <v>0.67045916294195507</v>
      </c>
      <c r="L6" s="191"/>
      <c r="M6" s="207">
        <v>0.21301336454980005</v>
      </c>
      <c r="N6" s="207">
        <v>0.43243585991610578</v>
      </c>
      <c r="O6" s="192">
        <v>1.5412740220466299</v>
      </c>
      <c r="P6" s="192">
        <v>1.2459467369037167</v>
      </c>
      <c r="Q6" s="192">
        <v>2.7617647058823529</v>
      </c>
      <c r="R6" s="192">
        <v>2.6039020583357724</v>
      </c>
      <c r="S6" s="207">
        <v>0.70495073651351092</v>
      </c>
      <c r="T6" s="193">
        <v>9.5032874841478883</v>
      </c>
      <c r="U6" s="17">
        <f t="shared" si="0"/>
        <v>61.579744178684976</v>
      </c>
      <c r="V6" s="194" t="s">
        <v>383</v>
      </c>
      <c r="W6" s="194">
        <v>1.9419378560423195E-2</v>
      </c>
      <c r="X6" s="194">
        <v>1.9785511744822872E-2</v>
      </c>
      <c r="Y6" s="194">
        <v>1.1963900529724555E-2</v>
      </c>
      <c r="Z6" s="183">
        <v>2.2561808266358847E-2</v>
      </c>
      <c r="AA6" s="183" t="s">
        <v>384</v>
      </c>
      <c r="AB6" s="183" t="s">
        <v>383</v>
      </c>
      <c r="AC6" s="194" t="s">
        <v>385</v>
      </c>
      <c r="AD6" s="194">
        <v>7.373059910132948E-2</v>
      </c>
      <c r="AE6" s="152">
        <f t="shared" si="1"/>
        <v>5.1168790834970626E-2</v>
      </c>
      <c r="AF6" s="185"/>
      <c r="AG6" s="185"/>
      <c r="AH6" s="254">
        <v>5.1885249330655947</v>
      </c>
      <c r="AI6" s="255">
        <v>-0.4</v>
      </c>
      <c r="AJ6" s="256">
        <v>8.1632083891120019E-2</v>
      </c>
      <c r="AK6" s="255">
        <v>-0.23</v>
      </c>
      <c r="AL6" s="255">
        <v>-0.15</v>
      </c>
      <c r="AM6" s="256">
        <v>5.7730923694779099E-2</v>
      </c>
      <c r="AN6" s="255">
        <v>0.47986390004462282</v>
      </c>
      <c r="AO6" s="255">
        <v>-0.15</v>
      </c>
      <c r="AP6" s="255"/>
      <c r="AQ6" s="255">
        <v>0.43946619812583659</v>
      </c>
      <c r="AR6" s="255">
        <v>-0.15</v>
      </c>
      <c r="AS6" s="197">
        <v>0.6258087907184291</v>
      </c>
      <c r="AT6" s="198">
        <v>0.13289268183846495</v>
      </c>
      <c r="AU6" s="197">
        <v>-0.76</v>
      </c>
      <c r="AV6" s="197">
        <v>-0.15</v>
      </c>
      <c r="AW6" s="197">
        <v>-0.15</v>
      </c>
      <c r="AX6" s="197">
        <v>-0.15</v>
      </c>
      <c r="AY6" s="197">
        <v>-0.15</v>
      </c>
      <c r="AZ6" s="197">
        <v>-0.15</v>
      </c>
      <c r="BA6" s="197">
        <v>-0.15</v>
      </c>
      <c r="BB6" s="197">
        <v>-0.15</v>
      </c>
      <c r="BC6" s="199"/>
      <c r="BD6" s="199"/>
      <c r="BE6" s="199"/>
      <c r="BF6" s="199"/>
      <c r="BG6" s="199"/>
      <c r="BH6" s="199"/>
      <c r="BI6" s="199"/>
      <c r="BJ6" s="200"/>
      <c r="BK6" s="210"/>
      <c r="BL6" s="185"/>
      <c r="BM6" s="202"/>
      <c r="BN6" s="202">
        <v>110</v>
      </c>
      <c r="BO6" s="203"/>
      <c r="BP6" s="203"/>
      <c r="BQ6" s="203"/>
      <c r="BR6" s="203"/>
      <c r="BS6" s="203"/>
      <c r="BT6" s="203"/>
      <c r="BU6" s="203"/>
      <c r="BV6" s="203"/>
      <c r="BW6" s="203"/>
      <c r="BX6" s="203"/>
      <c r="BY6" s="203"/>
      <c r="BZ6" s="203"/>
      <c r="CA6" s="203"/>
      <c r="CB6" s="203"/>
      <c r="CC6" s="203"/>
      <c r="CD6" s="203"/>
      <c r="CE6" s="203"/>
      <c r="CF6" s="203"/>
      <c r="CG6" s="203"/>
      <c r="CH6" s="203"/>
      <c r="CI6" s="204"/>
      <c r="CJ6" s="204"/>
      <c r="CK6" s="204"/>
      <c r="CL6" s="204"/>
      <c r="CM6" s="204"/>
      <c r="CN6" s="204"/>
      <c r="CO6" s="204"/>
      <c r="CP6" s="204"/>
      <c r="CQ6" s="205"/>
      <c r="CR6" s="205"/>
      <c r="CS6" s="205"/>
      <c r="CT6" s="205"/>
      <c r="CU6" s="205"/>
      <c r="CV6" s="205"/>
      <c r="CW6" s="205"/>
      <c r="CX6" s="205"/>
      <c r="CY6" s="206"/>
    </row>
    <row r="7" spans="1:103" hidden="1" x14ac:dyDescent="0.2">
      <c r="A7" s="185" t="s">
        <v>25</v>
      </c>
      <c r="B7" s="185" t="s">
        <v>25</v>
      </c>
      <c r="C7" s="186" t="s">
        <v>20</v>
      </c>
      <c r="D7" s="185"/>
      <c r="E7" s="187"/>
      <c r="F7" s="187"/>
      <c r="G7" s="188">
        <v>45170</v>
      </c>
      <c r="H7" s="189">
        <v>2023</v>
      </c>
      <c r="I7" s="190" t="s">
        <v>33</v>
      </c>
      <c r="J7" s="190">
        <v>10</v>
      </c>
      <c r="K7" s="191">
        <v>0.58063870257286399</v>
      </c>
      <c r="L7" s="191"/>
      <c r="M7" s="212" t="s">
        <v>386</v>
      </c>
      <c r="N7" s="212">
        <v>6.0789240319243279E-2</v>
      </c>
      <c r="O7" s="207">
        <v>0.69921667159326051</v>
      </c>
      <c r="P7" s="207">
        <v>0.54887181003054497</v>
      </c>
      <c r="Q7" s="192">
        <v>2.5416198640260124</v>
      </c>
      <c r="R7" s="192">
        <v>2.1435412355897134</v>
      </c>
      <c r="S7" s="207">
        <v>0.73793477189870926</v>
      </c>
      <c r="T7" s="192">
        <v>6.731973593457484</v>
      </c>
      <c r="U7" s="17">
        <f t="shared" si="0"/>
        <v>53.243968719524219</v>
      </c>
      <c r="V7" s="213" t="s">
        <v>387</v>
      </c>
      <c r="W7" s="213">
        <v>5.3543620087528804E-2</v>
      </c>
      <c r="X7" s="213">
        <v>3.4330691037025962E-2</v>
      </c>
      <c r="Y7" s="213">
        <v>4.7884913448240758E-2</v>
      </c>
      <c r="Z7" s="213">
        <v>1.7692556819453274E-2</v>
      </c>
      <c r="AA7" s="213">
        <v>7.726382386593276E-3</v>
      </c>
      <c r="AB7" s="213" t="s">
        <v>387</v>
      </c>
      <c r="AC7" s="194" t="s">
        <v>388</v>
      </c>
      <c r="AD7" s="195">
        <v>0.16117816377884209</v>
      </c>
      <c r="AE7" s="152">
        <f t="shared" si="1"/>
        <v>0.14348560695938881</v>
      </c>
      <c r="AF7" s="185"/>
      <c r="AG7" s="185"/>
      <c r="AH7" s="257">
        <v>12.367993447268216</v>
      </c>
      <c r="AI7" s="255">
        <v>-0.4</v>
      </c>
      <c r="AJ7" s="255">
        <v>-0.21</v>
      </c>
      <c r="AK7" s="255">
        <v>-0.23</v>
      </c>
      <c r="AL7" s="255">
        <v>-0.15</v>
      </c>
      <c r="AM7" s="255">
        <v>-0.15</v>
      </c>
      <c r="AN7" s="255">
        <v>0.93556480415596688</v>
      </c>
      <c r="AO7" s="255">
        <v>0.27468343221464619</v>
      </c>
      <c r="AP7" s="255"/>
      <c r="AQ7" s="255">
        <v>0.30191268927654291</v>
      </c>
      <c r="AR7" s="255">
        <v>-0.15</v>
      </c>
      <c r="AS7" s="197">
        <v>0.16206204433424831</v>
      </c>
      <c r="AT7" s="197">
        <v>-0.41</v>
      </c>
      <c r="AU7" s="197">
        <v>-0.76</v>
      </c>
      <c r="AV7" s="197">
        <v>-0.15</v>
      </c>
      <c r="AW7" s="197">
        <v>-0.15</v>
      </c>
      <c r="AX7" s="197">
        <v>-0.15</v>
      </c>
      <c r="AY7" s="197">
        <v>-0.15</v>
      </c>
      <c r="AZ7" s="197">
        <v>-0.15</v>
      </c>
      <c r="BA7" s="197">
        <v>-0.15</v>
      </c>
      <c r="BB7" s="197">
        <v>-0.15</v>
      </c>
      <c r="BC7" s="199"/>
      <c r="BD7" s="199"/>
      <c r="BE7" s="199"/>
      <c r="BF7" s="199"/>
      <c r="BG7" s="199"/>
      <c r="BH7" s="199"/>
      <c r="BI7" s="199"/>
      <c r="BJ7" s="200"/>
      <c r="BK7" s="210"/>
      <c r="BL7" s="185"/>
      <c r="BM7" s="202"/>
      <c r="BN7" s="202">
        <v>86</v>
      </c>
      <c r="BO7" s="203"/>
      <c r="BP7" s="203"/>
      <c r="BQ7" s="203"/>
      <c r="BR7" s="203"/>
      <c r="BS7" s="203"/>
      <c r="BT7" s="203"/>
      <c r="BU7" s="203"/>
      <c r="BV7" s="203"/>
      <c r="BW7" s="203"/>
      <c r="BX7" s="203"/>
      <c r="BY7" s="203"/>
      <c r="BZ7" s="203"/>
      <c r="CA7" s="203"/>
      <c r="CB7" s="203"/>
      <c r="CC7" s="203"/>
      <c r="CD7" s="203"/>
      <c r="CE7" s="203"/>
      <c r="CF7" s="203"/>
      <c r="CG7" s="203"/>
      <c r="CH7" s="203"/>
      <c r="CI7" s="204"/>
      <c r="CJ7" s="204"/>
      <c r="CK7" s="204"/>
      <c r="CL7" s="204"/>
      <c r="CM7" s="204"/>
      <c r="CN7" s="204"/>
      <c r="CO7" s="204"/>
      <c r="CP7" s="204"/>
      <c r="CQ7" s="205"/>
      <c r="CR7" s="205"/>
      <c r="CS7" s="205"/>
      <c r="CT7" s="205"/>
      <c r="CU7" s="205"/>
      <c r="CV7" s="205"/>
      <c r="CW7" s="205"/>
      <c r="CX7" s="205"/>
      <c r="CY7" s="206"/>
    </row>
    <row r="8" spans="1:103" hidden="1" x14ac:dyDescent="0.2">
      <c r="A8" s="185" t="s">
        <v>6</v>
      </c>
      <c r="B8" s="185" t="s">
        <v>6</v>
      </c>
      <c r="C8" s="186" t="s">
        <v>20</v>
      </c>
      <c r="D8" s="185"/>
      <c r="E8" s="187"/>
      <c r="F8" s="187"/>
      <c r="G8" s="188">
        <v>45175</v>
      </c>
      <c r="H8" s="189">
        <v>2023</v>
      </c>
      <c r="I8" s="190" t="s">
        <v>33</v>
      </c>
      <c r="J8" s="190">
        <v>10</v>
      </c>
      <c r="K8" s="191">
        <v>0.48081738956230963</v>
      </c>
      <c r="L8" s="191"/>
      <c r="M8" s="182">
        <v>3.5046305617072684E-2</v>
      </c>
      <c r="N8" s="207">
        <v>0.38043587678679291</v>
      </c>
      <c r="O8" s="192">
        <v>2.3064274209784581</v>
      </c>
      <c r="P8" s="192">
        <v>1.8520636198912825</v>
      </c>
      <c r="Q8" s="192">
        <v>5.3342963559492658</v>
      </c>
      <c r="R8" s="192">
        <v>4.2933058184014499</v>
      </c>
      <c r="S8" s="192">
        <v>1.2768773907791424</v>
      </c>
      <c r="T8" s="193">
        <v>15.477300181195895</v>
      </c>
      <c r="U8" s="17">
        <f t="shared" si="0"/>
        <v>141.70025319712695</v>
      </c>
      <c r="V8" s="194" t="s">
        <v>389</v>
      </c>
      <c r="W8" s="194">
        <v>0.12606724087022481</v>
      </c>
      <c r="X8" s="194">
        <v>4.3198189251169403E-2</v>
      </c>
      <c r="Y8" s="194">
        <v>8.5261853004302848E-2</v>
      </c>
      <c r="Z8" s="183">
        <v>2.0523895227499023E-2</v>
      </c>
      <c r="AA8" s="183">
        <v>9.8970240420161535E-3</v>
      </c>
      <c r="AB8" s="183" t="s">
        <v>389</v>
      </c>
      <c r="AC8" s="213" t="s">
        <v>390</v>
      </c>
      <c r="AD8" s="195">
        <v>0.28494820239521224</v>
      </c>
      <c r="AE8" s="152">
        <f t="shared" si="1"/>
        <v>0.2644243071677132</v>
      </c>
      <c r="AF8" s="185"/>
      <c r="AG8" s="185"/>
      <c r="AH8" s="254">
        <v>4.9399306794433961</v>
      </c>
      <c r="AI8" s="255">
        <v>-0.4</v>
      </c>
      <c r="AJ8" s="255">
        <v>-0.21</v>
      </c>
      <c r="AK8" s="255">
        <v>-0.23</v>
      </c>
      <c r="AL8" s="255">
        <v>-0.15</v>
      </c>
      <c r="AM8" s="256">
        <v>6.7638513685712817E-2</v>
      </c>
      <c r="AN8" s="255">
        <v>0.66765210595171354</v>
      </c>
      <c r="AO8" s="256">
        <v>9.2716244456904018E-2</v>
      </c>
      <c r="AP8" s="256"/>
      <c r="AQ8" s="255">
        <v>0.27957592130077985</v>
      </c>
      <c r="AR8" s="255">
        <v>-0.15</v>
      </c>
      <c r="AS8" s="197">
        <v>0.22627724824574819</v>
      </c>
      <c r="AT8" s="197">
        <v>-0.41</v>
      </c>
      <c r="AU8" s="197">
        <v>-0.76</v>
      </c>
      <c r="AV8" s="197">
        <v>-0.15</v>
      </c>
      <c r="AW8" s="197">
        <v>-0.15</v>
      </c>
      <c r="AX8" s="197">
        <v>-0.15</v>
      </c>
      <c r="AY8" s="197">
        <v>-0.15</v>
      </c>
      <c r="AZ8" s="197">
        <v>-0.15</v>
      </c>
      <c r="BA8" s="197">
        <v>-0.15</v>
      </c>
      <c r="BB8" s="197">
        <v>-0.15</v>
      </c>
      <c r="BC8" s="199"/>
      <c r="BD8" s="199"/>
      <c r="BE8" s="199"/>
      <c r="BF8" s="199"/>
      <c r="BG8" s="199"/>
      <c r="BH8" s="199"/>
      <c r="BI8" s="199"/>
      <c r="BJ8" s="200"/>
      <c r="BK8" s="211"/>
      <c r="BL8" s="185"/>
      <c r="BM8" s="202"/>
      <c r="BN8" s="202">
        <v>54</v>
      </c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4"/>
      <c r="CJ8" s="204"/>
      <c r="CK8" s="204"/>
      <c r="CL8" s="204"/>
      <c r="CM8" s="204"/>
      <c r="CN8" s="204"/>
      <c r="CO8" s="204"/>
      <c r="CP8" s="204"/>
      <c r="CQ8" s="205"/>
      <c r="CR8" s="205"/>
      <c r="CS8" s="205"/>
      <c r="CT8" s="205"/>
      <c r="CU8" s="205"/>
      <c r="CV8" s="205"/>
      <c r="CW8" s="205"/>
      <c r="CX8" s="205"/>
      <c r="CY8" s="206"/>
    </row>
    <row r="9" spans="1:103" hidden="1" x14ac:dyDescent="0.2">
      <c r="A9" s="185" t="s">
        <v>203</v>
      </c>
      <c r="B9" s="185" t="s">
        <v>203</v>
      </c>
      <c r="C9" s="186" t="s">
        <v>20</v>
      </c>
      <c r="D9" s="185"/>
      <c r="E9" s="187"/>
      <c r="F9" s="187"/>
      <c r="G9" s="188">
        <v>45170</v>
      </c>
      <c r="H9" s="189">
        <v>2023</v>
      </c>
      <c r="I9" s="190" t="s">
        <v>33</v>
      </c>
      <c r="J9" s="190">
        <v>10</v>
      </c>
      <c r="K9" s="191">
        <v>0.56471764117944345</v>
      </c>
      <c r="L9" s="191"/>
      <c r="M9" s="207">
        <v>0.44432182985553775</v>
      </c>
      <c r="N9" s="192">
        <v>1.2042987560192617</v>
      </c>
      <c r="O9" s="192">
        <v>5.4840339085072225</v>
      </c>
      <c r="P9" s="192">
        <v>4.5118479133226321</v>
      </c>
      <c r="Q9" s="193">
        <v>11.613563402889245</v>
      </c>
      <c r="R9" s="193">
        <v>10.423725922953452</v>
      </c>
      <c r="S9" s="192">
        <v>3.0970204654895666</v>
      </c>
      <c r="T9" s="193">
        <v>36.778812199036913</v>
      </c>
      <c r="U9" s="17">
        <f t="shared" si="0"/>
        <v>285.69113068898446</v>
      </c>
      <c r="V9" s="194" t="s">
        <v>391</v>
      </c>
      <c r="W9" s="194">
        <v>9.5966778310588155E-2</v>
      </c>
      <c r="X9" s="194">
        <v>4.469765995413684E-2</v>
      </c>
      <c r="Y9" s="194">
        <v>5.2282195514730533E-2</v>
      </c>
      <c r="Z9" s="183">
        <v>1.7389299563974406E-2</v>
      </c>
      <c r="AA9" s="183">
        <v>8.5136817328390797E-3</v>
      </c>
      <c r="AB9" s="194" t="s">
        <v>391</v>
      </c>
      <c r="AC9" s="194" t="s">
        <v>392</v>
      </c>
      <c r="AD9" s="195">
        <v>0.21884961507626902</v>
      </c>
      <c r="AE9" s="152">
        <f t="shared" si="1"/>
        <v>0.20146031551229462</v>
      </c>
      <c r="AF9" s="185"/>
      <c r="AG9" s="185"/>
      <c r="AH9" s="254">
        <v>3.4018073966648927</v>
      </c>
      <c r="AI9" s="255">
        <v>-0.4</v>
      </c>
      <c r="AJ9" s="255">
        <v>-0.21</v>
      </c>
      <c r="AK9" s="255">
        <v>-0.23</v>
      </c>
      <c r="AL9" s="255">
        <v>-0.15</v>
      </c>
      <c r="AM9" s="256">
        <v>6.5113156885308804E-2</v>
      </c>
      <c r="AN9" s="255">
        <v>0.13369411946446694</v>
      </c>
      <c r="AO9" s="255">
        <v>-0.15</v>
      </c>
      <c r="AP9" s="255"/>
      <c r="AQ9" s="255">
        <v>0.30418616150648736</v>
      </c>
      <c r="AR9" s="255">
        <v>-0.15</v>
      </c>
      <c r="AS9" s="197">
        <v>0.60276413774135995</v>
      </c>
      <c r="AT9" s="198">
        <v>0.34287851233353711</v>
      </c>
      <c r="AU9" s="197">
        <v>-0.76</v>
      </c>
      <c r="AV9" s="197">
        <v>-0.15</v>
      </c>
      <c r="AW9" s="197">
        <v>-0.15</v>
      </c>
      <c r="AX9" s="197">
        <v>-0.15</v>
      </c>
      <c r="AY9" s="197">
        <v>-0.15</v>
      </c>
      <c r="AZ9" s="197">
        <v>-0.15</v>
      </c>
      <c r="BA9" s="197">
        <v>-0.15</v>
      </c>
      <c r="BB9" s="197">
        <v>-0.15</v>
      </c>
      <c r="BC9" s="199"/>
      <c r="BD9" s="199"/>
      <c r="BE9" s="199"/>
      <c r="BF9" s="199"/>
      <c r="BG9" s="199"/>
      <c r="BH9" s="199"/>
      <c r="BI9" s="199"/>
      <c r="BJ9" s="200"/>
      <c r="BK9" s="211"/>
      <c r="BL9" s="185"/>
      <c r="BM9" s="202"/>
      <c r="BN9" s="202">
        <v>240</v>
      </c>
      <c r="BO9" s="203"/>
      <c r="BP9" s="203"/>
      <c r="BQ9" s="203"/>
      <c r="BR9" s="203"/>
      <c r="BS9" s="203"/>
      <c r="BT9" s="203"/>
      <c r="BU9" s="203"/>
      <c r="BV9" s="203"/>
      <c r="BW9" s="203"/>
      <c r="BX9" s="203"/>
      <c r="BY9" s="203"/>
      <c r="BZ9" s="203"/>
      <c r="CA9" s="203"/>
      <c r="CB9" s="203"/>
      <c r="CC9" s="203"/>
      <c r="CD9" s="203"/>
      <c r="CE9" s="203"/>
      <c r="CF9" s="203"/>
      <c r="CG9" s="203"/>
      <c r="CH9" s="203"/>
      <c r="CI9" s="204"/>
      <c r="CJ9" s="204"/>
      <c r="CK9" s="204"/>
      <c r="CL9" s="204"/>
      <c r="CM9" s="204"/>
      <c r="CN9" s="204"/>
      <c r="CO9" s="204"/>
      <c r="CP9" s="204"/>
      <c r="CQ9" s="205"/>
      <c r="CR9" s="205"/>
      <c r="CS9" s="205"/>
      <c r="CT9" s="205"/>
      <c r="CU9" s="205"/>
      <c r="CV9" s="205"/>
      <c r="CW9" s="205"/>
      <c r="CX9" s="205"/>
      <c r="CY9" s="206"/>
    </row>
    <row r="10" spans="1:103" s="181" customFormat="1" hidden="1" x14ac:dyDescent="0.2">
      <c r="A10" s="185" t="s">
        <v>204</v>
      </c>
      <c r="B10" s="185" t="s">
        <v>204</v>
      </c>
      <c r="C10" s="186" t="s">
        <v>20</v>
      </c>
      <c r="D10" s="185"/>
      <c r="E10" s="187"/>
      <c r="F10" s="187"/>
      <c r="G10" s="208"/>
      <c r="H10" s="189">
        <v>2021</v>
      </c>
      <c r="I10" s="190" t="s">
        <v>33</v>
      </c>
      <c r="J10" s="190">
        <v>10</v>
      </c>
      <c r="K10" s="191">
        <v>0.56402137344157643</v>
      </c>
      <c r="L10" s="191"/>
      <c r="M10" s="182">
        <v>1.522167487684729E-2</v>
      </c>
      <c r="N10" s="212">
        <v>5.7571428571428572E-2</v>
      </c>
      <c r="O10" s="207">
        <v>0.64161083743842362</v>
      </c>
      <c r="P10" s="207">
        <v>0.53382266009852219</v>
      </c>
      <c r="Q10" s="192">
        <v>2.5490443349753695</v>
      </c>
      <c r="R10" s="192">
        <v>2.1790344827586208</v>
      </c>
      <c r="S10" s="207">
        <v>0.7492512315270935</v>
      </c>
      <c r="T10" s="192">
        <v>6.7255566502463058</v>
      </c>
      <c r="U10" s="17">
        <f t="shared" si="0"/>
        <v>54.889178688094056</v>
      </c>
      <c r="V10" s="194" t="s">
        <v>393</v>
      </c>
      <c r="W10" s="183">
        <v>5.6462309847059529E-2</v>
      </c>
      <c r="X10" s="183">
        <v>3.7733985775730408E-2</v>
      </c>
      <c r="Y10" s="183">
        <v>5.2100561497443978E-2</v>
      </c>
      <c r="Z10" s="194">
        <v>2.1777794955048644E-2</v>
      </c>
      <c r="AA10" s="194">
        <v>8.4081721315387731E-3</v>
      </c>
      <c r="AB10" s="194">
        <v>7.6434139470555936E-3</v>
      </c>
      <c r="AC10" s="194" t="s">
        <v>394</v>
      </c>
      <c r="AD10" s="195">
        <v>0.18412623815387694</v>
      </c>
      <c r="AE10" s="152">
        <f t="shared" si="1"/>
        <v>0.1623484431988283</v>
      </c>
      <c r="AF10" s="185"/>
      <c r="AG10" s="214"/>
      <c r="AH10" s="257">
        <v>24.76489720336167</v>
      </c>
      <c r="AI10" s="255">
        <v>-0.4</v>
      </c>
      <c r="AJ10" s="255">
        <v>-0.21</v>
      </c>
      <c r="AK10" s="255">
        <v>-0.23</v>
      </c>
      <c r="AL10" s="255">
        <v>-0.15</v>
      </c>
      <c r="AM10" s="256">
        <v>0.14590950097336311</v>
      </c>
      <c r="AN10" s="254">
        <v>1.2500672649288578</v>
      </c>
      <c r="AO10" s="255">
        <v>0.28968235126537206</v>
      </c>
      <c r="AP10" s="255"/>
      <c r="AQ10" s="255">
        <v>0.53829352832249189</v>
      </c>
      <c r="AR10" s="255">
        <v>-0.15</v>
      </c>
      <c r="AS10" s="197">
        <v>0.38504027982210415</v>
      </c>
      <c r="AT10" s="198">
        <v>0.2182549103398066</v>
      </c>
      <c r="AU10" s="197">
        <v>-0.76</v>
      </c>
      <c r="AV10" s="197">
        <v>-0.15</v>
      </c>
      <c r="AW10" s="197">
        <v>-0.15</v>
      </c>
      <c r="AX10" s="198">
        <v>7.969707041451024E-2</v>
      </c>
      <c r="AY10" s="197">
        <v>-0.15</v>
      </c>
      <c r="AZ10" s="197">
        <v>-0.15</v>
      </c>
      <c r="BA10" s="197">
        <v>-0.15</v>
      </c>
      <c r="BB10" s="197">
        <v>-0.15</v>
      </c>
      <c r="BC10" s="199"/>
      <c r="BD10" s="199"/>
      <c r="BE10" s="199"/>
      <c r="BF10" s="199"/>
      <c r="BG10" s="199"/>
      <c r="BH10" s="199"/>
      <c r="BI10" s="199"/>
      <c r="BJ10" s="200"/>
      <c r="BK10" s="215"/>
      <c r="BL10" s="185"/>
      <c r="BM10" s="202"/>
      <c r="BN10" s="202">
        <v>120</v>
      </c>
      <c r="BO10" s="203"/>
      <c r="BP10" s="203"/>
      <c r="BQ10" s="203"/>
      <c r="BR10" s="203"/>
      <c r="BS10" s="203"/>
      <c r="BT10" s="203"/>
      <c r="BU10" s="203"/>
      <c r="BV10" s="203"/>
      <c r="BW10" s="203"/>
      <c r="BX10" s="203"/>
      <c r="BY10" s="203"/>
      <c r="BZ10" s="203"/>
      <c r="CA10" s="203"/>
      <c r="CB10" s="203"/>
      <c r="CC10" s="203"/>
      <c r="CD10" s="203"/>
      <c r="CE10" s="203"/>
      <c r="CF10" s="203"/>
      <c r="CG10" s="203"/>
      <c r="CH10" s="203"/>
      <c r="CI10" s="204"/>
      <c r="CJ10" s="204"/>
      <c r="CK10" s="204"/>
      <c r="CL10" s="204"/>
      <c r="CM10" s="204"/>
      <c r="CN10" s="204"/>
      <c r="CO10" s="204"/>
      <c r="CP10" s="204"/>
      <c r="CQ10" s="205"/>
      <c r="CR10" s="205"/>
      <c r="CS10" s="205"/>
      <c r="CT10" s="205"/>
      <c r="CU10" s="205"/>
      <c r="CV10" s="205"/>
      <c r="CW10" s="205"/>
      <c r="CX10" s="205"/>
      <c r="CY10" s="206"/>
    </row>
    <row r="11" spans="1:103" s="181" customFormat="1" hidden="1" x14ac:dyDescent="0.2">
      <c r="A11" s="185" t="s">
        <v>205</v>
      </c>
      <c r="B11" s="185" t="s">
        <v>205</v>
      </c>
      <c r="C11" s="186" t="s">
        <v>20</v>
      </c>
      <c r="D11" s="185"/>
      <c r="E11" s="187"/>
      <c r="F11" s="187"/>
      <c r="G11" s="208"/>
      <c r="H11" s="189">
        <v>2020</v>
      </c>
      <c r="I11" s="190" t="s">
        <v>33</v>
      </c>
      <c r="J11" s="190">
        <v>10</v>
      </c>
      <c r="K11" s="191">
        <v>0.66626287098730563</v>
      </c>
      <c r="L11" s="191"/>
      <c r="M11" s="182">
        <v>2.7262835097437928E-2</v>
      </c>
      <c r="N11" s="212">
        <v>5.9644870907112471E-2</v>
      </c>
      <c r="O11" s="207">
        <v>0.66828073993471171</v>
      </c>
      <c r="P11" s="207">
        <v>0.59709170046493221</v>
      </c>
      <c r="Q11" s="192">
        <v>2.8534375309130477</v>
      </c>
      <c r="R11" s="192">
        <v>2.4126026313186268</v>
      </c>
      <c r="S11" s="207">
        <v>0.98198634879810065</v>
      </c>
      <c r="T11" s="192">
        <v>7.6003066574339702</v>
      </c>
      <c r="U11" s="17">
        <f t="shared" si="0"/>
        <v>52.555944972524742</v>
      </c>
      <c r="V11" s="194" t="s">
        <v>395</v>
      </c>
      <c r="W11" s="194">
        <v>8.3172326779904299E-2</v>
      </c>
      <c r="X11" s="194">
        <v>4.2777718250608179E-2</v>
      </c>
      <c r="Y11" s="183">
        <v>4.4173612214956463E-2</v>
      </c>
      <c r="Z11" s="194" t="s">
        <v>395</v>
      </c>
      <c r="AA11" s="183">
        <v>1.4470331642116025E-2</v>
      </c>
      <c r="AB11" s="194">
        <v>8.9426372098588003E-3</v>
      </c>
      <c r="AC11" s="194" t="s">
        <v>396</v>
      </c>
      <c r="AD11" s="195">
        <v>0.19353662609744379</v>
      </c>
      <c r="AE11" s="152">
        <f t="shared" si="1"/>
        <v>0.19353662609744379</v>
      </c>
      <c r="AF11" s="185"/>
      <c r="AG11" s="216"/>
      <c r="AH11" s="257">
        <v>28.013422651658537</v>
      </c>
      <c r="AI11" s="255">
        <v>-0.4</v>
      </c>
      <c r="AJ11" s="255">
        <v>-0.21</v>
      </c>
      <c r="AK11" s="255">
        <v>-0.23</v>
      </c>
      <c r="AL11" s="255">
        <v>-0.15</v>
      </c>
      <c r="AM11" s="255">
        <v>-0.15</v>
      </c>
      <c r="AN11" s="254">
        <v>1.8722316299764259</v>
      </c>
      <c r="AO11" s="255">
        <v>0.43769299731048922</v>
      </c>
      <c r="AP11" s="255"/>
      <c r="AQ11" s="255">
        <v>0.50199223030182305</v>
      </c>
      <c r="AR11" s="255">
        <v>-0.15</v>
      </c>
      <c r="AS11" s="197">
        <v>0.39318325198392939</v>
      </c>
      <c r="AT11" s="198">
        <v>0.17016967161403862</v>
      </c>
      <c r="AU11" s="197">
        <v>-0.76</v>
      </c>
      <c r="AV11" s="197">
        <v>-0.15</v>
      </c>
      <c r="AW11" s="197">
        <v>-0.15</v>
      </c>
      <c r="AX11" s="197">
        <v>7.3488395258491906E-2</v>
      </c>
      <c r="AY11" s="197">
        <v>-0.15</v>
      </c>
      <c r="AZ11" s="197">
        <v>-0.15</v>
      </c>
      <c r="BA11" s="197">
        <v>-0.15</v>
      </c>
      <c r="BB11" s="197">
        <v>-0.15</v>
      </c>
      <c r="BC11" s="199"/>
      <c r="BD11" s="199"/>
      <c r="BE11" s="199"/>
      <c r="BF11" s="199"/>
      <c r="BG11" s="199"/>
      <c r="BH11" s="199"/>
      <c r="BI11" s="199"/>
      <c r="BJ11" s="200"/>
      <c r="BK11" s="215"/>
      <c r="BL11" s="185"/>
      <c r="BM11" s="202"/>
      <c r="BN11" s="202">
        <v>90</v>
      </c>
      <c r="BO11" s="203"/>
      <c r="BP11" s="203"/>
      <c r="BQ11" s="203"/>
      <c r="BR11" s="203"/>
      <c r="BS11" s="203"/>
      <c r="BT11" s="203"/>
      <c r="BU11" s="203"/>
      <c r="BV11" s="203"/>
      <c r="BW11" s="203"/>
      <c r="BX11" s="203"/>
      <c r="BY11" s="203"/>
      <c r="BZ11" s="203"/>
      <c r="CA11" s="203"/>
      <c r="CB11" s="203"/>
      <c r="CC11" s="203"/>
      <c r="CD11" s="203"/>
      <c r="CE11" s="203"/>
      <c r="CF11" s="203"/>
      <c r="CG11" s="203"/>
      <c r="CH11" s="203"/>
      <c r="CI11" s="204"/>
      <c r="CJ11" s="204"/>
      <c r="CK11" s="204"/>
      <c r="CL11" s="204"/>
      <c r="CM11" s="204"/>
      <c r="CN11" s="204"/>
      <c r="CO11" s="204"/>
      <c r="CP11" s="204"/>
      <c r="CQ11" s="205"/>
      <c r="CR11" s="205"/>
      <c r="CS11" s="205"/>
      <c r="CT11" s="205"/>
      <c r="CU11" s="205"/>
      <c r="CV11" s="205"/>
      <c r="CW11" s="205"/>
      <c r="CX11" s="205"/>
      <c r="CY11" s="206"/>
    </row>
    <row r="12" spans="1:103" s="181" customFormat="1" hidden="1" x14ac:dyDescent="0.2">
      <c r="A12" s="185" t="s">
        <v>206</v>
      </c>
      <c r="B12" s="185" t="s">
        <v>206</v>
      </c>
      <c r="C12" s="186" t="s">
        <v>20</v>
      </c>
      <c r="D12" s="185"/>
      <c r="E12" s="187"/>
      <c r="F12" s="187"/>
      <c r="G12" s="208"/>
      <c r="H12" s="189">
        <v>2020</v>
      </c>
      <c r="I12" s="190" t="s">
        <v>33</v>
      </c>
      <c r="J12" s="190">
        <v>10</v>
      </c>
      <c r="K12" s="191">
        <v>0.48802129547473011</v>
      </c>
      <c r="L12" s="191"/>
      <c r="M12" s="207">
        <v>0.42442576483237221</v>
      </c>
      <c r="N12" s="192">
        <v>1.181971459290392</v>
      </c>
      <c r="O12" s="192">
        <v>4.3999462418140949</v>
      </c>
      <c r="P12" s="192">
        <v>3.5200469162349717</v>
      </c>
      <c r="Q12" s="193">
        <v>10.142293030984263</v>
      </c>
      <c r="R12" s="192">
        <v>9.274254716059037</v>
      </c>
      <c r="S12" s="192">
        <v>3.0173883295865505</v>
      </c>
      <c r="T12" s="193">
        <v>31.960326458801681</v>
      </c>
      <c r="U12" s="17">
        <f t="shared" si="0"/>
        <v>291.38359131337694</v>
      </c>
      <c r="V12" s="194" t="s">
        <v>397</v>
      </c>
      <c r="W12" s="195">
        <v>0.10411514286560092</v>
      </c>
      <c r="X12" s="194">
        <v>4.1398770456570887E-2</v>
      </c>
      <c r="Y12" s="194">
        <v>4.1745149915739507E-2</v>
      </c>
      <c r="Z12" s="194" t="s">
        <v>397</v>
      </c>
      <c r="AA12" s="194" t="s">
        <v>398</v>
      </c>
      <c r="AB12" s="194" t="s">
        <v>397</v>
      </c>
      <c r="AC12" s="194" t="s">
        <v>399</v>
      </c>
      <c r="AD12" s="195">
        <v>0.18725906323791131</v>
      </c>
      <c r="AE12" s="152">
        <f t="shared" si="1"/>
        <v>0.18725906323791133</v>
      </c>
      <c r="AF12" s="185"/>
      <c r="AG12" s="214"/>
      <c r="AH12" s="254">
        <v>7.5599953938277311</v>
      </c>
      <c r="AI12" s="255">
        <v>-0.4</v>
      </c>
      <c r="AJ12" s="255">
        <v>-0.21</v>
      </c>
      <c r="AK12" s="255">
        <v>-0.23</v>
      </c>
      <c r="AL12" s="255">
        <v>-0.15</v>
      </c>
      <c r="AM12" s="255">
        <v>-0.15</v>
      </c>
      <c r="AN12" s="255">
        <v>0.7406571472439738</v>
      </c>
      <c r="AO12" s="255">
        <v>0.21303546752648556</v>
      </c>
      <c r="AP12" s="255"/>
      <c r="AQ12" s="255">
        <v>0.65882081989866437</v>
      </c>
      <c r="AR12" s="255">
        <v>-0.15</v>
      </c>
      <c r="AS12" s="196">
        <v>1.2259941655151239</v>
      </c>
      <c r="AT12" s="197">
        <v>0.73485337018271168</v>
      </c>
      <c r="AU12" s="197">
        <v>-0.76</v>
      </c>
      <c r="AV12" s="197">
        <v>-0.15</v>
      </c>
      <c r="AW12" s="197">
        <v>-0.15</v>
      </c>
      <c r="AX12" s="197">
        <v>-0.15</v>
      </c>
      <c r="AY12" s="197">
        <v>-0.15</v>
      </c>
      <c r="AZ12" s="197">
        <v>-0.15</v>
      </c>
      <c r="BA12" s="197">
        <v>-0.15</v>
      </c>
      <c r="BB12" s="197">
        <v>-0.15</v>
      </c>
      <c r="BC12" s="199"/>
      <c r="BD12" s="199"/>
      <c r="BE12" s="199"/>
      <c r="BF12" s="199"/>
      <c r="BG12" s="199"/>
      <c r="BH12" s="199"/>
      <c r="BI12" s="199"/>
      <c r="BJ12" s="200"/>
      <c r="BK12" s="208"/>
      <c r="BL12" s="185"/>
      <c r="BM12" s="202"/>
      <c r="BN12" s="202">
        <v>200</v>
      </c>
      <c r="BO12" s="203"/>
      <c r="BP12" s="203"/>
      <c r="BQ12" s="203"/>
      <c r="BR12" s="203"/>
      <c r="BS12" s="203"/>
      <c r="BT12" s="203"/>
      <c r="BU12" s="203"/>
      <c r="BV12" s="203"/>
      <c r="BW12" s="203"/>
      <c r="BX12" s="203"/>
      <c r="BY12" s="203"/>
      <c r="BZ12" s="203"/>
      <c r="CA12" s="203"/>
      <c r="CB12" s="203"/>
      <c r="CC12" s="203"/>
      <c r="CD12" s="203"/>
      <c r="CE12" s="203"/>
      <c r="CF12" s="203"/>
      <c r="CG12" s="203"/>
      <c r="CH12" s="203"/>
      <c r="CI12" s="204"/>
      <c r="CJ12" s="204"/>
      <c r="CK12" s="204"/>
      <c r="CL12" s="204"/>
      <c r="CM12" s="204"/>
      <c r="CN12" s="204"/>
      <c r="CO12" s="204"/>
      <c r="CP12" s="204"/>
      <c r="CQ12" s="205"/>
      <c r="CR12" s="205"/>
      <c r="CS12" s="205"/>
      <c r="CT12" s="205"/>
      <c r="CU12" s="205"/>
      <c r="CV12" s="205"/>
      <c r="CW12" s="205"/>
      <c r="CX12" s="205"/>
      <c r="CY12" s="206"/>
    </row>
    <row r="13" spans="1:103" s="181" customFormat="1" hidden="1" x14ac:dyDescent="0.2">
      <c r="A13" s="185" t="s">
        <v>207</v>
      </c>
      <c r="B13" s="185" t="s">
        <v>207</v>
      </c>
      <c r="C13" s="186" t="s">
        <v>20</v>
      </c>
      <c r="D13" s="185"/>
      <c r="E13" s="187"/>
      <c r="F13" s="187"/>
      <c r="G13" s="208"/>
      <c r="H13" s="189">
        <v>2022</v>
      </c>
      <c r="I13" s="190" t="s">
        <v>33</v>
      </c>
      <c r="J13" s="190">
        <v>10</v>
      </c>
      <c r="K13" s="191">
        <v>0.65298118245927905</v>
      </c>
      <c r="L13" s="191"/>
      <c r="M13" s="207">
        <v>0.50920195439739413</v>
      </c>
      <c r="N13" s="192">
        <v>1.6076496335504886</v>
      </c>
      <c r="O13" s="192">
        <v>8.7354896172638448</v>
      </c>
      <c r="P13" s="192">
        <v>7.0583978013029318</v>
      </c>
      <c r="Q13" s="193">
        <v>18.717385993485344</v>
      </c>
      <c r="R13" s="193">
        <v>16.367324918566776</v>
      </c>
      <c r="S13" s="192">
        <v>4.8859527687296422</v>
      </c>
      <c r="T13" s="193">
        <v>57.881402687296422</v>
      </c>
      <c r="U13" s="17">
        <f t="shared" si="0"/>
        <v>389.16132846724793</v>
      </c>
      <c r="V13" s="194" t="s">
        <v>400</v>
      </c>
      <c r="W13" s="195">
        <v>0.16128667309218528</v>
      </c>
      <c r="X13" s="194">
        <v>4.9141992010761013E-2</v>
      </c>
      <c r="Y13" s="194">
        <v>5.7576874943663855E-2</v>
      </c>
      <c r="Z13" s="194">
        <v>2.0729818529981577E-2</v>
      </c>
      <c r="AA13" s="194">
        <v>1.3734975764403247E-2</v>
      </c>
      <c r="AB13" s="194">
        <v>3.8724312005625157E-2</v>
      </c>
      <c r="AC13" s="194" t="s">
        <v>401</v>
      </c>
      <c r="AD13" s="195">
        <v>0.34119464634662011</v>
      </c>
      <c r="AE13" s="152">
        <f t="shared" si="1"/>
        <v>0.32046482781663854</v>
      </c>
      <c r="AF13" s="185"/>
      <c r="AG13" s="214"/>
      <c r="AH13" s="254">
        <v>3.6754012645914393</v>
      </c>
      <c r="AI13" s="255">
        <v>-0.4</v>
      </c>
      <c r="AJ13" s="256">
        <v>8.2941526156506698E-2</v>
      </c>
      <c r="AK13" s="255">
        <v>-0.23</v>
      </c>
      <c r="AL13" s="255">
        <v>-0.15</v>
      </c>
      <c r="AM13" s="255">
        <v>-0.15</v>
      </c>
      <c r="AN13" s="255">
        <v>0.53792423259835709</v>
      </c>
      <c r="AO13" s="256">
        <v>8.5400453955901429E-2</v>
      </c>
      <c r="AP13" s="256"/>
      <c r="AQ13" s="255">
        <v>0.24189364461738003</v>
      </c>
      <c r="AR13" s="255">
        <v>-0.15</v>
      </c>
      <c r="AS13" s="197">
        <v>0.40881701253782965</v>
      </c>
      <c r="AT13" s="198">
        <v>0.33461683960224814</v>
      </c>
      <c r="AU13" s="197">
        <v>-0.76</v>
      </c>
      <c r="AV13" s="197">
        <v>-0.15</v>
      </c>
      <c r="AW13" s="197">
        <v>-0.15</v>
      </c>
      <c r="AX13" s="197">
        <v>-0.15</v>
      </c>
      <c r="AY13" s="197">
        <v>-0.15</v>
      </c>
      <c r="AZ13" s="197">
        <v>-0.15</v>
      </c>
      <c r="BA13" s="197">
        <v>-0.15</v>
      </c>
      <c r="BB13" s="197">
        <v>-0.15</v>
      </c>
      <c r="BC13" s="199"/>
      <c r="BD13" s="199"/>
      <c r="BE13" s="199"/>
      <c r="BF13" s="199"/>
      <c r="BG13" s="199"/>
      <c r="BH13" s="199"/>
      <c r="BI13" s="199"/>
      <c r="BJ13" s="200"/>
      <c r="BK13" s="208"/>
      <c r="BL13" s="185"/>
      <c r="BM13" s="202"/>
      <c r="BN13" s="202">
        <v>260</v>
      </c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4"/>
      <c r="CJ13" s="204"/>
      <c r="CK13" s="204"/>
      <c r="CL13" s="204"/>
      <c r="CM13" s="204"/>
      <c r="CN13" s="204"/>
      <c r="CO13" s="204"/>
      <c r="CP13" s="204"/>
      <c r="CQ13" s="205"/>
      <c r="CR13" s="205"/>
      <c r="CS13" s="205"/>
      <c r="CT13" s="205"/>
      <c r="CU13" s="205"/>
      <c r="CV13" s="205"/>
      <c r="CW13" s="205"/>
      <c r="CX13" s="205"/>
      <c r="CY13" s="206"/>
    </row>
    <row r="14" spans="1:103" s="181" customFormat="1" hidden="1" x14ac:dyDescent="0.2">
      <c r="A14" s="185" t="s">
        <v>208</v>
      </c>
      <c r="B14" s="185" t="s">
        <v>208</v>
      </c>
      <c r="C14" s="186" t="s">
        <v>20</v>
      </c>
      <c r="D14" s="185"/>
      <c r="E14" s="217"/>
      <c r="F14" s="217"/>
      <c r="G14" s="208"/>
      <c r="H14" s="189">
        <v>2022</v>
      </c>
      <c r="I14" s="190" t="s">
        <v>33</v>
      </c>
      <c r="J14" s="190">
        <v>10</v>
      </c>
      <c r="K14" s="191">
        <v>0.73058563278617705</v>
      </c>
      <c r="L14" s="191"/>
      <c r="M14" s="182">
        <v>1.6602198697068405E-2</v>
      </c>
      <c r="N14" s="212">
        <v>6.4296620521172645E-2</v>
      </c>
      <c r="O14" s="207">
        <v>0.6523259364820847</v>
      </c>
      <c r="P14" s="207">
        <v>0.52186482084690555</v>
      </c>
      <c r="Q14" s="192">
        <v>2.4447068403908796</v>
      </c>
      <c r="R14" s="192">
        <v>1.9870724755700326</v>
      </c>
      <c r="S14" s="207">
        <v>0.77715798045602613</v>
      </c>
      <c r="T14" s="192">
        <v>6.4640268729641699</v>
      </c>
      <c r="U14" s="17">
        <f t="shared" si="0"/>
        <v>40.667115430781934</v>
      </c>
      <c r="V14" s="218" t="s">
        <v>402</v>
      </c>
      <c r="W14" s="218">
        <v>5.9307689370571882E-2</v>
      </c>
      <c r="X14" s="218">
        <v>2.3686840116865653E-2</v>
      </c>
      <c r="Y14" s="218">
        <v>2.6736920990871979E-2</v>
      </c>
      <c r="Z14" s="218" t="s">
        <v>402</v>
      </c>
      <c r="AA14" s="218" t="s">
        <v>403</v>
      </c>
      <c r="AB14" s="218" t="s">
        <v>402</v>
      </c>
      <c r="AC14" s="194" t="s">
        <v>404</v>
      </c>
      <c r="AD14" s="195">
        <v>0.10973145047830951</v>
      </c>
      <c r="AE14" s="152">
        <f t="shared" si="1"/>
        <v>0.10973145047830953</v>
      </c>
      <c r="AF14" s="185"/>
      <c r="AG14" s="219"/>
      <c r="AH14" s="257">
        <v>25.227138223410918</v>
      </c>
      <c r="AI14" s="255">
        <v>-0.4</v>
      </c>
      <c r="AJ14" s="256">
        <v>7.8662341850186848E-2</v>
      </c>
      <c r="AK14" s="255">
        <v>-0.23</v>
      </c>
      <c r="AL14" s="255">
        <v>-0.15</v>
      </c>
      <c r="AM14" s="255">
        <v>-0.15</v>
      </c>
      <c r="AN14" s="254">
        <v>1.3403327073730535</v>
      </c>
      <c r="AO14" s="255">
        <v>0.41603596426335859</v>
      </c>
      <c r="AP14" s="255"/>
      <c r="AQ14" s="255">
        <v>0.62425311557502994</v>
      </c>
      <c r="AR14" s="255">
        <v>-0.15</v>
      </c>
      <c r="AS14" s="197">
        <v>0.52332176255240048</v>
      </c>
      <c r="AT14" s="198">
        <v>0.18372882641931751</v>
      </c>
      <c r="AU14" s="197">
        <v>-0.76</v>
      </c>
      <c r="AV14" s="197">
        <v>-0.15</v>
      </c>
      <c r="AW14" s="197">
        <v>-0.15</v>
      </c>
      <c r="AX14" s="197">
        <v>-0.15</v>
      </c>
      <c r="AY14" s="197">
        <v>-0.15</v>
      </c>
      <c r="AZ14" s="197">
        <v>-0.15</v>
      </c>
      <c r="BA14" s="197">
        <v>-0.15</v>
      </c>
      <c r="BB14" s="197">
        <v>-0.15</v>
      </c>
      <c r="BC14" s="199"/>
      <c r="BD14" s="199"/>
      <c r="BE14" s="199"/>
      <c r="BF14" s="199"/>
      <c r="BG14" s="199"/>
      <c r="BH14" s="199"/>
      <c r="BI14" s="199"/>
      <c r="BJ14" s="200"/>
      <c r="BK14" s="208"/>
      <c r="BL14" s="185"/>
      <c r="BM14" s="202"/>
      <c r="BN14" s="202">
        <v>140</v>
      </c>
      <c r="BO14" s="203"/>
      <c r="BP14" s="203"/>
      <c r="BQ14" s="203"/>
      <c r="BR14" s="203"/>
      <c r="BS14" s="203"/>
      <c r="BT14" s="203"/>
      <c r="BU14" s="203"/>
      <c r="BV14" s="203"/>
      <c r="BW14" s="203"/>
      <c r="BX14" s="203"/>
      <c r="BY14" s="203"/>
      <c r="BZ14" s="203"/>
      <c r="CA14" s="203"/>
      <c r="CB14" s="203"/>
      <c r="CC14" s="203"/>
      <c r="CD14" s="203"/>
      <c r="CE14" s="203"/>
      <c r="CF14" s="203"/>
      <c r="CG14" s="203"/>
      <c r="CH14" s="203"/>
      <c r="CI14" s="204"/>
      <c r="CJ14" s="204"/>
      <c r="CK14" s="204"/>
      <c r="CL14" s="204"/>
      <c r="CM14" s="204"/>
      <c r="CN14" s="204"/>
      <c r="CO14" s="204"/>
      <c r="CP14" s="204"/>
      <c r="CQ14" s="205"/>
      <c r="CR14" s="205"/>
      <c r="CS14" s="205"/>
      <c r="CT14" s="205"/>
      <c r="CU14" s="205"/>
      <c r="CV14" s="205"/>
      <c r="CW14" s="205"/>
      <c r="CX14" s="205"/>
      <c r="CY14" s="206"/>
    </row>
    <row r="15" spans="1:103" hidden="1" x14ac:dyDescent="0.2">
      <c r="A15" s="185" t="s">
        <v>27</v>
      </c>
      <c r="B15" s="185" t="s">
        <v>27</v>
      </c>
      <c r="C15" s="186" t="s">
        <v>20</v>
      </c>
      <c r="D15" s="185"/>
      <c r="E15" s="217"/>
      <c r="F15" s="217"/>
      <c r="G15" s="188">
        <v>45201</v>
      </c>
      <c r="H15" s="189">
        <v>2023</v>
      </c>
      <c r="I15" s="190" t="s">
        <v>33</v>
      </c>
      <c r="J15" s="190">
        <v>10</v>
      </c>
      <c r="K15" s="191">
        <v>0.61740590733972145</v>
      </c>
      <c r="L15" s="191"/>
      <c r="M15" s="212">
        <v>7.8784552439876254E-2</v>
      </c>
      <c r="N15" s="207">
        <v>0.20930046901506835</v>
      </c>
      <c r="O15" s="207">
        <v>0.27039217642949803</v>
      </c>
      <c r="P15" s="207">
        <v>0.34141303263147388</v>
      </c>
      <c r="Q15" s="207">
        <v>0.60452549645743936</v>
      </c>
      <c r="R15" s="207">
        <v>0.5178425306855603</v>
      </c>
      <c r="S15" s="207">
        <v>0.11912483784053486</v>
      </c>
      <c r="T15" s="192">
        <v>2.1413830954994513</v>
      </c>
      <c r="U15" s="17">
        <f t="shared" si="0"/>
        <v>14.576877557130027</v>
      </c>
      <c r="V15" s="218" t="s">
        <v>405</v>
      </c>
      <c r="W15" s="220">
        <v>2.6367171829684042E-2</v>
      </c>
      <c r="X15" s="221">
        <v>6.808038361600416E-3</v>
      </c>
      <c r="Y15" s="218">
        <v>1.377765595311382E-2</v>
      </c>
      <c r="Z15" s="220" t="s">
        <v>405</v>
      </c>
      <c r="AA15" s="220" t="s">
        <v>406</v>
      </c>
      <c r="AB15" s="220" t="s">
        <v>405</v>
      </c>
      <c r="AC15" s="194" t="s">
        <v>407</v>
      </c>
      <c r="AD15" s="194">
        <v>4.6952866144398281E-2</v>
      </c>
      <c r="AE15" s="152">
        <f t="shared" si="1"/>
        <v>4.6952866144398281E-2</v>
      </c>
      <c r="AF15" s="185"/>
      <c r="AG15" s="219"/>
      <c r="AH15" s="254">
        <v>5.3173383187924124</v>
      </c>
      <c r="AI15" s="255">
        <v>-0.4</v>
      </c>
      <c r="AJ15" s="255">
        <v>-0.21</v>
      </c>
      <c r="AK15" s="255">
        <v>-0.23</v>
      </c>
      <c r="AL15" s="255">
        <v>-0.15</v>
      </c>
      <c r="AM15" s="255">
        <v>-0.15</v>
      </c>
      <c r="AN15" s="255">
        <v>0.2398867500653957</v>
      </c>
      <c r="AO15" s="255">
        <v>-0.15</v>
      </c>
      <c r="AP15" s="255"/>
      <c r="AQ15" s="255">
        <v>0.15851913400729359</v>
      </c>
      <c r="AR15" s="255">
        <v>-0.15</v>
      </c>
      <c r="AS15" s="197">
        <v>-0.37</v>
      </c>
      <c r="AT15" s="197">
        <v>-0.41</v>
      </c>
      <c r="AU15" s="197">
        <v>-0.76</v>
      </c>
      <c r="AV15" s="197">
        <v>-0.15</v>
      </c>
      <c r="AW15" s="197">
        <v>-0.15</v>
      </c>
      <c r="AX15" s="197">
        <v>-0.15</v>
      </c>
      <c r="AY15" s="197">
        <v>-0.15</v>
      </c>
      <c r="AZ15" s="197">
        <v>-0.15</v>
      </c>
      <c r="BA15" s="197">
        <v>-0.15</v>
      </c>
      <c r="BB15" s="197">
        <v>-0.15</v>
      </c>
      <c r="BC15" s="199"/>
      <c r="BD15" s="199"/>
      <c r="BE15" s="199"/>
      <c r="BF15" s="199"/>
      <c r="BG15" s="199"/>
      <c r="BH15" s="199"/>
      <c r="BI15" s="199"/>
      <c r="BJ15" s="200"/>
      <c r="BK15" s="208"/>
      <c r="BL15" s="185"/>
      <c r="BM15" s="202"/>
      <c r="BN15" s="202">
        <v>55</v>
      </c>
      <c r="BO15" s="203"/>
      <c r="BP15" s="203"/>
      <c r="BQ15" s="203"/>
      <c r="BR15" s="203"/>
      <c r="BS15" s="203"/>
      <c r="BT15" s="203"/>
      <c r="BU15" s="203"/>
      <c r="BV15" s="203"/>
      <c r="BW15" s="203"/>
      <c r="BX15" s="203"/>
      <c r="BY15" s="203"/>
      <c r="BZ15" s="203"/>
      <c r="CA15" s="203"/>
      <c r="CB15" s="203"/>
      <c r="CC15" s="203"/>
      <c r="CD15" s="203"/>
      <c r="CE15" s="203"/>
      <c r="CF15" s="203"/>
      <c r="CG15" s="203"/>
      <c r="CH15" s="203"/>
      <c r="CI15" s="204"/>
      <c r="CJ15" s="204"/>
      <c r="CK15" s="204"/>
      <c r="CL15" s="204"/>
      <c r="CM15" s="204"/>
      <c r="CN15" s="204"/>
      <c r="CO15" s="204"/>
      <c r="CP15" s="204"/>
      <c r="CQ15" s="205"/>
      <c r="CR15" s="205"/>
      <c r="CS15" s="205"/>
      <c r="CT15" s="205"/>
      <c r="CU15" s="205"/>
      <c r="CV15" s="205"/>
      <c r="CW15" s="205"/>
      <c r="CX15" s="205"/>
      <c r="CY15" s="206"/>
    </row>
    <row r="16" spans="1:103" hidden="1" x14ac:dyDescent="0.2">
      <c r="A16" s="185" t="s">
        <v>9</v>
      </c>
      <c r="B16" s="185" t="s">
        <v>9</v>
      </c>
      <c r="C16" s="186" t="s">
        <v>20</v>
      </c>
      <c r="D16" s="185"/>
      <c r="E16" s="217"/>
      <c r="F16" s="217"/>
      <c r="G16" s="208"/>
      <c r="H16" s="189">
        <v>2023</v>
      </c>
      <c r="I16" s="190" t="s">
        <v>33</v>
      </c>
      <c r="J16" s="190">
        <v>10</v>
      </c>
      <c r="K16" s="191">
        <v>0.44437736861528004</v>
      </c>
      <c r="L16" s="191"/>
      <c r="M16" s="182">
        <v>1.8747478822105687E-2</v>
      </c>
      <c r="N16" s="212">
        <v>4.3944130697862037E-2</v>
      </c>
      <c r="O16" s="207">
        <v>0.50328257361839446</v>
      </c>
      <c r="P16" s="207">
        <v>0.3623537716821299</v>
      </c>
      <c r="Q16" s="192">
        <v>1.7941306978620413</v>
      </c>
      <c r="R16" s="192">
        <v>1.4217123840258168</v>
      </c>
      <c r="S16" s="207">
        <v>0.55446752722872128</v>
      </c>
      <c r="T16" s="192">
        <v>4.6986385639370711</v>
      </c>
      <c r="U16" s="17">
        <f t="shared" si="0"/>
        <v>48.790567415338863</v>
      </c>
      <c r="V16" s="194" t="s">
        <v>408</v>
      </c>
      <c r="W16" s="194">
        <v>3.5733829420005081E-2</v>
      </c>
      <c r="X16" s="194">
        <v>1.3955212647096787E-2</v>
      </c>
      <c r="Y16" s="194">
        <v>1.6885135579140641E-2</v>
      </c>
      <c r="Z16" s="194" t="s">
        <v>408</v>
      </c>
      <c r="AA16" s="194" t="s">
        <v>409</v>
      </c>
      <c r="AB16" s="194" t="s">
        <v>408</v>
      </c>
      <c r="AC16" s="194" t="s">
        <v>410</v>
      </c>
      <c r="AD16" s="194">
        <v>6.6574177646242516E-2</v>
      </c>
      <c r="AE16" s="152">
        <f t="shared" si="1"/>
        <v>6.6574177646242516E-2</v>
      </c>
      <c r="AF16" s="185"/>
      <c r="AG16" s="219"/>
      <c r="AH16" s="254">
        <v>2.1739130434782612</v>
      </c>
      <c r="AI16" s="255">
        <v>-0.33</v>
      </c>
      <c r="AJ16" s="255">
        <v>0.22068885921089512</v>
      </c>
      <c r="AK16" s="255">
        <v>-0.15</v>
      </c>
      <c r="AL16" s="255">
        <v>-0.15</v>
      </c>
      <c r="AM16" s="255">
        <v>-0.15</v>
      </c>
      <c r="AN16" s="255">
        <v>0.48414700499579566</v>
      </c>
      <c r="AO16" s="255">
        <v>-0.15</v>
      </c>
      <c r="AP16" s="255"/>
      <c r="AQ16" s="256">
        <v>0.23869350876325207</v>
      </c>
      <c r="AR16" s="255">
        <v>-0.15</v>
      </c>
      <c r="AS16" s="198">
        <v>0.10443356251339632</v>
      </c>
      <c r="AT16" s="197">
        <v>-0.48</v>
      </c>
      <c r="AU16" s="197">
        <v>-0.52</v>
      </c>
      <c r="AV16" s="197">
        <v>-0.15</v>
      </c>
      <c r="AW16" s="197">
        <v>-0.15</v>
      </c>
      <c r="AX16" s="197">
        <v>-0.15</v>
      </c>
      <c r="AY16" s="197">
        <v>-0.15</v>
      </c>
      <c r="AZ16" s="197">
        <v>-0.15</v>
      </c>
      <c r="BA16" s="197">
        <v>-0.15</v>
      </c>
      <c r="BB16" s="197">
        <v>-0.15</v>
      </c>
      <c r="BC16" s="199"/>
      <c r="BD16" s="199"/>
      <c r="BE16" s="199"/>
      <c r="BF16" s="199"/>
      <c r="BG16" s="199"/>
      <c r="BH16" s="199"/>
      <c r="BI16" s="199"/>
      <c r="BJ16" s="200"/>
      <c r="BK16" s="208"/>
      <c r="BL16" s="185"/>
      <c r="BM16" s="202"/>
      <c r="BN16" s="202">
        <v>31</v>
      </c>
      <c r="BO16" s="203"/>
      <c r="BP16" s="203"/>
      <c r="BQ16" s="203"/>
      <c r="BR16" s="203"/>
      <c r="BS16" s="203"/>
      <c r="BT16" s="203"/>
      <c r="BU16" s="203"/>
      <c r="BV16" s="203"/>
      <c r="BW16" s="203"/>
      <c r="BX16" s="203"/>
      <c r="BY16" s="203"/>
      <c r="BZ16" s="203"/>
      <c r="CA16" s="203"/>
      <c r="CB16" s="203"/>
      <c r="CC16" s="203"/>
      <c r="CD16" s="203"/>
      <c r="CE16" s="203"/>
      <c r="CF16" s="203"/>
      <c r="CG16" s="203"/>
      <c r="CH16" s="203"/>
      <c r="CI16" s="204"/>
      <c r="CJ16" s="204"/>
      <c r="CK16" s="204"/>
      <c r="CL16" s="204"/>
      <c r="CM16" s="204"/>
      <c r="CN16" s="204"/>
      <c r="CO16" s="204"/>
      <c r="CP16" s="204"/>
      <c r="CQ16" s="205"/>
      <c r="CR16" s="205"/>
      <c r="CS16" s="205"/>
      <c r="CT16" s="205"/>
      <c r="CU16" s="205"/>
      <c r="CV16" s="205"/>
      <c r="CW16" s="205"/>
      <c r="CX16" s="205"/>
      <c r="CY16" s="206"/>
    </row>
    <row r="17" spans="1:112" s="181" customFormat="1" hidden="1" x14ac:dyDescent="0.2">
      <c r="A17" s="185" t="s">
        <v>209</v>
      </c>
      <c r="B17" s="185" t="s">
        <v>209</v>
      </c>
      <c r="C17" s="186" t="s">
        <v>20</v>
      </c>
      <c r="D17" s="214"/>
      <c r="E17" s="208"/>
      <c r="F17" s="208"/>
      <c r="G17" s="208"/>
      <c r="H17" s="189">
        <v>2021</v>
      </c>
      <c r="I17" s="190" t="s">
        <v>33</v>
      </c>
      <c r="J17" s="190">
        <v>10</v>
      </c>
      <c r="K17" s="191">
        <v>0.61660316823744066</v>
      </c>
      <c r="L17" s="191"/>
      <c r="M17" s="207">
        <v>0.474017489194894</v>
      </c>
      <c r="N17" s="192">
        <v>1.2912704794451704</v>
      </c>
      <c r="O17" s="192">
        <v>4.0869082319831138</v>
      </c>
      <c r="P17" s="192">
        <v>2.9437832948034979</v>
      </c>
      <c r="Q17" s="192">
        <v>6.3638456126243845</v>
      </c>
      <c r="R17" s="192">
        <v>6.0521660468388783</v>
      </c>
      <c r="S17" s="192">
        <v>1.619429088350588</v>
      </c>
      <c r="T17" s="193">
        <v>22.831420243240526</v>
      </c>
      <c r="U17" s="17">
        <f t="shared" si="0"/>
        <v>161.26771619813289</v>
      </c>
      <c r="V17" s="218" t="s">
        <v>411</v>
      </c>
      <c r="W17" s="218">
        <v>6.662265647338611E-2</v>
      </c>
      <c r="X17" s="218">
        <v>2.914336205561709E-2</v>
      </c>
      <c r="Y17" s="218">
        <v>4.5438680411655073E-2</v>
      </c>
      <c r="Z17" s="218" t="s">
        <v>411</v>
      </c>
      <c r="AA17" s="218" t="s">
        <v>412</v>
      </c>
      <c r="AB17" s="218" t="s">
        <v>411</v>
      </c>
      <c r="AC17" s="213" t="s">
        <v>413</v>
      </c>
      <c r="AD17" s="222">
        <v>0.14120469894065826</v>
      </c>
      <c r="AE17" s="152">
        <f t="shared" si="1"/>
        <v>0.14120469894065829</v>
      </c>
      <c r="AF17" s="214"/>
      <c r="AG17" s="216"/>
      <c r="AH17" s="254">
        <v>5.2617859003299197</v>
      </c>
      <c r="AI17" s="255">
        <v>-0.4</v>
      </c>
      <c r="AJ17" s="255">
        <v>-0.21</v>
      </c>
      <c r="AK17" s="255">
        <v>-0.23</v>
      </c>
      <c r="AL17" s="255">
        <v>-0.15</v>
      </c>
      <c r="AM17" s="256">
        <v>5.248306997742664E-2</v>
      </c>
      <c r="AN17" s="255">
        <v>0.78228280372749925</v>
      </c>
      <c r="AO17" s="256">
        <v>0.12988366035770102</v>
      </c>
      <c r="AP17" s="256"/>
      <c r="AQ17" s="255">
        <v>0.41326619204723053</v>
      </c>
      <c r="AR17" s="255">
        <v>-0.15</v>
      </c>
      <c r="AS17" s="197">
        <v>0.84139318168663557</v>
      </c>
      <c r="AT17" s="198">
        <v>0.36389419459396899</v>
      </c>
      <c r="AU17" s="197">
        <v>-0.76</v>
      </c>
      <c r="AV17" s="197">
        <v>-0.15</v>
      </c>
      <c r="AW17" s="197">
        <v>-0.15</v>
      </c>
      <c r="AX17" s="197">
        <v>-0.15</v>
      </c>
      <c r="AY17" s="197">
        <v>-0.15</v>
      </c>
      <c r="AZ17" s="197">
        <v>-0.15</v>
      </c>
      <c r="BA17" s="197">
        <v>-0.15</v>
      </c>
      <c r="BB17" s="197">
        <v>-0.15</v>
      </c>
      <c r="BC17" s="199"/>
      <c r="BD17" s="199"/>
      <c r="BE17" s="199"/>
      <c r="BF17" s="199"/>
      <c r="BG17" s="199"/>
      <c r="BH17" s="199"/>
      <c r="BI17" s="199"/>
      <c r="BJ17" s="200"/>
      <c r="BK17" s="215"/>
      <c r="BL17" s="214"/>
      <c r="BM17" s="202"/>
      <c r="BN17" s="202">
        <v>200</v>
      </c>
      <c r="BO17" s="203"/>
      <c r="BP17" s="203"/>
      <c r="BQ17" s="203"/>
      <c r="BR17" s="203"/>
      <c r="BS17" s="203"/>
      <c r="BT17" s="203"/>
      <c r="BU17" s="203"/>
      <c r="BV17" s="203"/>
      <c r="BW17" s="203"/>
      <c r="BX17" s="203"/>
      <c r="BY17" s="203"/>
      <c r="BZ17" s="203"/>
      <c r="CA17" s="203"/>
      <c r="CB17" s="203"/>
      <c r="CC17" s="203"/>
      <c r="CD17" s="203"/>
      <c r="CE17" s="203"/>
      <c r="CF17" s="203"/>
      <c r="CG17" s="203"/>
      <c r="CH17" s="203"/>
      <c r="CI17" s="204"/>
      <c r="CJ17" s="204"/>
      <c r="CK17" s="204"/>
      <c r="CL17" s="204"/>
      <c r="CM17" s="204"/>
      <c r="CN17" s="204"/>
      <c r="CO17" s="204"/>
      <c r="CP17" s="204"/>
      <c r="CQ17" s="205"/>
      <c r="CR17" s="205"/>
      <c r="CS17" s="205"/>
      <c r="CT17" s="205"/>
      <c r="CU17" s="205"/>
      <c r="CV17" s="205"/>
      <c r="CW17" s="205"/>
      <c r="CX17" s="205"/>
      <c r="CY17" s="206"/>
    </row>
    <row r="18" spans="1:112" hidden="1" x14ac:dyDescent="0.2">
      <c r="A18" s="214" t="s">
        <v>4</v>
      </c>
      <c r="B18" s="214" t="s">
        <v>4</v>
      </c>
      <c r="C18" s="186" t="s">
        <v>20</v>
      </c>
      <c r="D18" s="214"/>
      <c r="E18" s="208"/>
      <c r="F18" s="208"/>
      <c r="G18" s="208"/>
      <c r="H18" s="189">
        <v>2023</v>
      </c>
      <c r="I18" s="190" t="s">
        <v>33</v>
      </c>
      <c r="J18" s="190">
        <v>10</v>
      </c>
      <c r="K18" s="191">
        <v>0.58601509733811841</v>
      </c>
      <c r="L18" s="191"/>
      <c r="M18" s="207">
        <v>0.58841197462331485</v>
      </c>
      <c r="N18" s="192">
        <v>1.3981017049960351</v>
      </c>
      <c r="O18" s="192">
        <v>4.3969518239492462</v>
      </c>
      <c r="P18" s="192">
        <v>3.7151070578905636</v>
      </c>
      <c r="Q18" s="192">
        <v>9.6532414750198257</v>
      </c>
      <c r="R18" s="192">
        <v>9.3263778747026187</v>
      </c>
      <c r="S18" s="192">
        <v>2.3216494845360827</v>
      </c>
      <c r="T18" s="193">
        <v>31.399841395717683</v>
      </c>
      <c r="U18" s="17">
        <f t="shared" si="0"/>
        <v>236.21178416375858</v>
      </c>
      <c r="V18" s="218" t="s">
        <v>414</v>
      </c>
      <c r="W18" s="220">
        <v>0.12186451116148768</v>
      </c>
      <c r="X18" s="218">
        <v>6.0208463498658847E-2</v>
      </c>
      <c r="Y18" s="220">
        <v>0.15515227409827095</v>
      </c>
      <c r="Z18" s="218" t="s">
        <v>414</v>
      </c>
      <c r="AA18" s="218">
        <v>3.0925645922536729E-2</v>
      </c>
      <c r="AB18" s="218">
        <v>3.5719134341939456E-2</v>
      </c>
      <c r="AC18" s="213" t="s">
        <v>415</v>
      </c>
      <c r="AD18" s="222">
        <v>0.40387002902289365</v>
      </c>
      <c r="AE18" s="152">
        <f t="shared" si="1"/>
        <v>0.40387002902289365</v>
      </c>
      <c r="AF18" s="214"/>
      <c r="AG18" s="219"/>
      <c r="AH18" s="254">
        <v>7.9481619052821308</v>
      </c>
      <c r="AI18" s="255">
        <v>-0.33</v>
      </c>
      <c r="AJ18" s="256">
        <v>9.906957265891006E-2</v>
      </c>
      <c r="AK18" s="255">
        <v>-0.15</v>
      </c>
      <c r="AL18" s="255">
        <v>-0.15</v>
      </c>
      <c r="AM18" s="255">
        <v>-0.15</v>
      </c>
      <c r="AN18" s="255">
        <v>0.43540722128147702</v>
      </c>
      <c r="AO18" s="255">
        <v>-0.15</v>
      </c>
      <c r="AP18" s="255"/>
      <c r="AQ18" s="256">
        <v>0.25556708727080713</v>
      </c>
      <c r="AR18" s="255">
        <v>-0.15</v>
      </c>
      <c r="AS18" s="197">
        <v>0.72657089273684017</v>
      </c>
      <c r="AT18" s="197">
        <v>0.48748201962819315</v>
      </c>
      <c r="AU18" s="198">
        <v>0.23016696709819556</v>
      </c>
      <c r="AV18" s="197">
        <v>-0.15</v>
      </c>
      <c r="AW18" s="197">
        <v>-0.15</v>
      </c>
      <c r="AX18" s="197">
        <v>-0.15</v>
      </c>
      <c r="AY18" s="197">
        <v>-0.15</v>
      </c>
      <c r="AZ18" s="197">
        <v>-0.15</v>
      </c>
      <c r="BA18" s="197">
        <v>-0.15</v>
      </c>
      <c r="BB18" s="197">
        <v>-0.15</v>
      </c>
      <c r="BC18" s="199"/>
      <c r="BD18" s="199"/>
      <c r="BE18" s="199"/>
      <c r="BF18" s="199"/>
      <c r="BG18" s="199"/>
      <c r="BH18" s="199"/>
      <c r="BI18" s="199"/>
      <c r="BJ18" s="200"/>
      <c r="BK18" s="208"/>
      <c r="BL18" s="214"/>
      <c r="BM18" s="202"/>
      <c r="BN18" s="202">
        <v>26</v>
      </c>
      <c r="BO18" s="203"/>
      <c r="BP18" s="203"/>
      <c r="BQ18" s="203"/>
      <c r="BR18" s="203"/>
      <c r="BS18" s="203"/>
      <c r="BT18" s="203"/>
      <c r="BU18" s="203"/>
      <c r="BV18" s="203"/>
      <c r="BW18" s="203"/>
      <c r="BX18" s="203"/>
      <c r="BY18" s="203"/>
      <c r="BZ18" s="203"/>
      <c r="CA18" s="203"/>
      <c r="CB18" s="203"/>
      <c r="CC18" s="203"/>
      <c r="CD18" s="203"/>
      <c r="CE18" s="203"/>
      <c r="CF18" s="203"/>
      <c r="CG18" s="203"/>
      <c r="CH18" s="203"/>
      <c r="CI18" s="204"/>
      <c r="CJ18" s="204"/>
      <c r="CK18" s="204"/>
      <c r="CL18" s="204"/>
      <c r="CM18" s="204"/>
      <c r="CN18" s="204"/>
      <c r="CO18" s="204"/>
      <c r="CP18" s="204"/>
      <c r="CQ18" s="205"/>
      <c r="CR18" s="205"/>
      <c r="CS18" s="205"/>
      <c r="CT18" s="205"/>
      <c r="CU18" s="205"/>
      <c r="CV18" s="205"/>
      <c r="CW18" s="205"/>
      <c r="CX18" s="205"/>
      <c r="CY18" s="206"/>
    </row>
    <row r="19" spans="1:112" hidden="1" x14ac:dyDescent="0.2">
      <c r="A19" s="216" t="s">
        <v>28</v>
      </c>
      <c r="B19" s="216" t="s">
        <v>28</v>
      </c>
      <c r="C19" s="186" t="s">
        <v>20</v>
      </c>
      <c r="D19" s="216"/>
      <c r="E19" s="208"/>
      <c r="F19" s="208"/>
      <c r="G19" s="208"/>
      <c r="H19" s="189">
        <v>2023</v>
      </c>
      <c r="I19" s="190" t="s">
        <v>33</v>
      </c>
      <c r="J19" s="190">
        <v>10</v>
      </c>
      <c r="K19" s="191">
        <v>0.49582021863469222</v>
      </c>
      <c r="L19" s="191"/>
      <c r="M19" s="207">
        <v>0.14100828450191957</v>
      </c>
      <c r="N19" s="207">
        <v>0.36782683370377856</v>
      </c>
      <c r="O19" s="192">
        <v>1.6967316629622149</v>
      </c>
      <c r="P19" s="192">
        <v>1.7767023641139623</v>
      </c>
      <c r="Q19" s="192">
        <v>4.7879268539098812</v>
      </c>
      <c r="R19" s="192">
        <v>3.9360577894524149</v>
      </c>
      <c r="S19" s="192">
        <v>1.1728227924833299</v>
      </c>
      <c r="T19" s="193">
        <v>13.879076581127501</v>
      </c>
      <c r="U19" s="17">
        <f t="shared" si="0"/>
        <v>122.04397644713902</v>
      </c>
      <c r="V19" s="218" t="s">
        <v>416</v>
      </c>
      <c r="W19" s="218">
        <v>6.0478701419786174E-2</v>
      </c>
      <c r="X19" s="218">
        <v>4.3923421137664176E-2</v>
      </c>
      <c r="Y19" s="184">
        <v>6.635884412198248E-2</v>
      </c>
      <c r="Z19" s="218">
        <v>1.6452219108257584E-2</v>
      </c>
      <c r="AA19" s="218">
        <v>2.1858461904596269E-2</v>
      </c>
      <c r="AB19" s="218">
        <v>2.0486490962501221E-2</v>
      </c>
      <c r="AC19" s="213" t="s">
        <v>417</v>
      </c>
      <c r="AD19" s="222">
        <v>0.22955813865478791</v>
      </c>
      <c r="AE19" s="152">
        <f t="shared" si="1"/>
        <v>0.2131059195465303</v>
      </c>
      <c r="AF19" s="216"/>
      <c r="AG19" s="219"/>
      <c r="AH19" s="254">
        <v>6.2683171476770161</v>
      </c>
      <c r="AI19" s="255">
        <v>-0.33</v>
      </c>
      <c r="AJ19" s="255">
        <v>-0.21</v>
      </c>
      <c r="AK19" s="255">
        <v>-0.15</v>
      </c>
      <c r="AL19" s="255">
        <v>-0.15</v>
      </c>
      <c r="AM19" s="256">
        <v>5.6338242222526182E-2</v>
      </c>
      <c r="AN19" s="255">
        <v>0.27059681758081433</v>
      </c>
      <c r="AO19" s="255">
        <v>-0.15</v>
      </c>
      <c r="AP19" s="255"/>
      <c r="AQ19" s="256">
        <v>0.17834617547379142</v>
      </c>
      <c r="AR19" s="255">
        <v>-0.15</v>
      </c>
      <c r="AS19" s="198">
        <v>0.1305946898889041</v>
      </c>
      <c r="AT19" s="197">
        <v>-0.48</v>
      </c>
      <c r="AU19" s="197">
        <v>-0.52</v>
      </c>
      <c r="AV19" s="197">
        <v>-0.15</v>
      </c>
      <c r="AW19" s="197">
        <v>-0.15</v>
      </c>
      <c r="AX19" s="197">
        <v>-0.15</v>
      </c>
      <c r="AY19" s="197">
        <v>-0.15</v>
      </c>
      <c r="AZ19" s="197">
        <v>-0.15</v>
      </c>
      <c r="BA19" s="197">
        <v>-0.15</v>
      </c>
      <c r="BB19" s="197">
        <v>-0.15</v>
      </c>
      <c r="BC19" s="199"/>
      <c r="BD19" s="199"/>
      <c r="BE19" s="199"/>
      <c r="BF19" s="199"/>
      <c r="BG19" s="199"/>
      <c r="BH19" s="199"/>
      <c r="BI19" s="199"/>
      <c r="BJ19" s="200"/>
      <c r="BK19" s="208"/>
      <c r="BL19" s="216"/>
      <c r="BM19" s="202"/>
      <c r="BN19" s="202">
        <v>60</v>
      </c>
      <c r="BO19" s="203"/>
      <c r="BP19" s="203"/>
      <c r="BQ19" s="203"/>
      <c r="BR19" s="203"/>
      <c r="BS19" s="203"/>
      <c r="BT19" s="203"/>
      <c r="BU19" s="203"/>
      <c r="BV19" s="203"/>
      <c r="BW19" s="203"/>
      <c r="BX19" s="203"/>
      <c r="BY19" s="203"/>
      <c r="BZ19" s="203"/>
      <c r="CA19" s="203"/>
      <c r="CB19" s="203"/>
      <c r="CC19" s="203"/>
      <c r="CD19" s="203"/>
      <c r="CE19" s="203"/>
      <c r="CF19" s="203"/>
      <c r="CG19" s="203"/>
      <c r="CH19" s="203"/>
      <c r="CI19" s="204"/>
      <c r="CJ19" s="204"/>
      <c r="CK19" s="204"/>
      <c r="CL19" s="204"/>
      <c r="CM19" s="204"/>
      <c r="CN19" s="204"/>
      <c r="CO19" s="204"/>
      <c r="CP19" s="204"/>
      <c r="CQ19" s="205"/>
      <c r="CR19" s="205"/>
      <c r="CS19" s="205"/>
      <c r="CT19" s="205"/>
      <c r="CU19" s="205"/>
      <c r="CV19" s="205"/>
      <c r="CW19" s="205"/>
      <c r="CX19" s="205"/>
      <c r="CY19" s="206"/>
    </row>
    <row r="20" spans="1:112" hidden="1" x14ac:dyDescent="0.2">
      <c r="A20" s="216" t="s">
        <v>170</v>
      </c>
      <c r="B20" s="216" t="s">
        <v>170</v>
      </c>
      <c r="C20" s="186" t="s">
        <v>20</v>
      </c>
      <c r="D20" s="216"/>
      <c r="E20" s="208"/>
      <c r="F20" s="208"/>
      <c r="G20" s="208"/>
      <c r="H20" s="189">
        <v>2023</v>
      </c>
      <c r="I20" s="190" t="s">
        <v>33</v>
      </c>
      <c r="J20" s="190">
        <v>10</v>
      </c>
      <c r="K20" s="191">
        <v>0.44128997617375354</v>
      </c>
      <c r="L20" s="191"/>
      <c r="M20" s="182">
        <v>3.2157842157842197E-2</v>
      </c>
      <c r="N20" s="207">
        <v>0.40673826173826177</v>
      </c>
      <c r="O20" s="192">
        <v>2.5939310689310693</v>
      </c>
      <c r="P20" s="192">
        <v>2.4604145854145854</v>
      </c>
      <c r="Q20" s="192">
        <v>5.9498501498501497</v>
      </c>
      <c r="R20" s="192">
        <v>5.1003696303696309</v>
      </c>
      <c r="S20" s="192">
        <v>1.5844605394605393</v>
      </c>
      <c r="T20" s="193">
        <v>18.127922077922079</v>
      </c>
      <c r="U20" s="17">
        <f t="shared" si="0"/>
        <v>177.519412839989</v>
      </c>
      <c r="V20" s="218" t="s">
        <v>418</v>
      </c>
      <c r="W20" s="218">
        <v>3.1750337063829286E-2</v>
      </c>
      <c r="X20" s="218">
        <v>2.6677600545741555E-2</v>
      </c>
      <c r="Y20" s="218">
        <v>1.8364535212560058E-2</v>
      </c>
      <c r="Z20" s="218">
        <v>1.3535739471882186E-2</v>
      </c>
      <c r="AA20" s="218" t="s">
        <v>419</v>
      </c>
      <c r="AB20" s="218" t="s">
        <v>418</v>
      </c>
      <c r="AC20" s="213" t="s">
        <v>420</v>
      </c>
      <c r="AD20" s="213">
        <v>9.0328212294013083E-2</v>
      </c>
      <c r="AE20" s="152">
        <f t="shared" si="1"/>
        <v>7.6792472822130906E-2</v>
      </c>
      <c r="AF20" s="216"/>
      <c r="AG20" s="219"/>
      <c r="AH20" s="254">
        <v>5.2129577464788737</v>
      </c>
      <c r="AI20" s="255">
        <v>-0.33</v>
      </c>
      <c r="AJ20" s="256">
        <v>0.17085446009389677</v>
      </c>
      <c r="AK20" s="255">
        <v>-0.15</v>
      </c>
      <c r="AL20" s="255">
        <v>-0.15</v>
      </c>
      <c r="AM20" s="255">
        <v>-0.15</v>
      </c>
      <c r="AN20" s="255">
        <v>0.67988732394366225</v>
      </c>
      <c r="AO20" s="256">
        <v>6.1690140845070442E-2</v>
      </c>
      <c r="AP20" s="256"/>
      <c r="AQ20" s="255">
        <v>0.37710798122065736</v>
      </c>
      <c r="AR20" s="255">
        <v>-0.15</v>
      </c>
      <c r="AS20" s="197">
        <v>0.41348356807511749</v>
      </c>
      <c r="AT20" s="198">
        <v>0.18627230046948362</v>
      </c>
      <c r="AU20" s="197">
        <v>-0.52</v>
      </c>
      <c r="AV20" s="197">
        <v>-0.15</v>
      </c>
      <c r="AW20" s="197">
        <v>-0.15</v>
      </c>
      <c r="AX20" s="197">
        <v>-0.15</v>
      </c>
      <c r="AY20" s="197">
        <v>-0.15</v>
      </c>
      <c r="AZ20" s="197">
        <v>-0.15</v>
      </c>
      <c r="BA20" s="197">
        <v>-0.15</v>
      </c>
      <c r="BB20" s="197">
        <v>-0.15</v>
      </c>
      <c r="BC20" s="199"/>
      <c r="BD20" s="199"/>
      <c r="BE20" s="199"/>
      <c r="BF20" s="199"/>
      <c r="BG20" s="199"/>
      <c r="BH20" s="199"/>
      <c r="BI20" s="199"/>
      <c r="BJ20" s="200"/>
      <c r="BK20" s="208"/>
      <c r="BL20" s="216"/>
      <c r="BM20" s="202"/>
      <c r="BN20" s="202">
        <v>79</v>
      </c>
      <c r="BO20" s="203"/>
      <c r="BP20" s="203"/>
      <c r="BQ20" s="203"/>
      <c r="BR20" s="203"/>
      <c r="BS20" s="203"/>
      <c r="BT20" s="203"/>
      <c r="BU20" s="203"/>
      <c r="BV20" s="203"/>
      <c r="BW20" s="203"/>
      <c r="BX20" s="203"/>
      <c r="BY20" s="203"/>
      <c r="BZ20" s="203"/>
      <c r="CA20" s="203"/>
      <c r="CB20" s="203"/>
      <c r="CC20" s="203"/>
      <c r="CD20" s="203"/>
      <c r="CE20" s="203"/>
      <c r="CF20" s="203"/>
      <c r="CG20" s="203"/>
      <c r="CH20" s="203"/>
      <c r="CI20" s="204"/>
      <c r="CJ20" s="204"/>
      <c r="CK20" s="204"/>
      <c r="CL20" s="204"/>
      <c r="CM20" s="204"/>
      <c r="CN20" s="204"/>
      <c r="CO20" s="204"/>
      <c r="CP20" s="204"/>
      <c r="CQ20" s="205"/>
      <c r="CR20" s="205"/>
      <c r="CS20" s="205"/>
      <c r="CT20" s="205"/>
      <c r="CU20" s="205"/>
      <c r="CV20" s="205"/>
      <c r="CW20" s="205"/>
      <c r="CX20" s="205"/>
      <c r="CY20" s="206"/>
    </row>
    <row r="21" spans="1:112" hidden="1" x14ac:dyDescent="0.2">
      <c r="A21" s="214" t="s">
        <v>7</v>
      </c>
      <c r="B21" s="214" t="s">
        <v>7</v>
      </c>
      <c r="C21" s="186" t="s">
        <v>20</v>
      </c>
      <c r="D21" s="214"/>
      <c r="E21" s="208"/>
      <c r="F21" s="208"/>
      <c r="G21" s="208"/>
      <c r="H21" s="189">
        <v>2023</v>
      </c>
      <c r="I21" s="190" t="s">
        <v>33</v>
      </c>
      <c r="J21" s="190">
        <v>10</v>
      </c>
      <c r="K21" s="191">
        <v>0.52812820767527036</v>
      </c>
      <c r="L21" s="191"/>
      <c r="M21" s="212" t="s">
        <v>421</v>
      </c>
      <c r="N21" s="207">
        <v>0.1671370568429392</v>
      </c>
      <c r="O21" s="207">
        <v>0.75572885719944538</v>
      </c>
      <c r="P21" s="207">
        <v>0.84384036442859967</v>
      </c>
      <c r="Q21" s="192">
        <v>2.0887799564270151</v>
      </c>
      <c r="R21" s="192">
        <v>1.7742424242424242</v>
      </c>
      <c r="S21" s="207">
        <v>0.61489403842345014</v>
      </c>
      <c r="T21" s="192">
        <v>6.244622697563873</v>
      </c>
      <c r="U21" s="17">
        <f t="shared" si="0"/>
        <v>51.131356502510911</v>
      </c>
      <c r="V21" s="218" t="s">
        <v>422</v>
      </c>
      <c r="W21" s="218">
        <v>4.6994580917299945E-2</v>
      </c>
      <c r="X21" s="218">
        <v>3.6402669525009E-2</v>
      </c>
      <c r="Y21" s="218">
        <v>3.7186949837162302E-2</v>
      </c>
      <c r="Z21" s="218">
        <v>1.4516155372622517E-2</v>
      </c>
      <c r="AA21" s="218" t="s">
        <v>423</v>
      </c>
      <c r="AB21" s="184" t="s">
        <v>422</v>
      </c>
      <c r="AC21" s="213" t="s">
        <v>424</v>
      </c>
      <c r="AD21" s="222">
        <v>0.13510035565209377</v>
      </c>
      <c r="AE21" s="152">
        <f t="shared" si="1"/>
        <v>0.12058420027947125</v>
      </c>
      <c r="AF21" s="214"/>
      <c r="AG21" s="219"/>
      <c r="AH21" s="254">
        <v>4.5638737073880398</v>
      </c>
      <c r="AI21" s="255">
        <v>-0.33</v>
      </c>
      <c r="AJ21" s="256">
        <v>0.10091875384998494</v>
      </c>
      <c r="AK21" s="255">
        <v>-0.15</v>
      </c>
      <c r="AL21" s="255">
        <v>-0.15</v>
      </c>
      <c r="AM21" s="256">
        <v>0.11810115466782005</v>
      </c>
      <c r="AN21" s="254">
        <v>1.467896040577203</v>
      </c>
      <c r="AO21" s="255">
        <v>0.40710887429717307</v>
      </c>
      <c r="AP21" s="255"/>
      <c r="AQ21" s="254">
        <v>1.2227290003800837</v>
      </c>
      <c r="AR21" s="255">
        <v>-0.15</v>
      </c>
      <c r="AS21" s="196">
        <v>1.5006618697492762</v>
      </c>
      <c r="AT21" s="198">
        <v>0.26864048021599235</v>
      </c>
      <c r="AU21" s="197">
        <v>-0.52</v>
      </c>
      <c r="AV21" s="197">
        <v>-0.15</v>
      </c>
      <c r="AW21" s="197">
        <v>-0.15</v>
      </c>
      <c r="AX21" s="197">
        <v>-0.15</v>
      </c>
      <c r="AY21" s="197">
        <v>-0.15</v>
      </c>
      <c r="AZ21" s="197">
        <v>-0.15</v>
      </c>
      <c r="BA21" s="197">
        <v>-0.15</v>
      </c>
      <c r="BB21" s="197">
        <v>-0.15</v>
      </c>
      <c r="BC21" s="199"/>
      <c r="BD21" s="199"/>
      <c r="BE21" s="199"/>
      <c r="BF21" s="199"/>
      <c r="BG21" s="199"/>
      <c r="BH21" s="199"/>
      <c r="BI21" s="199"/>
      <c r="BJ21" s="200"/>
      <c r="BK21" s="208"/>
      <c r="BL21" s="214"/>
      <c r="BM21" s="202"/>
      <c r="BN21" s="202">
        <v>94</v>
      </c>
      <c r="BO21" s="203"/>
      <c r="BP21" s="203"/>
      <c r="BQ21" s="203"/>
      <c r="BR21" s="203"/>
      <c r="BS21" s="203"/>
      <c r="BT21" s="203"/>
      <c r="BU21" s="203"/>
      <c r="BV21" s="203"/>
      <c r="BW21" s="203"/>
      <c r="BX21" s="203"/>
      <c r="BY21" s="203"/>
      <c r="BZ21" s="203"/>
      <c r="CA21" s="203"/>
      <c r="CB21" s="203"/>
      <c r="CC21" s="203"/>
      <c r="CD21" s="203"/>
      <c r="CE21" s="203"/>
      <c r="CF21" s="203"/>
      <c r="CG21" s="203"/>
      <c r="CH21" s="203"/>
      <c r="CI21" s="204"/>
      <c r="CJ21" s="204"/>
      <c r="CK21" s="204"/>
      <c r="CL21" s="204"/>
      <c r="CM21" s="204"/>
      <c r="CN21" s="204"/>
      <c r="CO21" s="204"/>
      <c r="CP21" s="204"/>
      <c r="CQ21" s="205"/>
      <c r="CR21" s="205"/>
      <c r="CS21" s="205"/>
      <c r="CT21" s="205"/>
      <c r="CU21" s="205"/>
      <c r="CV21" s="205"/>
      <c r="CW21" s="205"/>
      <c r="CX21" s="205"/>
      <c r="CY21" s="206"/>
    </row>
    <row r="22" spans="1:112" hidden="1" x14ac:dyDescent="0.2">
      <c r="A22" s="214" t="s">
        <v>30</v>
      </c>
      <c r="B22" s="214" t="s">
        <v>30</v>
      </c>
      <c r="C22" s="186" t="s">
        <v>20</v>
      </c>
      <c r="D22" s="214"/>
      <c r="E22" s="208"/>
      <c r="F22" s="208"/>
      <c r="G22" s="208"/>
      <c r="H22" s="189">
        <v>2023</v>
      </c>
      <c r="I22" s="190" t="s">
        <v>33</v>
      </c>
      <c r="J22" s="190">
        <v>10</v>
      </c>
      <c r="K22" s="191">
        <v>0.47031455446547749</v>
      </c>
      <c r="L22" s="191"/>
      <c r="M22" s="182">
        <v>2.536487166582788E-2</v>
      </c>
      <c r="N22" s="207">
        <v>0.30374937091092097</v>
      </c>
      <c r="O22" s="192">
        <v>2.583558127830901</v>
      </c>
      <c r="P22" s="207">
        <v>2.2323603422244589</v>
      </c>
      <c r="Q22" s="192">
        <v>5.6638147961751386</v>
      </c>
      <c r="R22" s="192">
        <v>5.5147760442878706</v>
      </c>
      <c r="S22" s="207">
        <v>1.4661399094111727</v>
      </c>
      <c r="T22" s="193">
        <v>17.78976346250629</v>
      </c>
      <c r="U22" s="17">
        <f t="shared" si="0"/>
        <v>165.39359639808671</v>
      </c>
      <c r="V22" s="218" t="s">
        <v>425</v>
      </c>
      <c r="W22" s="218">
        <v>2.0786767107938153E-2</v>
      </c>
      <c r="X22" s="218">
        <v>2.4148781325745345E-2</v>
      </c>
      <c r="Y22" s="218">
        <v>2.1735955546429046E-2</v>
      </c>
      <c r="Z22" s="218" t="s">
        <v>425</v>
      </c>
      <c r="AA22" s="218" t="s">
        <v>426</v>
      </c>
      <c r="AB22" s="218" t="s">
        <v>425</v>
      </c>
      <c r="AC22" s="213" t="s">
        <v>427</v>
      </c>
      <c r="AD22" s="213">
        <v>6.667150398011254E-2</v>
      </c>
      <c r="AE22" s="152">
        <f t="shared" si="1"/>
        <v>6.667150398011254E-2</v>
      </c>
      <c r="AF22" s="214"/>
      <c r="AG22" s="219"/>
      <c r="AH22" s="254">
        <v>5.7285741848350371</v>
      </c>
      <c r="AI22" s="255">
        <v>-0.33</v>
      </c>
      <c r="AJ22" s="256">
        <v>9.7459643706990798E-2</v>
      </c>
      <c r="AK22" s="255">
        <v>-0.15</v>
      </c>
      <c r="AL22" s="255">
        <v>-0.15</v>
      </c>
      <c r="AM22" s="256">
        <v>5.3199562672840699E-2</v>
      </c>
      <c r="AN22" s="255">
        <v>0.73876133513409226</v>
      </c>
      <c r="AO22" s="255">
        <v>0.17499517653868418</v>
      </c>
      <c r="AP22" s="255"/>
      <c r="AQ22" s="255">
        <v>0.57401762171200721</v>
      </c>
      <c r="AR22" s="255">
        <v>-0.15</v>
      </c>
      <c r="AS22" s="197">
        <v>0.75417068621776329</v>
      </c>
      <c r="AT22" s="197">
        <v>-0.48</v>
      </c>
      <c r="AU22" s="197">
        <v>-0.52</v>
      </c>
      <c r="AV22" s="197">
        <v>-0.15</v>
      </c>
      <c r="AW22" s="197">
        <v>-0.15</v>
      </c>
      <c r="AX22" s="197">
        <v>-0.15</v>
      </c>
      <c r="AY22" s="197">
        <v>-0.15</v>
      </c>
      <c r="AZ22" s="197">
        <v>-0.15</v>
      </c>
      <c r="BA22" s="197">
        <v>-0.15</v>
      </c>
      <c r="BB22" s="197">
        <v>-0.15</v>
      </c>
      <c r="BC22" s="199"/>
      <c r="BD22" s="199"/>
      <c r="BE22" s="199"/>
      <c r="BF22" s="199"/>
      <c r="BG22" s="199"/>
      <c r="BH22" s="199"/>
      <c r="BI22" s="199"/>
      <c r="BJ22" s="200"/>
      <c r="BK22" s="208"/>
      <c r="BL22" s="214"/>
      <c r="BM22" s="202"/>
      <c r="BN22" s="202">
        <v>78</v>
      </c>
      <c r="BO22" s="203"/>
      <c r="BP22" s="203"/>
      <c r="BQ22" s="203"/>
      <c r="BR22" s="203"/>
      <c r="BS22" s="203"/>
      <c r="BT22" s="203"/>
      <c r="BU22" s="203"/>
      <c r="BV22" s="203"/>
      <c r="BW22" s="203"/>
      <c r="BX22" s="203"/>
      <c r="BY22" s="203"/>
      <c r="BZ22" s="203"/>
      <c r="CA22" s="203"/>
      <c r="CB22" s="203"/>
      <c r="CC22" s="203"/>
      <c r="CD22" s="203"/>
      <c r="CE22" s="203"/>
      <c r="CF22" s="203"/>
      <c r="CG22" s="203"/>
      <c r="CH22" s="203"/>
      <c r="CI22" s="204"/>
      <c r="CJ22" s="204"/>
      <c r="CK22" s="204"/>
      <c r="CL22" s="204"/>
      <c r="CM22" s="204"/>
      <c r="CN22" s="204"/>
      <c r="CO22" s="204"/>
      <c r="CP22" s="204"/>
      <c r="CQ22" s="205"/>
      <c r="CR22" s="205"/>
      <c r="CS22" s="205"/>
      <c r="CT22" s="205"/>
      <c r="CU22" s="205"/>
      <c r="CV22" s="205"/>
      <c r="CW22" s="205"/>
      <c r="CX22" s="205"/>
      <c r="CY22" s="206"/>
    </row>
    <row r="23" spans="1:112" hidden="1" x14ac:dyDescent="0.2">
      <c r="A23" s="219" t="s">
        <v>8</v>
      </c>
      <c r="B23" s="219" t="s">
        <v>8</v>
      </c>
      <c r="C23" s="186" t="s">
        <v>20</v>
      </c>
      <c r="D23" s="219"/>
      <c r="E23" s="208"/>
      <c r="F23" s="208"/>
      <c r="G23" s="208"/>
      <c r="H23" s="189">
        <v>2023</v>
      </c>
      <c r="I23" s="190" t="s">
        <v>33</v>
      </c>
      <c r="J23" s="190">
        <v>10</v>
      </c>
      <c r="K23" s="191">
        <v>0.49073427155073501</v>
      </c>
      <c r="L23" s="191"/>
      <c r="M23" s="212" t="s">
        <v>386</v>
      </c>
      <c r="N23" s="182">
        <v>3.6500049198071434E-2</v>
      </c>
      <c r="O23" s="207">
        <v>0.35328643117189806</v>
      </c>
      <c r="P23" s="207">
        <v>0.35817179966545309</v>
      </c>
      <c r="Q23" s="192">
        <v>1.810075765030011</v>
      </c>
      <c r="R23" s="192">
        <v>1.3076847387582407</v>
      </c>
      <c r="S23" s="207">
        <v>0.59681196497097311</v>
      </c>
      <c r="T23" s="192">
        <v>4.4625307487946468</v>
      </c>
      <c r="U23" s="17">
        <f t="shared" si="0"/>
        <v>41.818548113211016</v>
      </c>
      <c r="V23" s="218" t="s">
        <v>428</v>
      </c>
      <c r="W23" s="218">
        <v>2.2334521406286688E-2</v>
      </c>
      <c r="X23" s="218">
        <v>2.2893643044079089E-2</v>
      </c>
      <c r="Y23" s="218">
        <v>1.3704410630372151E-2</v>
      </c>
      <c r="Z23" s="218">
        <v>1.4148897910877397E-2</v>
      </c>
      <c r="AA23" s="184" t="s">
        <v>429</v>
      </c>
      <c r="AB23" s="218" t="s">
        <v>428</v>
      </c>
      <c r="AC23" s="213" t="s">
        <v>430</v>
      </c>
      <c r="AD23" s="213">
        <v>7.3081472991615326E-2</v>
      </c>
      <c r="AE23" s="152">
        <f t="shared" si="1"/>
        <v>5.8932575080737931E-2</v>
      </c>
      <c r="AF23" s="219"/>
      <c r="AG23" s="219"/>
      <c r="AH23" s="254">
        <v>4.7247870351132342</v>
      </c>
      <c r="AI23" s="255">
        <v>-0.33</v>
      </c>
      <c r="AJ23" s="255">
        <v>-0.21</v>
      </c>
      <c r="AK23" s="255">
        <v>-0.15</v>
      </c>
      <c r="AL23" s="255">
        <v>-0.15</v>
      </c>
      <c r="AM23" s="255">
        <v>-0.15</v>
      </c>
      <c r="AN23" s="255">
        <v>0.84695616039891941</v>
      </c>
      <c r="AO23" s="256">
        <v>0.10326199875337626</v>
      </c>
      <c r="AP23" s="256"/>
      <c r="AQ23" s="255">
        <v>0.36719994459450095</v>
      </c>
      <c r="AR23" s="255">
        <v>-0.15</v>
      </c>
      <c r="AS23" s="197">
        <v>0.26733153265461596</v>
      </c>
      <c r="AT23" s="197">
        <v>-0.48</v>
      </c>
      <c r="AU23" s="197">
        <v>-0.52</v>
      </c>
      <c r="AV23" s="197">
        <v>-0.15</v>
      </c>
      <c r="AW23" s="197">
        <v>-0.15</v>
      </c>
      <c r="AX23" s="197">
        <v>-0.15</v>
      </c>
      <c r="AY23" s="197">
        <v>-0.15</v>
      </c>
      <c r="AZ23" s="197">
        <v>-0.15</v>
      </c>
      <c r="BA23" s="197">
        <v>-0.15</v>
      </c>
      <c r="BB23" s="197">
        <v>-0.15</v>
      </c>
      <c r="BC23" s="199"/>
      <c r="BD23" s="199"/>
      <c r="BE23" s="199"/>
      <c r="BF23" s="199"/>
      <c r="BG23" s="199"/>
      <c r="BH23" s="199"/>
      <c r="BI23" s="199"/>
      <c r="BJ23" s="200"/>
      <c r="BK23" s="208"/>
      <c r="BL23" s="219"/>
      <c r="BM23" s="202"/>
      <c r="BN23" s="202">
        <v>88</v>
      </c>
      <c r="BO23" s="203"/>
      <c r="BP23" s="203"/>
      <c r="BQ23" s="203"/>
      <c r="BR23" s="203"/>
      <c r="BS23" s="203"/>
      <c r="BT23" s="203"/>
      <c r="BU23" s="203"/>
      <c r="BV23" s="203"/>
      <c r="BW23" s="203"/>
      <c r="BX23" s="203"/>
      <c r="BY23" s="203"/>
      <c r="BZ23" s="203"/>
      <c r="CA23" s="203"/>
      <c r="CB23" s="203"/>
      <c r="CC23" s="203"/>
      <c r="CD23" s="203"/>
      <c r="CE23" s="203"/>
      <c r="CF23" s="203"/>
      <c r="CG23" s="203"/>
      <c r="CH23" s="203"/>
      <c r="CI23" s="204"/>
      <c r="CJ23" s="204"/>
      <c r="CK23" s="204"/>
      <c r="CL23" s="204"/>
      <c r="CM23" s="204"/>
      <c r="CN23" s="204"/>
      <c r="CO23" s="204"/>
      <c r="CP23" s="204"/>
      <c r="CQ23" s="205"/>
      <c r="CR23" s="205"/>
      <c r="CS23" s="205"/>
      <c r="CT23" s="205"/>
      <c r="CU23" s="205"/>
      <c r="CV23" s="205"/>
      <c r="CW23" s="205"/>
      <c r="CX23" s="205"/>
      <c r="CY23" s="206"/>
    </row>
    <row r="24" spans="1:112" hidden="1" x14ac:dyDescent="0.2">
      <c r="A24" s="219" t="s">
        <v>21</v>
      </c>
      <c r="B24" s="219" t="s">
        <v>21</v>
      </c>
      <c r="C24" s="186" t="s">
        <v>20</v>
      </c>
      <c r="D24" s="219"/>
      <c r="E24" s="208"/>
      <c r="F24" s="208"/>
      <c r="G24" s="208"/>
      <c r="H24" s="189">
        <v>2023</v>
      </c>
      <c r="I24" s="190" t="s">
        <v>33</v>
      </c>
      <c r="J24" s="190">
        <v>10</v>
      </c>
      <c r="K24" s="191">
        <v>0.49688394812196196</v>
      </c>
      <c r="L24" s="191"/>
      <c r="M24" s="212" t="s">
        <v>421</v>
      </c>
      <c r="N24" s="212">
        <v>5.659572332095171E-2</v>
      </c>
      <c r="O24" s="207">
        <v>0.98138239132617211</v>
      </c>
      <c r="P24" s="207">
        <v>0.79734966368838467</v>
      </c>
      <c r="Q24" s="192">
        <v>4.6509085433189439</v>
      </c>
      <c r="R24" s="192">
        <v>3.8155004517618711</v>
      </c>
      <c r="S24" s="192">
        <v>1.5738078506174078</v>
      </c>
      <c r="T24" s="193">
        <v>11.875544624033731</v>
      </c>
      <c r="U24" s="17">
        <f t="shared" si="0"/>
        <v>111.47668386367518</v>
      </c>
      <c r="V24" s="218" t="s">
        <v>431</v>
      </c>
      <c r="W24" s="218">
        <v>7.0297747817661238E-2</v>
      </c>
      <c r="X24" s="218">
        <v>3.5220648851170627E-2</v>
      </c>
      <c r="Y24" s="218">
        <v>2.4850217981654446E-2</v>
      </c>
      <c r="Z24" s="218">
        <v>1.4382840428653456E-2</v>
      </c>
      <c r="AA24" s="218">
        <v>1.6653400402930407E-2</v>
      </c>
      <c r="AB24" s="218" t="s">
        <v>431</v>
      </c>
      <c r="AC24" s="213" t="s">
        <v>432</v>
      </c>
      <c r="AD24" s="222">
        <v>0.16140485548207018</v>
      </c>
      <c r="AE24" s="152">
        <f t="shared" si="1"/>
        <v>0.14702201505341672</v>
      </c>
      <c r="AF24" s="219"/>
      <c r="AG24" s="219"/>
      <c r="AH24" s="257">
        <v>19.138014723727856</v>
      </c>
      <c r="AI24" s="255">
        <v>-0.33</v>
      </c>
      <c r="AJ24" s="255">
        <v>-0.21</v>
      </c>
      <c r="AK24" s="255">
        <v>-0.15</v>
      </c>
      <c r="AL24" s="255">
        <v>-0.15</v>
      </c>
      <c r="AM24" s="256">
        <v>5.0144270959738967E-2</v>
      </c>
      <c r="AN24" s="254">
        <v>1.4337836744599952</v>
      </c>
      <c r="AO24" s="255">
        <v>0.49959550198204034</v>
      </c>
      <c r="AP24" s="255"/>
      <c r="AQ24" s="255">
        <v>0.66514305746568514</v>
      </c>
      <c r="AR24" s="255">
        <v>-0.15</v>
      </c>
      <c r="AS24" s="197">
        <v>0.54766334978291942</v>
      </c>
      <c r="AT24" s="197">
        <v>-0.48</v>
      </c>
      <c r="AU24" s="197">
        <v>-0.52</v>
      </c>
      <c r="AV24" s="197">
        <v>-0.15</v>
      </c>
      <c r="AW24" s="197">
        <v>-0.15</v>
      </c>
      <c r="AX24" s="197">
        <v>-0.15</v>
      </c>
      <c r="AY24" s="197">
        <v>-0.15</v>
      </c>
      <c r="AZ24" s="197">
        <v>-0.15</v>
      </c>
      <c r="BA24" s="197">
        <v>-0.15</v>
      </c>
      <c r="BB24" s="197">
        <v>-0.15</v>
      </c>
      <c r="BC24" s="199"/>
      <c r="BD24" s="199"/>
      <c r="BE24" s="199"/>
      <c r="BF24" s="199"/>
      <c r="BG24" s="199"/>
      <c r="BH24" s="199"/>
      <c r="BI24" s="199"/>
      <c r="BJ24" s="200"/>
      <c r="BK24" s="208"/>
      <c r="BL24" s="219"/>
      <c r="BM24" s="202"/>
      <c r="BN24" s="202">
        <v>69</v>
      </c>
      <c r="BO24" s="203"/>
      <c r="BP24" s="203"/>
      <c r="BQ24" s="203"/>
      <c r="BR24" s="203"/>
      <c r="BS24" s="203"/>
      <c r="BT24" s="203"/>
      <c r="BU24" s="203"/>
      <c r="BV24" s="203"/>
      <c r="BW24" s="203"/>
      <c r="BX24" s="203"/>
      <c r="BY24" s="203"/>
      <c r="BZ24" s="203"/>
      <c r="CA24" s="203"/>
      <c r="CB24" s="203"/>
      <c r="CC24" s="203"/>
      <c r="CD24" s="203"/>
      <c r="CE24" s="203"/>
      <c r="CF24" s="203"/>
      <c r="CG24" s="203"/>
      <c r="CH24" s="203"/>
      <c r="CI24" s="204"/>
      <c r="CJ24" s="204"/>
      <c r="CK24" s="204"/>
      <c r="CL24" s="204"/>
      <c r="CM24" s="204"/>
      <c r="CN24" s="204"/>
      <c r="CO24" s="204"/>
      <c r="CP24" s="204"/>
      <c r="CQ24" s="205"/>
      <c r="CR24" s="205"/>
      <c r="CS24" s="205"/>
      <c r="CT24" s="205"/>
      <c r="CU24" s="205"/>
      <c r="CV24" s="205"/>
      <c r="CW24" s="205"/>
      <c r="CX24" s="205"/>
      <c r="CY24" s="206"/>
    </row>
    <row r="25" spans="1:112" hidden="1" x14ac:dyDescent="0.2">
      <c r="A25" s="219" t="s">
        <v>22</v>
      </c>
      <c r="B25" s="219" t="s">
        <v>22</v>
      </c>
      <c r="C25" s="186" t="s">
        <v>20</v>
      </c>
      <c r="D25" s="219"/>
      <c r="E25" s="208"/>
      <c r="F25" s="208"/>
      <c r="G25" s="188">
        <v>45202</v>
      </c>
      <c r="H25" s="189">
        <v>2023</v>
      </c>
      <c r="I25" s="190" t="s">
        <v>33</v>
      </c>
      <c r="J25" s="190">
        <v>10</v>
      </c>
      <c r="K25" s="191">
        <v>0.54957826924355802</v>
      </c>
      <c r="L25" s="191"/>
      <c r="M25" s="207">
        <v>0.72300858152448266</v>
      </c>
      <c r="N25" s="192">
        <v>1.6222766279656742</v>
      </c>
      <c r="O25" s="192">
        <v>6.1812670368500759</v>
      </c>
      <c r="P25" s="192">
        <v>5.5446138313982845</v>
      </c>
      <c r="Q25" s="193">
        <v>13.578566380615852</v>
      </c>
      <c r="R25" s="193">
        <v>11.905350832912671</v>
      </c>
      <c r="S25" s="192">
        <v>2.9672488642099952</v>
      </c>
      <c r="T25" s="193">
        <v>42.522332155477031</v>
      </c>
      <c r="U25" s="17">
        <f t="shared" si="0"/>
        <v>336.41903613633639</v>
      </c>
      <c r="V25" s="218" t="s">
        <v>433</v>
      </c>
      <c r="W25" s="220">
        <v>0.20335794646501792</v>
      </c>
      <c r="X25" s="218">
        <v>8.2162996702411478E-2</v>
      </c>
      <c r="Y25" s="220">
        <v>0.17063134613776623</v>
      </c>
      <c r="Z25" s="218">
        <v>1.4524230176377072E-2</v>
      </c>
      <c r="AA25" s="218">
        <v>1.9537240636599222E-2</v>
      </c>
      <c r="AB25" s="218">
        <v>1.8040714007108938E-2</v>
      </c>
      <c r="AC25" s="213" t="s">
        <v>434</v>
      </c>
      <c r="AD25" s="222">
        <v>0.5082544741252808</v>
      </c>
      <c r="AE25" s="152">
        <f t="shared" si="1"/>
        <v>0.49373024394890375</v>
      </c>
      <c r="AF25" s="219"/>
      <c r="AG25" s="219"/>
      <c r="AH25" s="254">
        <v>4.8773646711980998</v>
      </c>
      <c r="AI25" s="255">
        <v>-0.33</v>
      </c>
      <c r="AJ25" s="256">
        <v>9.1297464035159565E-2</v>
      </c>
      <c r="AK25" s="255">
        <v>-0.15</v>
      </c>
      <c r="AL25" s="255">
        <v>-0.15</v>
      </c>
      <c r="AM25" s="256">
        <v>8.912728960227119E-2</v>
      </c>
      <c r="AN25" s="255">
        <v>0.27225452460895921</v>
      </c>
      <c r="AO25" s="256">
        <v>0.12799934485300141</v>
      </c>
      <c r="AP25" s="256"/>
      <c r="AQ25" s="255">
        <v>0.33308765320885547</v>
      </c>
      <c r="AR25" s="255">
        <v>-0.15</v>
      </c>
      <c r="AS25" s="197">
        <v>0.70859607457756679</v>
      </c>
      <c r="AT25" s="197">
        <v>0.4833892938061311</v>
      </c>
      <c r="AU25" s="198">
        <v>0.35380667703982754</v>
      </c>
      <c r="AV25" s="197">
        <v>-0.15</v>
      </c>
      <c r="AW25" s="197">
        <v>-0.15</v>
      </c>
      <c r="AX25" s="197">
        <v>-0.15</v>
      </c>
      <c r="AY25" s="197">
        <v>-0.15</v>
      </c>
      <c r="AZ25" s="197">
        <v>-0.15</v>
      </c>
      <c r="BA25" s="197">
        <v>-0.15</v>
      </c>
      <c r="BB25" s="197">
        <v>-0.15</v>
      </c>
      <c r="BC25" s="199"/>
      <c r="BD25" s="199"/>
      <c r="BE25" s="199"/>
      <c r="BF25" s="199"/>
      <c r="BG25" s="199"/>
      <c r="BH25" s="199"/>
      <c r="BI25" s="199"/>
      <c r="BJ25" s="200"/>
      <c r="BK25" s="208"/>
      <c r="BL25" s="219"/>
      <c r="BM25" s="202"/>
      <c r="BN25" s="202">
        <v>120</v>
      </c>
      <c r="BO25" s="203"/>
      <c r="BP25" s="203"/>
      <c r="BQ25" s="203"/>
      <c r="BR25" s="203"/>
      <c r="BS25" s="203"/>
      <c r="BT25" s="203"/>
      <c r="BU25" s="203"/>
      <c r="BV25" s="203"/>
      <c r="BW25" s="203"/>
      <c r="BX25" s="203"/>
      <c r="BY25" s="203"/>
      <c r="BZ25" s="203"/>
      <c r="CA25" s="203"/>
      <c r="CB25" s="203"/>
      <c r="CC25" s="203"/>
      <c r="CD25" s="203"/>
      <c r="CE25" s="203"/>
      <c r="CF25" s="203"/>
      <c r="CG25" s="203"/>
      <c r="CH25" s="203"/>
      <c r="CI25" s="204"/>
      <c r="CJ25" s="204"/>
      <c r="CK25" s="204"/>
      <c r="CL25" s="204"/>
      <c r="CM25" s="204"/>
      <c r="CN25" s="204"/>
      <c r="CO25" s="204"/>
      <c r="CP25" s="204"/>
      <c r="CQ25" s="205"/>
      <c r="CR25" s="205"/>
      <c r="CS25" s="205"/>
      <c r="CT25" s="205"/>
      <c r="CU25" s="205"/>
      <c r="CV25" s="205"/>
      <c r="CW25" s="205"/>
      <c r="CX25" s="205"/>
      <c r="CY25" s="206"/>
    </row>
    <row r="26" spans="1:112" hidden="1" x14ac:dyDescent="0.2">
      <c r="A26" s="111" t="s">
        <v>4</v>
      </c>
      <c r="B26" s="111" t="s">
        <v>4</v>
      </c>
      <c r="C26" s="148" t="s">
        <v>20</v>
      </c>
      <c r="D26" s="148"/>
      <c r="E26" s="111"/>
      <c r="F26" s="111"/>
      <c r="G26" s="149">
        <v>44830</v>
      </c>
      <c r="H26" s="133" t="s">
        <v>172</v>
      </c>
      <c r="I26" s="138" t="s">
        <v>33</v>
      </c>
      <c r="J26" s="138" t="s">
        <v>173</v>
      </c>
      <c r="K26" s="140">
        <v>0.59</v>
      </c>
      <c r="L26" s="30" t="s">
        <v>159</v>
      </c>
      <c r="M26" s="30">
        <v>0.49717382738418098</v>
      </c>
      <c r="N26" s="150">
        <v>0.92191002897719065</v>
      </c>
      <c r="O26" s="65">
        <v>2.4129192104836594</v>
      </c>
      <c r="P26" s="65">
        <v>2.4023906092323575</v>
      </c>
      <c r="Q26" s="65">
        <v>5.4948357185078232</v>
      </c>
      <c r="R26" s="65">
        <v>5.2109328724898374</v>
      </c>
      <c r="S26" s="65">
        <v>1.3429902562633833</v>
      </c>
      <c r="T26" s="151">
        <v>18.283152523338433</v>
      </c>
      <c r="U26" s="152">
        <f t="shared" si="0"/>
        <v>134.58272808564473</v>
      </c>
      <c r="V26" s="112" t="s">
        <v>435</v>
      </c>
      <c r="W26" s="112">
        <v>8.1000000000000003E-2</v>
      </c>
      <c r="X26" s="112">
        <v>0.03</v>
      </c>
      <c r="Y26" s="112">
        <v>7.8E-2</v>
      </c>
      <c r="Z26" s="112" t="s">
        <v>435</v>
      </c>
      <c r="AA26" s="153">
        <v>1.4999999999999999E-2</v>
      </c>
      <c r="AB26" s="112" t="s">
        <v>435</v>
      </c>
      <c r="AC26" s="113" t="s">
        <v>436</v>
      </c>
      <c r="AD26" s="113">
        <v>0.20400000000000001</v>
      </c>
      <c r="AE26" s="152">
        <f t="shared" ref="AE26:AE44" si="2">SUM(V26,W26,Y26,X26,AB26,AA26)</f>
        <v>0.20400000000000001</v>
      </c>
      <c r="AF26" s="81">
        <v>-1E-3</v>
      </c>
      <c r="AG26" s="154" t="s">
        <v>158</v>
      </c>
      <c r="AH26" s="258">
        <v>6.3683631708944031</v>
      </c>
      <c r="AI26" s="259">
        <v>-0.15</v>
      </c>
      <c r="AJ26" s="259" t="s">
        <v>158</v>
      </c>
      <c r="AK26" s="260">
        <v>3.771611949447419E-2</v>
      </c>
      <c r="AL26" s="259">
        <v>-0.2</v>
      </c>
      <c r="AM26" s="260">
        <v>0.13227684929778064</v>
      </c>
      <c r="AN26" s="261">
        <v>0.45006941064056094</v>
      </c>
      <c r="AO26" s="260">
        <v>5.9873438260587358E-2</v>
      </c>
      <c r="AP26" s="260" t="s">
        <v>158</v>
      </c>
      <c r="AQ26" s="261">
        <v>0.42066453927560521</v>
      </c>
      <c r="AR26" s="259">
        <v>-0.1</v>
      </c>
      <c r="AS26" s="150">
        <v>0.71437070690680926</v>
      </c>
      <c r="AT26" s="150">
        <v>0.31413272756774291</v>
      </c>
      <c r="AU26" s="150">
        <v>0.28703553464221959</v>
      </c>
      <c r="AV26" s="65">
        <v>-0.1</v>
      </c>
      <c r="AW26" s="65">
        <v>-0.1</v>
      </c>
      <c r="AX26" s="65"/>
      <c r="AY26" s="65"/>
      <c r="AZ26" s="65"/>
      <c r="BA26" s="65"/>
      <c r="BB26" s="65"/>
      <c r="BC26" s="30" t="s">
        <v>158</v>
      </c>
      <c r="BD26" s="30" t="s">
        <v>158</v>
      </c>
      <c r="BE26" s="30" t="s">
        <v>158</v>
      </c>
      <c r="BF26" s="30" t="s">
        <v>158</v>
      </c>
      <c r="BG26" s="30" t="s">
        <v>158</v>
      </c>
      <c r="BH26" s="30" t="s">
        <v>158</v>
      </c>
      <c r="BI26" s="30" t="s">
        <v>158</v>
      </c>
      <c r="BJ26" s="30" t="s">
        <v>158</v>
      </c>
      <c r="BK26" s="30" t="s">
        <v>158</v>
      </c>
      <c r="BL26" s="30" t="s">
        <v>158</v>
      </c>
      <c r="BM26" s="30" t="s">
        <v>158</v>
      </c>
      <c r="BN26" s="61">
        <v>130</v>
      </c>
      <c r="BO26" s="156" t="s">
        <v>158</v>
      </c>
      <c r="BP26" s="156" t="s">
        <v>158</v>
      </c>
      <c r="BQ26" s="156" t="s">
        <v>158</v>
      </c>
      <c r="BR26" s="156" t="s">
        <v>158</v>
      </c>
      <c r="BS26" s="156" t="s">
        <v>158</v>
      </c>
      <c r="BT26" s="156" t="s">
        <v>158</v>
      </c>
      <c r="BU26" s="156" t="s">
        <v>158</v>
      </c>
      <c r="BV26" s="156" t="s">
        <v>158</v>
      </c>
      <c r="BW26" s="156" t="s">
        <v>158</v>
      </c>
      <c r="BX26" s="156" t="s">
        <v>158</v>
      </c>
      <c r="BY26" s="156" t="s">
        <v>158</v>
      </c>
      <c r="BZ26" s="156" t="s">
        <v>158</v>
      </c>
      <c r="CA26" s="156" t="s">
        <v>158</v>
      </c>
      <c r="CB26" s="156" t="s">
        <v>158</v>
      </c>
      <c r="CC26" s="156" t="s">
        <v>158</v>
      </c>
      <c r="CD26" s="156" t="s">
        <v>158</v>
      </c>
      <c r="CE26" s="156" t="s">
        <v>158</v>
      </c>
      <c r="CF26" s="156" t="s">
        <v>158</v>
      </c>
      <c r="CG26" s="156" t="s">
        <v>158</v>
      </c>
      <c r="CH26" s="156" t="s">
        <v>158</v>
      </c>
      <c r="CI26" s="156" t="s">
        <v>158</v>
      </c>
      <c r="CJ26" s="156" t="s">
        <v>158</v>
      </c>
      <c r="CK26" s="156" t="s">
        <v>158</v>
      </c>
      <c r="CL26" s="156" t="s">
        <v>158</v>
      </c>
      <c r="CM26" s="156" t="s">
        <v>158</v>
      </c>
      <c r="CN26" s="156" t="s">
        <v>158</v>
      </c>
      <c r="CO26" s="156" t="s">
        <v>158</v>
      </c>
      <c r="CP26" s="156" t="s">
        <v>158</v>
      </c>
      <c r="CQ26" s="156" t="s">
        <v>158</v>
      </c>
      <c r="CR26" s="156" t="s">
        <v>158</v>
      </c>
      <c r="CS26" s="156" t="s">
        <v>158</v>
      </c>
      <c r="CT26" s="156" t="s">
        <v>158</v>
      </c>
      <c r="CU26" s="156" t="s">
        <v>158</v>
      </c>
      <c r="CV26" s="156" t="s">
        <v>158</v>
      </c>
      <c r="CW26" s="156" t="s">
        <v>158</v>
      </c>
      <c r="CX26" s="156" t="s">
        <v>158</v>
      </c>
      <c r="CY26" s="157" t="s">
        <v>158</v>
      </c>
      <c r="CZ26" s="156"/>
      <c r="DA26" s="64"/>
      <c r="DB26" s="64"/>
      <c r="DC26" s="64"/>
      <c r="DD26" s="64"/>
      <c r="DE26" s="64"/>
      <c r="DF26" s="64"/>
      <c r="DG26" s="64"/>
      <c r="DH26" s="66"/>
    </row>
    <row r="27" spans="1:112" hidden="1" x14ac:dyDescent="0.2">
      <c r="A27" s="111" t="s">
        <v>30</v>
      </c>
      <c r="B27" s="111" t="s">
        <v>30</v>
      </c>
      <c r="C27" s="148" t="s">
        <v>20</v>
      </c>
      <c r="D27" s="148"/>
      <c r="E27" s="111"/>
      <c r="F27" s="111"/>
      <c r="G27" s="149">
        <v>44816</v>
      </c>
      <c r="H27" s="133" t="s">
        <v>172</v>
      </c>
      <c r="I27" s="138" t="s">
        <v>33</v>
      </c>
      <c r="J27" s="138" t="s">
        <v>173</v>
      </c>
      <c r="K27" s="140">
        <v>0.45</v>
      </c>
      <c r="L27" s="30" t="s">
        <v>159</v>
      </c>
      <c r="M27" s="158">
        <v>5.9579637576055222E-2</v>
      </c>
      <c r="N27" s="150">
        <v>0.65090235661125906</v>
      </c>
      <c r="O27" s="65">
        <v>4.0602601347602025</v>
      </c>
      <c r="P27" s="65">
        <v>3.6162215386167516</v>
      </c>
      <c r="Q27" s="65">
        <v>8.4312165565681987</v>
      </c>
      <c r="R27" s="65">
        <v>7.3147901366171375</v>
      </c>
      <c r="S27" s="65">
        <v>1.9493858338379573</v>
      </c>
      <c r="T27" s="151">
        <v>26.082356194587565</v>
      </c>
      <c r="U27" s="152">
        <f t="shared" ref="U27:U43" si="3">SUM(M27,N27,O27,Q27,R27,S27)*(5/K27)</f>
        <v>249.62371839967568</v>
      </c>
      <c r="V27" s="112" t="s">
        <v>435</v>
      </c>
      <c r="W27" s="112">
        <v>5.6000000000000001E-2</v>
      </c>
      <c r="X27" s="153">
        <v>2.1000000000000001E-2</v>
      </c>
      <c r="Y27" s="112">
        <v>1.2999999999999999E-2</v>
      </c>
      <c r="Z27" s="153">
        <v>8.0000000000000002E-3</v>
      </c>
      <c r="AA27" s="153">
        <v>1.2E-2</v>
      </c>
      <c r="AB27" s="112" t="s">
        <v>435</v>
      </c>
      <c r="AC27" s="113" t="s">
        <v>439</v>
      </c>
      <c r="AD27" s="113">
        <v>0.11</v>
      </c>
      <c r="AE27" s="152">
        <f t="shared" si="2"/>
        <v>0.10200000000000001</v>
      </c>
      <c r="AF27" s="81">
        <v>-1E-3</v>
      </c>
      <c r="AG27" s="154" t="s">
        <v>158</v>
      </c>
      <c r="AH27" s="262">
        <v>8.4308072170501429</v>
      </c>
      <c r="AI27" s="259">
        <v>-0.15</v>
      </c>
      <c r="AJ27" s="259" t="s">
        <v>158</v>
      </c>
      <c r="AK27" s="261">
        <v>-0.1</v>
      </c>
      <c r="AL27" s="259">
        <v>-0.2</v>
      </c>
      <c r="AM27" s="259">
        <v>-0.2</v>
      </c>
      <c r="AN27" s="262">
        <v>1.0937364521108552</v>
      </c>
      <c r="AO27" s="261">
        <v>0.19568695955150472</v>
      </c>
      <c r="AP27" s="260" t="s">
        <v>158</v>
      </c>
      <c r="AQ27" s="261">
        <v>0.57593979995901001</v>
      </c>
      <c r="AR27" s="259">
        <v>-0.1</v>
      </c>
      <c r="AS27" s="150">
        <v>0.53362130229226701</v>
      </c>
      <c r="AT27" s="155">
        <v>0.19847370964895994</v>
      </c>
      <c r="AU27" s="155">
        <v>7.1636862328218337E-2</v>
      </c>
      <c r="AV27" s="150">
        <v>-0.1</v>
      </c>
      <c r="AW27" s="150">
        <v>-0.1</v>
      </c>
      <c r="AX27" s="150"/>
      <c r="AY27" s="150"/>
      <c r="AZ27" s="150"/>
      <c r="BA27" s="150"/>
      <c r="BB27" s="150"/>
      <c r="BC27" s="30" t="s">
        <v>158</v>
      </c>
      <c r="BD27" s="30" t="s">
        <v>158</v>
      </c>
      <c r="BE27" s="30" t="s">
        <v>158</v>
      </c>
      <c r="BF27" s="30" t="s">
        <v>158</v>
      </c>
      <c r="BG27" s="30" t="s">
        <v>158</v>
      </c>
      <c r="BH27" s="30" t="s">
        <v>158</v>
      </c>
      <c r="BI27" s="30" t="s">
        <v>158</v>
      </c>
      <c r="BJ27" s="30" t="s">
        <v>158</v>
      </c>
      <c r="BK27" s="30" t="s">
        <v>158</v>
      </c>
      <c r="BL27" s="30" t="s">
        <v>158</v>
      </c>
      <c r="BM27" s="30" t="s">
        <v>158</v>
      </c>
      <c r="BN27" s="61">
        <v>130</v>
      </c>
      <c r="BO27" s="156" t="s">
        <v>158</v>
      </c>
      <c r="BP27" s="156" t="s">
        <v>158</v>
      </c>
      <c r="BQ27" s="156" t="s">
        <v>158</v>
      </c>
      <c r="BR27" s="156" t="s">
        <v>158</v>
      </c>
      <c r="BS27" s="156" t="s">
        <v>158</v>
      </c>
      <c r="BT27" s="156" t="s">
        <v>158</v>
      </c>
      <c r="BU27" s="156" t="s">
        <v>158</v>
      </c>
      <c r="BV27" s="156" t="s">
        <v>158</v>
      </c>
      <c r="BW27" s="156" t="s">
        <v>158</v>
      </c>
      <c r="BX27" s="156" t="s">
        <v>158</v>
      </c>
      <c r="BY27" s="156" t="s">
        <v>158</v>
      </c>
      <c r="BZ27" s="156" t="s">
        <v>158</v>
      </c>
      <c r="CA27" s="156" t="s">
        <v>158</v>
      </c>
      <c r="CB27" s="156" t="s">
        <v>158</v>
      </c>
      <c r="CC27" s="156" t="s">
        <v>158</v>
      </c>
      <c r="CD27" s="156" t="s">
        <v>158</v>
      </c>
      <c r="CE27" s="156" t="s">
        <v>158</v>
      </c>
      <c r="CF27" s="156" t="s">
        <v>158</v>
      </c>
      <c r="CG27" s="156" t="s">
        <v>158</v>
      </c>
      <c r="CH27" s="156" t="s">
        <v>158</v>
      </c>
      <c r="CI27" s="156" t="s">
        <v>158</v>
      </c>
      <c r="CJ27" s="156" t="s">
        <v>158</v>
      </c>
      <c r="CK27" s="156" t="s">
        <v>158</v>
      </c>
      <c r="CL27" s="156" t="s">
        <v>158</v>
      </c>
      <c r="CM27" s="156" t="s">
        <v>158</v>
      </c>
      <c r="CN27" s="156" t="s">
        <v>158</v>
      </c>
      <c r="CO27" s="156" t="s">
        <v>158</v>
      </c>
      <c r="CP27" s="156" t="s">
        <v>158</v>
      </c>
      <c r="CQ27" s="156" t="s">
        <v>158</v>
      </c>
      <c r="CR27" s="156" t="s">
        <v>158</v>
      </c>
      <c r="CS27" s="156" t="s">
        <v>158</v>
      </c>
      <c r="CT27" s="156" t="s">
        <v>158</v>
      </c>
      <c r="CU27" s="156" t="s">
        <v>158</v>
      </c>
      <c r="CV27" s="156" t="s">
        <v>158</v>
      </c>
      <c r="CW27" s="156" t="s">
        <v>158</v>
      </c>
      <c r="CX27" s="156" t="s">
        <v>158</v>
      </c>
      <c r="CY27" s="157" t="s">
        <v>158</v>
      </c>
      <c r="CZ27" s="156"/>
      <c r="DA27" s="64"/>
      <c r="DB27" s="64"/>
      <c r="DC27" s="64"/>
      <c r="DD27" s="64"/>
      <c r="DE27" s="64"/>
      <c r="DF27" s="64"/>
      <c r="DG27" s="64"/>
      <c r="DH27" s="66"/>
    </row>
    <row r="28" spans="1:112" hidden="1" x14ac:dyDescent="0.2">
      <c r="A28" s="111" t="s">
        <v>9</v>
      </c>
      <c r="B28" s="111" t="s">
        <v>9</v>
      </c>
      <c r="C28" s="148" t="s">
        <v>20</v>
      </c>
      <c r="D28" s="148"/>
      <c r="E28" s="111"/>
      <c r="F28" s="111"/>
      <c r="G28" s="149">
        <v>44812</v>
      </c>
      <c r="H28" s="133" t="s">
        <v>172</v>
      </c>
      <c r="I28" s="138" t="s">
        <v>33</v>
      </c>
      <c r="J28" s="138" t="s">
        <v>173</v>
      </c>
      <c r="K28" s="141">
        <v>0.40654538062810402</v>
      </c>
      <c r="L28" s="30" t="s">
        <v>159</v>
      </c>
      <c r="M28" s="159">
        <v>2.6827180721628111E-2</v>
      </c>
      <c r="N28" s="160">
        <v>6.9193928383241163E-2</v>
      </c>
      <c r="O28" s="150">
        <v>0.39471482019011173</v>
      </c>
      <c r="P28" s="150">
        <v>0.31205216077475051</v>
      </c>
      <c r="Q28" s="65">
        <v>1.4172840050351898</v>
      </c>
      <c r="R28" s="65">
        <v>1.1314538780510361</v>
      </c>
      <c r="S28" s="150">
        <v>0.38045819689115884</v>
      </c>
      <c r="T28" s="115">
        <v>3.7319841700471161</v>
      </c>
      <c r="U28" s="152">
        <f>SUM(M28,N28,O28,Q28,R28,S28)*(5/K28)</f>
        <v>42.060888799039397</v>
      </c>
      <c r="V28" s="112" t="s">
        <v>440</v>
      </c>
      <c r="W28" s="153">
        <v>1.9E-2</v>
      </c>
      <c r="X28" s="153">
        <v>0.01</v>
      </c>
      <c r="Y28" s="153">
        <v>1.4999999999999999E-2</v>
      </c>
      <c r="Z28" s="112" t="s">
        <v>440</v>
      </c>
      <c r="AA28" s="112" t="s">
        <v>440</v>
      </c>
      <c r="AB28" s="112" t="s">
        <v>440</v>
      </c>
      <c r="AC28" s="113" t="s">
        <v>441</v>
      </c>
      <c r="AD28" s="112">
        <v>4.3999999999999997E-2</v>
      </c>
      <c r="AE28" s="152">
        <f t="shared" si="2"/>
        <v>4.4000000000000004E-2</v>
      </c>
      <c r="AF28" s="81">
        <v>-1E-3</v>
      </c>
      <c r="AG28" s="154" t="s">
        <v>158</v>
      </c>
      <c r="AH28" s="262">
        <v>2.1819997068952879</v>
      </c>
      <c r="AI28" s="259">
        <v>-0.15</v>
      </c>
      <c r="AJ28" s="259" t="s">
        <v>158</v>
      </c>
      <c r="AK28" s="261">
        <v>-0.1</v>
      </c>
      <c r="AL28" s="259">
        <v>-0.2</v>
      </c>
      <c r="AM28" s="259">
        <v>-0.2</v>
      </c>
      <c r="AN28" s="261">
        <v>0.40241445006228466</v>
      </c>
      <c r="AO28" s="260">
        <v>8.479885689162453E-2</v>
      </c>
      <c r="AP28" s="260" t="s">
        <v>158</v>
      </c>
      <c r="AQ28" s="261">
        <v>0.18029603575877476</v>
      </c>
      <c r="AR28" s="259">
        <v>-0.1</v>
      </c>
      <c r="AS28" s="150">
        <v>0.44965926577269716</v>
      </c>
      <c r="AT28" s="150">
        <v>0.39008573312815997</v>
      </c>
      <c r="AU28" s="150">
        <v>0.32325785887008124</v>
      </c>
      <c r="AV28" s="150">
        <v>-0.1</v>
      </c>
      <c r="AW28" s="150">
        <v>-0.1</v>
      </c>
      <c r="AX28" s="150"/>
      <c r="AY28" s="150"/>
      <c r="AZ28" s="150"/>
      <c r="BA28" s="150"/>
      <c r="BB28" s="150"/>
      <c r="BC28" s="30" t="s">
        <v>158</v>
      </c>
      <c r="BD28" s="30" t="s">
        <v>158</v>
      </c>
      <c r="BE28" s="30" t="s">
        <v>158</v>
      </c>
      <c r="BF28" s="30" t="s">
        <v>158</v>
      </c>
      <c r="BG28" s="30" t="s">
        <v>158</v>
      </c>
      <c r="BH28" s="30" t="s">
        <v>158</v>
      </c>
      <c r="BI28" s="30" t="s">
        <v>158</v>
      </c>
      <c r="BJ28" s="30" t="s">
        <v>158</v>
      </c>
      <c r="BK28" s="30" t="s">
        <v>158</v>
      </c>
      <c r="BL28" s="30" t="s">
        <v>158</v>
      </c>
      <c r="BM28" s="30" t="s">
        <v>158</v>
      </c>
      <c r="BN28" s="61">
        <v>23</v>
      </c>
      <c r="BO28" s="156" t="s">
        <v>158</v>
      </c>
      <c r="BP28" s="156" t="s">
        <v>158</v>
      </c>
      <c r="BQ28" s="156" t="s">
        <v>158</v>
      </c>
      <c r="BR28" s="156" t="s">
        <v>158</v>
      </c>
      <c r="BS28" s="156" t="s">
        <v>158</v>
      </c>
      <c r="BT28" s="156" t="s">
        <v>158</v>
      </c>
      <c r="BU28" s="156" t="s">
        <v>158</v>
      </c>
      <c r="BV28" s="156" t="s">
        <v>158</v>
      </c>
      <c r="BW28" s="156" t="s">
        <v>158</v>
      </c>
      <c r="BX28" s="156" t="s">
        <v>158</v>
      </c>
      <c r="BY28" s="156" t="s">
        <v>158</v>
      </c>
      <c r="BZ28" s="156" t="s">
        <v>158</v>
      </c>
      <c r="CA28" s="156" t="s">
        <v>158</v>
      </c>
      <c r="CB28" s="156" t="s">
        <v>158</v>
      </c>
      <c r="CC28" s="156" t="s">
        <v>158</v>
      </c>
      <c r="CD28" s="156" t="s">
        <v>158</v>
      </c>
      <c r="CE28" s="156" t="s">
        <v>158</v>
      </c>
      <c r="CF28" s="156" t="s">
        <v>158</v>
      </c>
      <c r="CG28" s="156" t="s">
        <v>158</v>
      </c>
      <c r="CH28" s="156" t="s">
        <v>158</v>
      </c>
      <c r="CI28" s="156" t="s">
        <v>158</v>
      </c>
      <c r="CJ28" s="156" t="s">
        <v>158</v>
      </c>
      <c r="CK28" s="156" t="s">
        <v>158</v>
      </c>
      <c r="CL28" s="156" t="s">
        <v>158</v>
      </c>
      <c r="CM28" s="156" t="s">
        <v>158</v>
      </c>
      <c r="CN28" s="156" t="s">
        <v>158</v>
      </c>
      <c r="CO28" s="156" t="s">
        <v>158</v>
      </c>
      <c r="CP28" s="156" t="s">
        <v>158</v>
      </c>
      <c r="CQ28" s="156" t="s">
        <v>158</v>
      </c>
      <c r="CR28" s="156" t="s">
        <v>158</v>
      </c>
      <c r="CS28" s="156" t="s">
        <v>158</v>
      </c>
      <c r="CT28" s="156" t="s">
        <v>158</v>
      </c>
      <c r="CU28" s="156" t="s">
        <v>158</v>
      </c>
      <c r="CV28" s="156" t="s">
        <v>158</v>
      </c>
      <c r="CW28" s="156" t="s">
        <v>158</v>
      </c>
      <c r="CX28" s="156" t="s">
        <v>158</v>
      </c>
      <c r="CY28" s="157" t="s">
        <v>158</v>
      </c>
      <c r="CZ28" s="156"/>
      <c r="DA28" s="64"/>
      <c r="DB28" s="64"/>
      <c r="DC28" s="64"/>
      <c r="DD28" s="64"/>
      <c r="DE28" s="64"/>
      <c r="DF28" s="64"/>
      <c r="DG28" s="64"/>
      <c r="DH28" s="66"/>
    </row>
    <row r="29" spans="1:112" s="116" customFormat="1" hidden="1" x14ac:dyDescent="0.2">
      <c r="A29" s="129" t="s">
        <v>25</v>
      </c>
      <c r="B29" s="129" t="s">
        <v>25</v>
      </c>
      <c r="C29" s="148" t="s">
        <v>20</v>
      </c>
      <c r="D29" s="161"/>
      <c r="E29" s="129"/>
      <c r="F29" s="129"/>
      <c r="G29" s="162">
        <v>44811</v>
      </c>
      <c r="H29" s="134" t="s">
        <v>172</v>
      </c>
      <c r="I29" s="139" t="s">
        <v>33</v>
      </c>
      <c r="J29" s="139" t="s">
        <v>173</v>
      </c>
      <c r="K29" s="163">
        <v>0.57215511760968496</v>
      </c>
      <c r="L29" s="30" t="s">
        <v>159</v>
      </c>
      <c r="M29" s="164">
        <v>2.7596989198411866E-2</v>
      </c>
      <c r="N29" s="165">
        <v>6.9174761114969813E-2</v>
      </c>
      <c r="O29" s="166">
        <v>0.74767337956490199</v>
      </c>
      <c r="P29" s="166">
        <v>0.63587284239686914</v>
      </c>
      <c r="Q29" s="167">
        <v>2.8126225440766683</v>
      </c>
      <c r="R29" s="167">
        <v>2.2866365554578336</v>
      </c>
      <c r="S29" s="166">
        <v>0.85191608246023576</v>
      </c>
      <c r="T29" s="123">
        <v>7.4314931542698917</v>
      </c>
      <c r="U29" s="152">
        <f t="shared" si="3"/>
        <v>59.386170836532528</v>
      </c>
      <c r="V29" s="117" t="s">
        <v>435</v>
      </c>
      <c r="W29" s="117">
        <v>0.05</v>
      </c>
      <c r="X29" s="117">
        <v>3.4000000000000002E-2</v>
      </c>
      <c r="Y29" s="117">
        <v>5.0999999999999997E-2</v>
      </c>
      <c r="Z29" s="168">
        <v>2.1000000000000001E-2</v>
      </c>
      <c r="AA29" s="168">
        <v>1.7000000000000001E-2</v>
      </c>
      <c r="AB29" s="168">
        <v>8.0000000000000002E-3</v>
      </c>
      <c r="AC29" s="118" t="s">
        <v>442</v>
      </c>
      <c r="AD29" s="118">
        <v>0.18099999999999999</v>
      </c>
      <c r="AE29" s="152">
        <f t="shared" si="2"/>
        <v>0.16000000000000003</v>
      </c>
      <c r="AF29" s="119">
        <v>-1E-3</v>
      </c>
      <c r="AG29" s="154" t="s">
        <v>158</v>
      </c>
      <c r="AH29" s="263">
        <v>24.14931188561215</v>
      </c>
      <c r="AI29" s="264">
        <v>-0.15</v>
      </c>
      <c r="AJ29" s="259" t="s">
        <v>158</v>
      </c>
      <c r="AK29" s="265">
        <v>-0.1</v>
      </c>
      <c r="AL29" s="264">
        <v>-0.2</v>
      </c>
      <c r="AM29" s="264">
        <v>-0.2</v>
      </c>
      <c r="AN29" s="266">
        <v>1.1301519213583555</v>
      </c>
      <c r="AO29" s="265">
        <v>0.31522788203753355</v>
      </c>
      <c r="AP29" s="260" t="s">
        <v>158</v>
      </c>
      <c r="AQ29" s="265">
        <v>0.30647006255585341</v>
      </c>
      <c r="AR29" s="264">
        <v>-0.1</v>
      </c>
      <c r="AS29" s="166">
        <v>0.18766756032171578</v>
      </c>
      <c r="AT29" s="166">
        <v>-0.2</v>
      </c>
      <c r="AU29" s="166">
        <v>-0.15</v>
      </c>
      <c r="AV29" s="166">
        <v>-0.1</v>
      </c>
      <c r="AW29" s="166">
        <v>-0.1</v>
      </c>
      <c r="AX29" s="166"/>
      <c r="AY29" s="166"/>
      <c r="AZ29" s="166"/>
      <c r="BA29" s="166"/>
      <c r="BB29" s="166"/>
      <c r="BC29" s="30" t="s">
        <v>158</v>
      </c>
      <c r="BD29" s="30" t="s">
        <v>158</v>
      </c>
      <c r="BE29" s="30" t="s">
        <v>158</v>
      </c>
      <c r="BF29" s="30" t="s">
        <v>158</v>
      </c>
      <c r="BG29" s="30" t="s">
        <v>158</v>
      </c>
      <c r="BH29" s="30" t="s">
        <v>158</v>
      </c>
      <c r="BI29" s="30" t="s">
        <v>158</v>
      </c>
      <c r="BJ29" s="30" t="s">
        <v>158</v>
      </c>
      <c r="BK29" s="30" t="s">
        <v>158</v>
      </c>
      <c r="BL29" s="30" t="s">
        <v>158</v>
      </c>
      <c r="BM29" s="30" t="s">
        <v>158</v>
      </c>
      <c r="BN29" s="170">
        <v>120</v>
      </c>
      <c r="BO29" s="156" t="s">
        <v>158</v>
      </c>
      <c r="BP29" s="156" t="s">
        <v>158</v>
      </c>
      <c r="BQ29" s="156" t="s">
        <v>158</v>
      </c>
      <c r="BR29" s="156" t="s">
        <v>158</v>
      </c>
      <c r="BS29" s="156" t="s">
        <v>158</v>
      </c>
      <c r="BT29" s="156" t="s">
        <v>158</v>
      </c>
      <c r="BU29" s="156" t="s">
        <v>158</v>
      </c>
      <c r="BV29" s="156" t="s">
        <v>158</v>
      </c>
      <c r="BW29" s="156" t="s">
        <v>158</v>
      </c>
      <c r="BX29" s="156" t="s">
        <v>158</v>
      </c>
      <c r="BY29" s="156" t="s">
        <v>158</v>
      </c>
      <c r="BZ29" s="156" t="s">
        <v>158</v>
      </c>
      <c r="CA29" s="156" t="s">
        <v>158</v>
      </c>
      <c r="CB29" s="156" t="s">
        <v>158</v>
      </c>
      <c r="CC29" s="156" t="s">
        <v>158</v>
      </c>
      <c r="CD29" s="156" t="s">
        <v>158</v>
      </c>
      <c r="CE29" s="156" t="s">
        <v>158</v>
      </c>
      <c r="CF29" s="156" t="s">
        <v>158</v>
      </c>
      <c r="CG29" s="156" t="s">
        <v>158</v>
      </c>
      <c r="CH29" s="156" t="s">
        <v>158</v>
      </c>
      <c r="CI29" s="156" t="s">
        <v>158</v>
      </c>
      <c r="CJ29" s="156" t="s">
        <v>158</v>
      </c>
      <c r="CK29" s="156" t="s">
        <v>158</v>
      </c>
      <c r="CL29" s="156" t="s">
        <v>158</v>
      </c>
      <c r="CM29" s="156" t="s">
        <v>158</v>
      </c>
      <c r="CN29" s="156" t="s">
        <v>158</v>
      </c>
      <c r="CO29" s="156" t="s">
        <v>158</v>
      </c>
      <c r="CP29" s="156" t="s">
        <v>158</v>
      </c>
      <c r="CQ29" s="156" t="s">
        <v>158</v>
      </c>
      <c r="CR29" s="156" t="s">
        <v>158</v>
      </c>
      <c r="CS29" s="156" t="s">
        <v>158</v>
      </c>
      <c r="CT29" s="156" t="s">
        <v>158</v>
      </c>
      <c r="CU29" s="156" t="s">
        <v>158</v>
      </c>
      <c r="CV29" s="156" t="s">
        <v>158</v>
      </c>
      <c r="CW29" s="156" t="s">
        <v>158</v>
      </c>
      <c r="CX29" s="156" t="s">
        <v>158</v>
      </c>
      <c r="CY29" s="157" t="s">
        <v>158</v>
      </c>
      <c r="CZ29" s="171"/>
      <c r="DA29" s="121"/>
      <c r="DB29" s="121"/>
      <c r="DC29" s="121"/>
      <c r="DD29" s="121"/>
      <c r="DE29" s="121"/>
      <c r="DF29" s="121"/>
      <c r="DG29" s="121"/>
      <c r="DH29" s="122"/>
    </row>
    <row r="30" spans="1:112" s="116" customFormat="1" hidden="1" x14ac:dyDescent="0.2">
      <c r="A30" s="129" t="s">
        <v>112</v>
      </c>
      <c r="B30" s="129" t="s">
        <v>112</v>
      </c>
      <c r="C30" s="148" t="s">
        <v>20</v>
      </c>
      <c r="D30" s="161"/>
      <c r="E30" s="129"/>
      <c r="F30" s="129"/>
      <c r="G30" s="162">
        <v>44819</v>
      </c>
      <c r="H30" s="134" t="s">
        <v>172</v>
      </c>
      <c r="I30" s="139" t="s">
        <v>33</v>
      </c>
      <c r="J30" s="139" t="s">
        <v>173</v>
      </c>
      <c r="K30" s="163">
        <v>0.44749713809969099</v>
      </c>
      <c r="L30" s="30" t="s">
        <v>159</v>
      </c>
      <c r="M30" s="172">
        <v>0.39598657031612838</v>
      </c>
      <c r="N30" s="167">
        <v>1.0826485308246201</v>
      </c>
      <c r="O30" s="167">
        <v>3.995277102800018</v>
      </c>
      <c r="P30" s="167">
        <v>3.3398417543332295</v>
      </c>
      <c r="Q30" s="167">
        <v>8.5667322221331244</v>
      </c>
      <c r="R30" s="167">
        <v>7.4163542092015584</v>
      </c>
      <c r="S30" s="167">
        <v>2.0849760930481294</v>
      </c>
      <c r="T30" s="120">
        <v>26.881816482656813</v>
      </c>
      <c r="U30" s="152">
        <f t="shared" si="3"/>
        <v>263.04050600519179</v>
      </c>
      <c r="V30" s="117" t="s">
        <v>440</v>
      </c>
      <c r="W30" s="117">
        <v>6.4000000000000001E-2</v>
      </c>
      <c r="X30" s="117">
        <v>2.3E-2</v>
      </c>
      <c r="Y30" s="117">
        <v>3.3000000000000002E-2</v>
      </c>
      <c r="Z30" s="168">
        <v>1.0999999999999999E-2</v>
      </c>
      <c r="AA30" s="168">
        <v>0.01</v>
      </c>
      <c r="AB30" s="168">
        <v>1.0999999999999999E-2</v>
      </c>
      <c r="AC30" s="173" t="s">
        <v>443</v>
      </c>
      <c r="AD30" s="118">
        <v>0.15200000000000002</v>
      </c>
      <c r="AE30" s="152">
        <f t="shared" si="2"/>
        <v>0.14100000000000001</v>
      </c>
      <c r="AF30" s="119">
        <v>-1E-3</v>
      </c>
      <c r="AG30" s="154" t="s">
        <v>158</v>
      </c>
      <c r="AH30" s="267">
        <v>2.8140134559574124</v>
      </c>
      <c r="AI30" s="264">
        <v>-0.15</v>
      </c>
      <c r="AJ30" s="259" t="s">
        <v>158</v>
      </c>
      <c r="AK30" s="265">
        <v>-0.1</v>
      </c>
      <c r="AL30" s="264">
        <v>-0.2</v>
      </c>
      <c r="AM30" s="264">
        <v>-0.2</v>
      </c>
      <c r="AN30" s="265">
        <v>0.29433820750837403</v>
      </c>
      <c r="AO30" s="264">
        <v>-0.1</v>
      </c>
      <c r="AP30" s="260" t="s">
        <v>158</v>
      </c>
      <c r="AQ30" s="268">
        <v>0.1409307363636127</v>
      </c>
      <c r="AR30" s="264">
        <v>-0.1</v>
      </c>
      <c r="AS30" s="166">
        <v>0.34776271070352038</v>
      </c>
      <c r="AT30" s="174">
        <v>0.1369019970728777</v>
      </c>
      <c r="AU30" s="166">
        <v>0.17317353916693529</v>
      </c>
      <c r="AV30" s="166">
        <v>-0.1</v>
      </c>
      <c r="AW30" s="166">
        <v>-0.1</v>
      </c>
      <c r="AX30" s="166"/>
      <c r="AY30" s="166"/>
      <c r="AZ30" s="166"/>
      <c r="BA30" s="166"/>
      <c r="BB30" s="166"/>
      <c r="BC30" s="30" t="s">
        <v>158</v>
      </c>
      <c r="BD30" s="30" t="s">
        <v>158</v>
      </c>
      <c r="BE30" s="30" t="s">
        <v>158</v>
      </c>
      <c r="BF30" s="30" t="s">
        <v>158</v>
      </c>
      <c r="BG30" s="30" t="s">
        <v>158</v>
      </c>
      <c r="BH30" s="30" t="s">
        <v>158</v>
      </c>
      <c r="BI30" s="30" t="s">
        <v>158</v>
      </c>
      <c r="BJ30" s="30" t="s">
        <v>158</v>
      </c>
      <c r="BK30" s="30" t="s">
        <v>158</v>
      </c>
      <c r="BL30" s="30" t="s">
        <v>158</v>
      </c>
      <c r="BM30" s="30" t="s">
        <v>158</v>
      </c>
      <c r="BN30" s="170">
        <v>310</v>
      </c>
      <c r="BO30" s="156" t="s">
        <v>158</v>
      </c>
      <c r="BP30" s="156" t="s">
        <v>158</v>
      </c>
      <c r="BQ30" s="156" t="s">
        <v>158</v>
      </c>
      <c r="BR30" s="156" t="s">
        <v>158</v>
      </c>
      <c r="BS30" s="156" t="s">
        <v>158</v>
      </c>
      <c r="BT30" s="156" t="s">
        <v>158</v>
      </c>
      <c r="BU30" s="156" t="s">
        <v>158</v>
      </c>
      <c r="BV30" s="156" t="s">
        <v>158</v>
      </c>
      <c r="BW30" s="156" t="s">
        <v>158</v>
      </c>
      <c r="BX30" s="156" t="s">
        <v>158</v>
      </c>
      <c r="BY30" s="156" t="s">
        <v>158</v>
      </c>
      <c r="BZ30" s="156" t="s">
        <v>158</v>
      </c>
      <c r="CA30" s="156" t="s">
        <v>158</v>
      </c>
      <c r="CB30" s="156" t="s">
        <v>158</v>
      </c>
      <c r="CC30" s="156" t="s">
        <v>158</v>
      </c>
      <c r="CD30" s="156" t="s">
        <v>158</v>
      </c>
      <c r="CE30" s="156" t="s">
        <v>158</v>
      </c>
      <c r="CF30" s="156" t="s">
        <v>158</v>
      </c>
      <c r="CG30" s="156" t="s">
        <v>158</v>
      </c>
      <c r="CH30" s="156" t="s">
        <v>158</v>
      </c>
      <c r="CI30" s="156" t="s">
        <v>158</v>
      </c>
      <c r="CJ30" s="156" t="s">
        <v>158</v>
      </c>
      <c r="CK30" s="156" t="s">
        <v>158</v>
      </c>
      <c r="CL30" s="156" t="s">
        <v>158</v>
      </c>
      <c r="CM30" s="156" t="s">
        <v>158</v>
      </c>
      <c r="CN30" s="156" t="s">
        <v>158</v>
      </c>
      <c r="CO30" s="156" t="s">
        <v>158</v>
      </c>
      <c r="CP30" s="156" t="s">
        <v>158</v>
      </c>
      <c r="CQ30" s="156" t="s">
        <v>158</v>
      </c>
      <c r="CR30" s="156" t="s">
        <v>158</v>
      </c>
      <c r="CS30" s="156" t="s">
        <v>158</v>
      </c>
      <c r="CT30" s="156" t="s">
        <v>158</v>
      </c>
      <c r="CU30" s="156" t="s">
        <v>158</v>
      </c>
      <c r="CV30" s="156" t="s">
        <v>158</v>
      </c>
      <c r="CW30" s="156" t="s">
        <v>158</v>
      </c>
      <c r="CX30" s="156" t="s">
        <v>158</v>
      </c>
      <c r="CY30" s="157" t="s">
        <v>158</v>
      </c>
      <c r="CZ30" s="171"/>
      <c r="DA30" s="121"/>
      <c r="DB30" s="121"/>
      <c r="DC30" s="121"/>
      <c r="DD30" s="121"/>
      <c r="DE30" s="121"/>
      <c r="DF30" s="121"/>
      <c r="DG30" s="121"/>
      <c r="DH30" s="122"/>
    </row>
    <row r="31" spans="1:112" s="116" customFormat="1" hidden="1" x14ac:dyDescent="0.2">
      <c r="A31" s="129" t="s">
        <v>79</v>
      </c>
      <c r="B31" s="129" t="s">
        <v>79</v>
      </c>
      <c r="C31" s="148" t="s">
        <v>20</v>
      </c>
      <c r="D31" s="161"/>
      <c r="E31" s="129"/>
      <c r="F31" s="129"/>
      <c r="G31" s="162">
        <v>44810</v>
      </c>
      <c r="H31" s="134" t="s">
        <v>172</v>
      </c>
      <c r="I31" s="139" t="s">
        <v>33</v>
      </c>
      <c r="J31" s="139" t="s">
        <v>173</v>
      </c>
      <c r="K31" s="163">
        <v>0.52262987352357804</v>
      </c>
      <c r="L31" s="30" t="s">
        <v>159</v>
      </c>
      <c r="M31" s="172">
        <v>0.32969437127984724</v>
      </c>
      <c r="N31" s="167">
        <v>1.1318919791888371</v>
      </c>
      <c r="O31" s="167">
        <v>5.6891441349315377</v>
      </c>
      <c r="P31" s="167">
        <v>4.4303076296846147</v>
      </c>
      <c r="Q31" s="128">
        <v>11.616288639100762</v>
      </c>
      <c r="R31" s="167">
        <v>9.6927112176472221</v>
      </c>
      <c r="S31" s="167">
        <v>2.8122443348825685</v>
      </c>
      <c r="T31" s="120">
        <v>35.702282306715396</v>
      </c>
      <c r="U31" s="152">
        <f t="shared" si="3"/>
        <v>299.17898173514914</v>
      </c>
      <c r="V31" s="117" t="s">
        <v>440</v>
      </c>
      <c r="W31" s="117">
        <v>7.1999999999999995E-2</v>
      </c>
      <c r="X31" s="117">
        <v>2.3E-2</v>
      </c>
      <c r="Y31" s="117">
        <v>3.3000000000000002E-2</v>
      </c>
      <c r="Z31" s="168">
        <v>1.0999999999999999E-2</v>
      </c>
      <c r="AA31" s="168">
        <v>1.0999999999999999E-2</v>
      </c>
      <c r="AB31" s="117" t="s">
        <v>440</v>
      </c>
      <c r="AC31" s="118" t="s">
        <v>444</v>
      </c>
      <c r="AD31" s="118">
        <v>0.15000000000000002</v>
      </c>
      <c r="AE31" s="152">
        <f t="shared" si="2"/>
        <v>0.13900000000000001</v>
      </c>
      <c r="AF31" s="119">
        <v>-1E-3</v>
      </c>
      <c r="AG31" s="154" t="s">
        <v>158</v>
      </c>
      <c r="AH31" s="266">
        <v>3.7351535138175231</v>
      </c>
      <c r="AI31" s="264">
        <v>-0.15</v>
      </c>
      <c r="AJ31" s="259" t="s">
        <v>158</v>
      </c>
      <c r="AK31" s="265">
        <v>-0.1</v>
      </c>
      <c r="AL31" s="264">
        <v>-0.2</v>
      </c>
      <c r="AM31" s="264">
        <v>-0.2</v>
      </c>
      <c r="AN31" s="265">
        <v>0.3874018968734822</v>
      </c>
      <c r="AO31" s="268">
        <v>4.5785719763785579E-2</v>
      </c>
      <c r="AP31" s="260" t="s">
        <v>158</v>
      </c>
      <c r="AQ31" s="265">
        <v>0.25850653168699034</v>
      </c>
      <c r="AR31" s="264">
        <v>-0.1</v>
      </c>
      <c r="AS31" s="166">
        <v>0.41828361070634262</v>
      </c>
      <c r="AT31" s="166">
        <v>-0.2</v>
      </c>
      <c r="AU31" s="166">
        <v>-0.15</v>
      </c>
      <c r="AV31" s="166">
        <v>-0.1</v>
      </c>
      <c r="AW31" s="166">
        <v>-0.1</v>
      </c>
      <c r="AX31" s="166"/>
      <c r="AY31" s="166"/>
      <c r="AZ31" s="166"/>
      <c r="BA31" s="166"/>
      <c r="BB31" s="166"/>
      <c r="BC31" s="30" t="s">
        <v>158</v>
      </c>
      <c r="BD31" s="30" t="s">
        <v>158</v>
      </c>
      <c r="BE31" s="30" t="s">
        <v>158</v>
      </c>
      <c r="BF31" s="30" t="s">
        <v>158</v>
      </c>
      <c r="BG31" s="30" t="s">
        <v>158</v>
      </c>
      <c r="BH31" s="30" t="s">
        <v>158</v>
      </c>
      <c r="BI31" s="30" t="s">
        <v>158</v>
      </c>
      <c r="BJ31" s="30" t="s">
        <v>158</v>
      </c>
      <c r="BK31" s="30" t="s">
        <v>158</v>
      </c>
      <c r="BL31" s="30" t="s">
        <v>158</v>
      </c>
      <c r="BM31" s="30" t="s">
        <v>158</v>
      </c>
      <c r="BN31" s="170">
        <v>190</v>
      </c>
      <c r="BO31" s="156" t="s">
        <v>158</v>
      </c>
      <c r="BP31" s="156" t="s">
        <v>158</v>
      </c>
      <c r="BQ31" s="156" t="s">
        <v>158</v>
      </c>
      <c r="BR31" s="156" t="s">
        <v>158</v>
      </c>
      <c r="BS31" s="156" t="s">
        <v>158</v>
      </c>
      <c r="BT31" s="156" t="s">
        <v>158</v>
      </c>
      <c r="BU31" s="156" t="s">
        <v>158</v>
      </c>
      <c r="BV31" s="156" t="s">
        <v>158</v>
      </c>
      <c r="BW31" s="156" t="s">
        <v>158</v>
      </c>
      <c r="BX31" s="156" t="s">
        <v>158</v>
      </c>
      <c r="BY31" s="156" t="s">
        <v>158</v>
      </c>
      <c r="BZ31" s="156" t="s">
        <v>158</v>
      </c>
      <c r="CA31" s="156" t="s">
        <v>158</v>
      </c>
      <c r="CB31" s="156" t="s">
        <v>158</v>
      </c>
      <c r="CC31" s="156" t="s">
        <v>158</v>
      </c>
      <c r="CD31" s="156" t="s">
        <v>158</v>
      </c>
      <c r="CE31" s="156" t="s">
        <v>158</v>
      </c>
      <c r="CF31" s="156" t="s">
        <v>158</v>
      </c>
      <c r="CG31" s="156" t="s">
        <v>158</v>
      </c>
      <c r="CH31" s="156" t="s">
        <v>158</v>
      </c>
      <c r="CI31" s="156" t="s">
        <v>158</v>
      </c>
      <c r="CJ31" s="156" t="s">
        <v>158</v>
      </c>
      <c r="CK31" s="156" t="s">
        <v>158</v>
      </c>
      <c r="CL31" s="156" t="s">
        <v>158</v>
      </c>
      <c r="CM31" s="156" t="s">
        <v>158</v>
      </c>
      <c r="CN31" s="156" t="s">
        <v>158</v>
      </c>
      <c r="CO31" s="156" t="s">
        <v>158</v>
      </c>
      <c r="CP31" s="156" t="s">
        <v>158</v>
      </c>
      <c r="CQ31" s="156" t="s">
        <v>158</v>
      </c>
      <c r="CR31" s="156" t="s">
        <v>158</v>
      </c>
      <c r="CS31" s="156" t="s">
        <v>158</v>
      </c>
      <c r="CT31" s="156" t="s">
        <v>158</v>
      </c>
      <c r="CU31" s="156" t="s">
        <v>158</v>
      </c>
      <c r="CV31" s="156" t="s">
        <v>158</v>
      </c>
      <c r="CW31" s="156" t="s">
        <v>158</v>
      </c>
      <c r="CX31" s="156" t="s">
        <v>158</v>
      </c>
      <c r="CY31" s="157" t="s">
        <v>158</v>
      </c>
      <c r="CZ31" s="171"/>
      <c r="DA31" s="121"/>
      <c r="DB31" s="121"/>
      <c r="DC31" s="121"/>
      <c r="DD31" s="121"/>
      <c r="DE31" s="121"/>
      <c r="DF31" s="121"/>
      <c r="DG31" s="121"/>
      <c r="DH31" s="122"/>
    </row>
    <row r="32" spans="1:112" s="116" customFormat="1" hidden="1" x14ac:dyDescent="0.2">
      <c r="A32" s="129" t="s">
        <v>26</v>
      </c>
      <c r="B32" s="129" t="s">
        <v>26</v>
      </c>
      <c r="C32" s="148" t="s">
        <v>20</v>
      </c>
      <c r="D32" s="161"/>
      <c r="E32" s="129"/>
      <c r="F32" s="129"/>
      <c r="G32" s="162">
        <v>44818</v>
      </c>
      <c r="H32" s="134" t="s">
        <v>172</v>
      </c>
      <c r="I32" s="139" t="s">
        <v>33</v>
      </c>
      <c r="J32" s="139" t="s">
        <v>173</v>
      </c>
      <c r="K32" s="163">
        <v>0.49611734253666301</v>
      </c>
      <c r="L32" s="30" t="s">
        <v>159</v>
      </c>
      <c r="M32" s="164">
        <v>3.7003166970959248E-2</v>
      </c>
      <c r="N32" s="165">
        <v>5.645110227862677E-2</v>
      </c>
      <c r="O32" s="166">
        <v>0.4417060616805335</v>
      </c>
      <c r="P32" s="166">
        <v>0.60410740422310849</v>
      </c>
      <c r="Q32" s="167">
        <v>1.9214603777606647</v>
      </c>
      <c r="R32" s="167">
        <v>1.6175437468728497</v>
      </c>
      <c r="S32" s="166">
        <v>0.60041297510775449</v>
      </c>
      <c r="T32" s="123">
        <v>5.2786848348944968</v>
      </c>
      <c r="U32" s="152">
        <f t="shared" si="3"/>
        <v>47.111610801288798</v>
      </c>
      <c r="V32" s="117" t="s">
        <v>445</v>
      </c>
      <c r="W32" s="168">
        <v>1.2999999999999999E-2</v>
      </c>
      <c r="X32" s="168">
        <v>1.2E-2</v>
      </c>
      <c r="Y32" s="168">
        <v>1.2E-2</v>
      </c>
      <c r="Z32" s="117" t="s">
        <v>445</v>
      </c>
      <c r="AA32" s="117" t="s">
        <v>445</v>
      </c>
      <c r="AB32" s="117" t="s">
        <v>445</v>
      </c>
      <c r="AC32" s="118" t="s">
        <v>446</v>
      </c>
      <c r="AD32" s="117">
        <v>1.3000000000000005E-2</v>
      </c>
      <c r="AE32" s="152">
        <f t="shared" si="2"/>
        <v>3.7000000000000005E-2</v>
      </c>
      <c r="AF32" s="119">
        <v>-1E-3</v>
      </c>
      <c r="AG32" s="154" t="s">
        <v>158</v>
      </c>
      <c r="AH32" s="266">
        <v>1.9703846772895544</v>
      </c>
      <c r="AI32" s="264">
        <v>-0.15</v>
      </c>
      <c r="AJ32" s="259" t="s">
        <v>158</v>
      </c>
      <c r="AK32" s="265">
        <v>-0.1</v>
      </c>
      <c r="AL32" s="264">
        <v>-0.2</v>
      </c>
      <c r="AM32" s="264">
        <v>-0.2</v>
      </c>
      <c r="AN32" s="265">
        <v>0.28746177370030579</v>
      </c>
      <c r="AO32" s="264">
        <v>-0.1</v>
      </c>
      <c r="AP32" s="260" t="s">
        <v>158</v>
      </c>
      <c r="AQ32" s="268">
        <v>9.2202984525534035E-2</v>
      </c>
      <c r="AR32" s="264">
        <v>-0.1</v>
      </c>
      <c r="AS32" s="166">
        <v>-0.2</v>
      </c>
      <c r="AT32" s="166">
        <v>-0.2</v>
      </c>
      <c r="AU32" s="166">
        <v>-0.15</v>
      </c>
      <c r="AV32" s="166">
        <v>-0.1</v>
      </c>
      <c r="AW32" s="166">
        <v>-0.1</v>
      </c>
      <c r="AX32" s="166"/>
      <c r="AY32" s="166"/>
      <c r="AZ32" s="166"/>
      <c r="BA32" s="166"/>
      <c r="BB32" s="166"/>
      <c r="BC32" s="30" t="s">
        <v>158</v>
      </c>
      <c r="BD32" s="30" t="s">
        <v>158</v>
      </c>
      <c r="BE32" s="30" t="s">
        <v>158</v>
      </c>
      <c r="BF32" s="30" t="s">
        <v>158</v>
      </c>
      <c r="BG32" s="30" t="s">
        <v>158</v>
      </c>
      <c r="BH32" s="30" t="s">
        <v>158</v>
      </c>
      <c r="BI32" s="30" t="s">
        <v>158</v>
      </c>
      <c r="BJ32" s="30" t="s">
        <v>158</v>
      </c>
      <c r="BK32" s="30" t="s">
        <v>158</v>
      </c>
      <c r="BL32" s="30" t="s">
        <v>158</v>
      </c>
      <c r="BM32" s="30" t="s">
        <v>158</v>
      </c>
      <c r="BN32" s="170">
        <v>72</v>
      </c>
      <c r="BO32" s="156" t="s">
        <v>158</v>
      </c>
      <c r="BP32" s="156" t="s">
        <v>158</v>
      </c>
      <c r="BQ32" s="156" t="s">
        <v>158</v>
      </c>
      <c r="BR32" s="156" t="s">
        <v>158</v>
      </c>
      <c r="BS32" s="156" t="s">
        <v>158</v>
      </c>
      <c r="BT32" s="156" t="s">
        <v>158</v>
      </c>
      <c r="BU32" s="156" t="s">
        <v>158</v>
      </c>
      <c r="BV32" s="156" t="s">
        <v>158</v>
      </c>
      <c r="BW32" s="156" t="s">
        <v>158</v>
      </c>
      <c r="BX32" s="156" t="s">
        <v>158</v>
      </c>
      <c r="BY32" s="156" t="s">
        <v>158</v>
      </c>
      <c r="BZ32" s="156" t="s">
        <v>158</v>
      </c>
      <c r="CA32" s="156" t="s">
        <v>158</v>
      </c>
      <c r="CB32" s="156" t="s">
        <v>158</v>
      </c>
      <c r="CC32" s="156" t="s">
        <v>158</v>
      </c>
      <c r="CD32" s="156" t="s">
        <v>158</v>
      </c>
      <c r="CE32" s="156" t="s">
        <v>158</v>
      </c>
      <c r="CF32" s="156" t="s">
        <v>158</v>
      </c>
      <c r="CG32" s="156" t="s">
        <v>158</v>
      </c>
      <c r="CH32" s="156" t="s">
        <v>158</v>
      </c>
      <c r="CI32" s="156" t="s">
        <v>158</v>
      </c>
      <c r="CJ32" s="156" t="s">
        <v>158</v>
      </c>
      <c r="CK32" s="156" t="s">
        <v>158</v>
      </c>
      <c r="CL32" s="156" t="s">
        <v>158</v>
      </c>
      <c r="CM32" s="156" t="s">
        <v>158</v>
      </c>
      <c r="CN32" s="156" t="s">
        <v>158</v>
      </c>
      <c r="CO32" s="156" t="s">
        <v>158</v>
      </c>
      <c r="CP32" s="156" t="s">
        <v>158</v>
      </c>
      <c r="CQ32" s="156" t="s">
        <v>158</v>
      </c>
      <c r="CR32" s="156" t="s">
        <v>158</v>
      </c>
      <c r="CS32" s="156" t="s">
        <v>158</v>
      </c>
      <c r="CT32" s="156" t="s">
        <v>158</v>
      </c>
      <c r="CU32" s="156" t="s">
        <v>158</v>
      </c>
      <c r="CV32" s="156" t="s">
        <v>158</v>
      </c>
      <c r="CW32" s="156" t="s">
        <v>158</v>
      </c>
      <c r="CX32" s="156" t="s">
        <v>158</v>
      </c>
      <c r="CY32" s="157" t="s">
        <v>158</v>
      </c>
      <c r="CZ32" s="171"/>
      <c r="DA32" s="121"/>
      <c r="DB32" s="121"/>
      <c r="DC32" s="121"/>
      <c r="DD32" s="121"/>
      <c r="DE32" s="121"/>
      <c r="DF32" s="121"/>
      <c r="DG32" s="121"/>
      <c r="DH32" s="122"/>
    </row>
    <row r="33" spans="1:112" s="116" customFormat="1" hidden="1" x14ac:dyDescent="0.2">
      <c r="A33" s="129" t="s">
        <v>170</v>
      </c>
      <c r="B33" s="129" t="s">
        <v>170</v>
      </c>
      <c r="C33" s="148" t="s">
        <v>20</v>
      </c>
      <c r="D33" s="161"/>
      <c r="E33" s="129"/>
      <c r="F33" s="129"/>
      <c r="G33" s="162">
        <v>44816</v>
      </c>
      <c r="H33" s="134" t="s">
        <v>172</v>
      </c>
      <c r="I33" s="139" t="s">
        <v>33</v>
      </c>
      <c r="J33" s="139" t="s">
        <v>173</v>
      </c>
      <c r="K33" s="163">
        <v>0.38802660753881701</v>
      </c>
      <c r="L33" s="30" t="s">
        <v>159</v>
      </c>
      <c r="M33" s="164">
        <v>2.8269462586266881E-2</v>
      </c>
      <c r="N33" s="166">
        <v>0.30415151397952372</v>
      </c>
      <c r="O33" s="167">
        <v>2.2409840840601105</v>
      </c>
      <c r="P33" s="167">
        <v>3.2485254661708236</v>
      </c>
      <c r="Q33" s="167">
        <v>7.8120851459998004</v>
      </c>
      <c r="R33" s="167">
        <v>6.3493967362662618</v>
      </c>
      <c r="S33" s="167">
        <v>2.0655349451512612</v>
      </c>
      <c r="T33" s="120">
        <v>22.048947354214047</v>
      </c>
      <c r="U33" s="152">
        <f t="shared" si="3"/>
        <v>242.2568649002051</v>
      </c>
      <c r="V33" s="117" t="s">
        <v>435</v>
      </c>
      <c r="W33" s="117">
        <v>2.7E-2</v>
      </c>
      <c r="X33" s="117">
        <v>2.3E-2</v>
      </c>
      <c r="Y33" s="168">
        <v>1.7999999999999999E-2</v>
      </c>
      <c r="Z33" s="117" t="s">
        <v>435</v>
      </c>
      <c r="AA33" s="168">
        <v>1.0999999999999999E-2</v>
      </c>
      <c r="AB33" s="117" t="s">
        <v>435</v>
      </c>
      <c r="AC33" s="118" t="s">
        <v>447</v>
      </c>
      <c r="AD33" s="118">
        <v>7.9000000000000001E-2</v>
      </c>
      <c r="AE33" s="152">
        <f t="shared" si="2"/>
        <v>7.9000000000000001E-2</v>
      </c>
      <c r="AF33" s="119">
        <v>-1E-3</v>
      </c>
      <c r="AG33" s="154" t="s">
        <v>158</v>
      </c>
      <c r="AH33" s="269">
        <v>3.5453624010032803</v>
      </c>
      <c r="AI33" s="264">
        <v>-0.15</v>
      </c>
      <c r="AJ33" s="259" t="s">
        <v>158</v>
      </c>
      <c r="AK33" s="265">
        <v>-0.1</v>
      </c>
      <c r="AL33" s="264">
        <v>-0.2</v>
      </c>
      <c r="AM33" s="264">
        <v>-0.2</v>
      </c>
      <c r="AN33" s="265">
        <v>0.34599460564517504</v>
      </c>
      <c r="AO33" s="268">
        <v>7.7977632324898197E-2</v>
      </c>
      <c r="AP33" s="260" t="s">
        <v>158</v>
      </c>
      <c r="AQ33" s="265">
        <v>0.32720026112800416</v>
      </c>
      <c r="AR33" s="264">
        <v>-0.1</v>
      </c>
      <c r="AS33" s="166">
        <v>0.31685821780137086</v>
      </c>
      <c r="AT33" s="174">
        <v>9.4469927330825113E-2</v>
      </c>
      <c r="AU33" s="174">
        <v>0.14415296603617994</v>
      </c>
      <c r="AV33" s="166">
        <v>-0.1</v>
      </c>
      <c r="AW33" s="166">
        <v>-0.1</v>
      </c>
      <c r="AX33" s="166"/>
      <c r="AY33" s="166"/>
      <c r="AZ33" s="166"/>
      <c r="BA33" s="166"/>
      <c r="BB33" s="166"/>
      <c r="BC33" s="30" t="s">
        <v>158</v>
      </c>
      <c r="BD33" s="30" t="s">
        <v>158</v>
      </c>
      <c r="BE33" s="30" t="s">
        <v>158</v>
      </c>
      <c r="BF33" s="30" t="s">
        <v>158</v>
      </c>
      <c r="BG33" s="30" t="s">
        <v>158</v>
      </c>
      <c r="BH33" s="30" t="s">
        <v>158</v>
      </c>
      <c r="BI33" s="30" t="s">
        <v>158</v>
      </c>
      <c r="BJ33" s="30" t="s">
        <v>158</v>
      </c>
      <c r="BK33" s="30" t="s">
        <v>158</v>
      </c>
      <c r="BL33" s="30" t="s">
        <v>158</v>
      </c>
      <c r="BM33" s="30" t="s">
        <v>158</v>
      </c>
      <c r="BN33" s="170">
        <v>160</v>
      </c>
      <c r="BO33" s="156" t="s">
        <v>158</v>
      </c>
      <c r="BP33" s="156" t="s">
        <v>158</v>
      </c>
      <c r="BQ33" s="156" t="s">
        <v>158</v>
      </c>
      <c r="BR33" s="156" t="s">
        <v>158</v>
      </c>
      <c r="BS33" s="156" t="s">
        <v>158</v>
      </c>
      <c r="BT33" s="156" t="s">
        <v>158</v>
      </c>
      <c r="BU33" s="156" t="s">
        <v>158</v>
      </c>
      <c r="BV33" s="156" t="s">
        <v>158</v>
      </c>
      <c r="BW33" s="156" t="s">
        <v>158</v>
      </c>
      <c r="BX33" s="156" t="s">
        <v>158</v>
      </c>
      <c r="BY33" s="156" t="s">
        <v>158</v>
      </c>
      <c r="BZ33" s="156" t="s">
        <v>158</v>
      </c>
      <c r="CA33" s="156" t="s">
        <v>158</v>
      </c>
      <c r="CB33" s="156" t="s">
        <v>158</v>
      </c>
      <c r="CC33" s="156" t="s">
        <v>158</v>
      </c>
      <c r="CD33" s="156" t="s">
        <v>158</v>
      </c>
      <c r="CE33" s="156" t="s">
        <v>158</v>
      </c>
      <c r="CF33" s="156" t="s">
        <v>158</v>
      </c>
      <c r="CG33" s="156" t="s">
        <v>158</v>
      </c>
      <c r="CH33" s="156" t="s">
        <v>158</v>
      </c>
      <c r="CI33" s="156" t="s">
        <v>158</v>
      </c>
      <c r="CJ33" s="156" t="s">
        <v>158</v>
      </c>
      <c r="CK33" s="156" t="s">
        <v>158</v>
      </c>
      <c r="CL33" s="156" t="s">
        <v>158</v>
      </c>
      <c r="CM33" s="156" t="s">
        <v>158</v>
      </c>
      <c r="CN33" s="156" t="s">
        <v>158</v>
      </c>
      <c r="CO33" s="156" t="s">
        <v>158</v>
      </c>
      <c r="CP33" s="156" t="s">
        <v>158</v>
      </c>
      <c r="CQ33" s="156" t="s">
        <v>158</v>
      </c>
      <c r="CR33" s="156" t="s">
        <v>158</v>
      </c>
      <c r="CS33" s="156" t="s">
        <v>158</v>
      </c>
      <c r="CT33" s="156" t="s">
        <v>158</v>
      </c>
      <c r="CU33" s="156" t="s">
        <v>158</v>
      </c>
      <c r="CV33" s="156" t="s">
        <v>158</v>
      </c>
      <c r="CW33" s="156" t="s">
        <v>158</v>
      </c>
      <c r="CX33" s="156" t="s">
        <v>158</v>
      </c>
      <c r="CY33" s="157" t="s">
        <v>158</v>
      </c>
      <c r="CZ33" s="171"/>
      <c r="DA33" s="121"/>
      <c r="DB33" s="121"/>
      <c r="DC33" s="121"/>
      <c r="DD33" s="121"/>
      <c r="DE33" s="121"/>
      <c r="DF33" s="121"/>
      <c r="DG33" s="121"/>
      <c r="DH33" s="122"/>
    </row>
    <row r="34" spans="1:112" s="116" customFormat="1" hidden="1" x14ac:dyDescent="0.2">
      <c r="A34" s="130" t="s">
        <v>6</v>
      </c>
      <c r="B34" s="130" t="s">
        <v>6</v>
      </c>
      <c r="C34" s="148" t="s">
        <v>20</v>
      </c>
      <c r="D34" s="161"/>
      <c r="E34" s="130"/>
      <c r="F34" s="130"/>
      <c r="G34" s="162">
        <v>44806</v>
      </c>
      <c r="H34" s="134" t="s">
        <v>172</v>
      </c>
      <c r="I34" s="139" t="s">
        <v>33</v>
      </c>
      <c r="J34" s="139" t="s">
        <v>173</v>
      </c>
      <c r="K34" s="163">
        <v>0.41593012373920302</v>
      </c>
      <c r="L34" s="30" t="s">
        <v>159</v>
      </c>
      <c r="M34" s="175">
        <v>3.2471498371335505E-2</v>
      </c>
      <c r="N34" s="124">
        <v>0.18539291530944624</v>
      </c>
      <c r="O34" s="125">
        <v>1.0699206026058632</v>
      </c>
      <c r="P34" s="125">
        <v>1.5063925081433225</v>
      </c>
      <c r="Q34" s="125">
        <v>2.9939332247557005</v>
      </c>
      <c r="R34" s="125">
        <v>2.2794075732899026</v>
      </c>
      <c r="S34" s="124">
        <v>0.68722516286644952</v>
      </c>
      <c r="T34" s="125">
        <f t="shared" ref="T34:T44" si="4">SUM(M34:S34)</f>
        <v>8.7547434853420203</v>
      </c>
      <c r="U34" s="152">
        <f t="shared" si="3"/>
        <v>87.13423918465169</v>
      </c>
      <c r="V34" s="176" t="s">
        <v>448</v>
      </c>
      <c r="W34" s="176">
        <v>3.6079087102965257E-2</v>
      </c>
      <c r="X34" s="176">
        <v>2.446002149037238E-2</v>
      </c>
      <c r="Y34" s="176">
        <v>2.7910935815081295E-2</v>
      </c>
      <c r="Z34" s="176" t="s">
        <v>448</v>
      </c>
      <c r="AA34" s="176" t="s">
        <v>448</v>
      </c>
      <c r="AB34" s="176" t="s">
        <v>448</v>
      </c>
      <c r="AC34" s="173" t="s">
        <v>449</v>
      </c>
      <c r="AD34" s="127">
        <v>8.8450044408418929E-2</v>
      </c>
      <c r="AE34" s="152">
        <f t="shared" si="2"/>
        <v>8.8450044408418929E-2</v>
      </c>
      <c r="AF34" s="119">
        <v>-1E-3</v>
      </c>
      <c r="AG34" s="154" t="s">
        <v>158</v>
      </c>
      <c r="AH34" s="269">
        <v>5.1397646375127133</v>
      </c>
      <c r="AI34" s="264">
        <v>-0.1</v>
      </c>
      <c r="AJ34" s="259" t="s">
        <v>158</v>
      </c>
      <c r="AK34" s="265">
        <v>-0.1</v>
      </c>
      <c r="AL34" s="264">
        <v>-0.1</v>
      </c>
      <c r="AM34" s="265">
        <v>0.11199089544287862</v>
      </c>
      <c r="AN34" s="270">
        <v>0.82059663906242442</v>
      </c>
      <c r="AO34" s="270">
        <v>0.19352026732529426</v>
      </c>
      <c r="AP34" s="260" t="s">
        <v>158</v>
      </c>
      <c r="AQ34" s="270">
        <v>0.19531212165238027</v>
      </c>
      <c r="AR34" s="264">
        <v>-0.1</v>
      </c>
      <c r="AS34" s="166">
        <v>0.11039275509709914</v>
      </c>
      <c r="AT34" s="174">
        <v>3.0848951523076193E-2</v>
      </c>
      <c r="AU34" s="166">
        <v>-0.1</v>
      </c>
      <c r="AV34" s="166">
        <v>-0.1</v>
      </c>
      <c r="AW34" s="166">
        <v>-0.1</v>
      </c>
      <c r="AX34" s="166"/>
      <c r="AY34" s="166"/>
      <c r="AZ34" s="166"/>
      <c r="BA34" s="166"/>
      <c r="BB34" s="166"/>
      <c r="BC34" s="30" t="s">
        <v>158</v>
      </c>
      <c r="BD34" s="30" t="s">
        <v>158</v>
      </c>
      <c r="BE34" s="30" t="s">
        <v>158</v>
      </c>
      <c r="BF34" s="30" t="s">
        <v>158</v>
      </c>
      <c r="BG34" s="30" t="s">
        <v>158</v>
      </c>
      <c r="BH34" s="30" t="s">
        <v>158</v>
      </c>
      <c r="BI34" s="30" t="s">
        <v>158</v>
      </c>
      <c r="BJ34" s="30" t="s">
        <v>158</v>
      </c>
      <c r="BK34" s="30" t="s">
        <v>158</v>
      </c>
      <c r="BL34" s="30" t="s">
        <v>158</v>
      </c>
      <c r="BM34" s="30" t="s">
        <v>158</v>
      </c>
      <c r="BN34" s="170">
        <v>49</v>
      </c>
      <c r="BO34" s="156" t="s">
        <v>158</v>
      </c>
      <c r="BP34" s="156" t="s">
        <v>158</v>
      </c>
      <c r="BQ34" s="156" t="s">
        <v>158</v>
      </c>
      <c r="BR34" s="156" t="s">
        <v>158</v>
      </c>
      <c r="BS34" s="156" t="s">
        <v>158</v>
      </c>
      <c r="BT34" s="156" t="s">
        <v>158</v>
      </c>
      <c r="BU34" s="156" t="s">
        <v>158</v>
      </c>
      <c r="BV34" s="156" t="s">
        <v>158</v>
      </c>
      <c r="BW34" s="156" t="s">
        <v>158</v>
      </c>
      <c r="BX34" s="156" t="s">
        <v>158</v>
      </c>
      <c r="BY34" s="156" t="s">
        <v>158</v>
      </c>
      <c r="BZ34" s="156" t="s">
        <v>158</v>
      </c>
      <c r="CA34" s="156" t="s">
        <v>158</v>
      </c>
      <c r="CB34" s="156" t="s">
        <v>158</v>
      </c>
      <c r="CC34" s="156" t="s">
        <v>158</v>
      </c>
      <c r="CD34" s="156" t="s">
        <v>158</v>
      </c>
      <c r="CE34" s="156" t="s">
        <v>158</v>
      </c>
      <c r="CF34" s="156" t="s">
        <v>158</v>
      </c>
      <c r="CG34" s="156" t="s">
        <v>158</v>
      </c>
      <c r="CH34" s="156" t="s">
        <v>158</v>
      </c>
      <c r="CI34" s="156" t="s">
        <v>158</v>
      </c>
      <c r="CJ34" s="156" t="s">
        <v>158</v>
      </c>
      <c r="CK34" s="156" t="s">
        <v>158</v>
      </c>
      <c r="CL34" s="156" t="s">
        <v>158</v>
      </c>
      <c r="CM34" s="156" t="s">
        <v>158</v>
      </c>
      <c r="CN34" s="156" t="s">
        <v>158</v>
      </c>
      <c r="CO34" s="156" t="s">
        <v>158</v>
      </c>
      <c r="CP34" s="156" t="s">
        <v>158</v>
      </c>
      <c r="CQ34" s="156" t="s">
        <v>158</v>
      </c>
      <c r="CR34" s="156" t="s">
        <v>158</v>
      </c>
      <c r="CS34" s="156" t="s">
        <v>158</v>
      </c>
      <c r="CT34" s="156" t="s">
        <v>158</v>
      </c>
      <c r="CU34" s="156" t="s">
        <v>158</v>
      </c>
      <c r="CV34" s="156" t="s">
        <v>158</v>
      </c>
      <c r="CW34" s="156" t="s">
        <v>158</v>
      </c>
      <c r="CX34" s="156" t="s">
        <v>158</v>
      </c>
      <c r="CY34" s="157" t="s">
        <v>158</v>
      </c>
      <c r="CZ34" s="171"/>
      <c r="DA34" s="121"/>
      <c r="DB34" s="121"/>
      <c r="DC34" s="121"/>
      <c r="DD34" s="121"/>
      <c r="DE34" s="121"/>
      <c r="DF34" s="121"/>
      <c r="DG34" s="121"/>
      <c r="DH34" s="122"/>
    </row>
    <row r="35" spans="1:112" s="116" customFormat="1" hidden="1" x14ac:dyDescent="0.2">
      <c r="A35" s="131" t="s">
        <v>27</v>
      </c>
      <c r="B35" s="131" t="s">
        <v>27</v>
      </c>
      <c r="C35" s="148" t="s">
        <v>20</v>
      </c>
      <c r="D35" s="161"/>
      <c r="E35" s="131"/>
      <c r="F35" s="131"/>
      <c r="G35" s="162">
        <v>44834</v>
      </c>
      <c r="H35" s="134" t="s">
        <v>172</v>
      </c>
      <c r="I35" s="139" t="s">
        <v>33</v>
      </c>
      <c r="J35" s="139" t="s">
        <v>173</v>
      </c>
      <c r="K35" s="163">
        <v>0.51582886618794299</v>
      </c>
      <c r="L35" s="30" t="s">
        <v>159</v>
      </c>
      <c r="M35" s="126">
        <v>5.178982479425856E-2</v>
      </c>
      <c r="N35" s="124">
        <v>0.13174296698896459</v>
      </c>
      <c r="O35" s="124">
        <v>0.28788119387437938</v>
      </c>
      <c r="P35" s="124">
        <v>0.33433289594901477</v>
      </c>
      <c r="Q35" s="124">
        <v>0.87752754933174293</v>
      </c>
      <c r="R35" s="124">
        <v>0.6998270551042638</v>
      </c>
      <c r="S35" s="124">
        <v>0.19209611534401311</v>
      </c>
      <c r="T35" s="125">
        <f t="shared" si="4"/>
        <v>2.5751976013866371</v>
      </c>
      <c r="U35" s="152">
        <f t="shared" si="3"/>
        <v>21.72100915947151</v>
      </c>
      <c r="V35" s="176" t="s">
        <v>450</v>
      </c>
      <c r="W35" s="176">
        <v>1.5841208755653913E-2</v>
      </c>
      <c r="X35" s="176">
        <v>1.6775334087682645E-2</v>
      </c>
      <c r="Y35" s="177">
        <v>1.8881495558903508E-2</v>
      </c>
      <c r="Z35" s="176" t="s">
        <v>450</v>
      </c>
      <c r="AA35" s="176" t="s">
        <v>450</v>
      </c>
      <c r="AB35" s="176" t="s">
        <v>450</v>
      </c>
      <c r="AC35" s="173" t="s">
        <v>451</v>
      </c>
      <c r="AD35" s="127">
        <v>5.2467198215785889E-2</v>
      </c>
      <c r="AE35" s="152">
        <f t="shared" si="2"/>
        <v>5.1498038402240071E-2</v>
      </c>
      <c r="AF35" s="119">
        <v>-1E-3</v>
      </c>
      <c r="AG35" s="154" t="s">
        <v>158</v>
      </c>
      <c r="AH35" s="269">
        <v>4.3197291133181572</v>
      </c>
      <c r="AI35" s="264">
        <v>-0.1</v>
      </c>
      <c r="AJ35" s="259" t="s">
        <v>158</v>
      </c>
      <c r="AK35" s="264">
        <v>-0.1</v>
      </c>
      <c r="AL35" s="264">
        <v>-0.1</v>
      </c>
      <c r="AM35" s="264">
        <v>-0.1</v>
      </c>
      <c r="AN35" s="270">
        <v>0.20911354210841138</v>
      </c>
      <c r="AO35" s="264">
        <v>-0.1</v>
      </c>
      <c r="AP35" s="260" t="s">
        <v>158</v>
      </c>
      <c r="AQ35" s="270">
        <v>0.14859861926664755</v>
      </c>
      <c r="AR35" s="264">
        <v>-0.1</v>
      </c>
      <c r="AS35" s="169">
        <v>-0.1</v>
      </c>
      <c r="AT35" s="169">
        <v>-0.1</v>
      </c>
      <c r="AU35" s="169">
        <v>-0.1</v>
      </c>
      <c r="AV35" s="169">
        <v>-0.1</v>
      </c>
      <c r="AW35" s="169">
        <v>-0.1</v>
      </c>
      <c r="AX35" s="169"/>
      <c r="AY35" s="169"/>
      <c r="AZ35" s="169"/>
      <c r="BA35" s="169"/>
      <c r="BB35" s="169"/>
      <c r="BC35" s="30" t="s">
        <v>158</v>
      </c>
      <c r="BD35" s="30" t="s">
        <v>158</v>
      </c>
      <c r="BE35" s="30" t="s">
        <v>158</v>
      </c>
      <c r="BF35" s="30" t="s">
        <v>158</v>
      </c>
      <c r="BG35" s="30" t="s">
        <v>158</v>
      </c>
      <c r="BH35" s="30" t="s">
        <v>158</v>
      </c>
      <c r="BI35" s="30" t="s">
        <v>158</v>
      </c>
      <c r="BJ35" s="30" t="s">
        <v>158</v>
      </c>
      <c r="BK35" s="30" t="s">
        <v>158</v>
      </c>
      <c r="BL35" s="30" t="s">
        <v>158</v>
      </c>
      <c r="BM35" s="30" t="s">
        <v>158</v>
      </c>
      <c r="BN35" s="170">
        <v>87</v>
      </c>
      <c r="BO35" s="156" t="s">
        <v>158</v>
      </c>
      <c r="BP35" s="156" t="s">
        <v>158</v>
      </c>
      <c r="BQ35" s="156" t="s">
        <v>158</v>
      </c>
      <c r="BR35" s="156" t="s">
        <v>158</v>
      </c>
      <c r="BS35" s="156" t="s">
        <v>158</v>
      </c>
      <c r="BT35" s="156" t="s">
        <v>158</v>
      </c>
      <c r="BU35" s="156" t="s">
        <v>158</v>
      </c>
      <c r="BV35" s="156" t="s">
        <v>158</v>
      </c>
      <c r="BW35" s="156" t="s">
        <v>158</v>
      </c>
      <c r="BX35" s="156" t="s">
        <v>158</v>
      </c>
      <c r="BY35" s="156" t="s">
        <v>158</v>
      </c>
      <c r="BZ35" s="156" t="s">
        <v>158</v>
      </c>
      <c r="CA35" s="156" t="s">
        <v>158</v>
      </c>
      <c r="CB35" s="156" t="s">
        <v>158</v>
      </c>
      <c r="CC35" s="156" t="s">
        <v>158</v>
      </c>
      <c r="CD35" s="156" t="s">
        <v>158</v>
      </c>
      <c r="CE35" s="156" t="s">
        <v>158</v>
      </c>
      <c r="CF35" s="156" t="s">
        <v>158</v>
      </c>
      <c r="CG35" s="156" t="s">
        <v>158</v>
      </c>
      <c r="CH35" s="156" t="s">
        <v>158</v>
      </c>
      <c r="CI35" s="156" t="s">
        <v>158</v>
      </c>
      <c r="CJ35" s="156" t="s">
        <v>158</v>
      </c>
      <c r="CK35" s="156" t="s">
        <v>158</v>
      </c>
      <c r="CL35" s="156" t="s">
        <v>158</v>
      </c>
      <c r="CM35" s="156" t="s">
        <v>158</v>
      </c>
      <c r="CN35" s="156" t="s">
        <v>158</v>
      </c>
      <c r="CO35" s="156" t="s">
        <v>158</v>
      </c>
      <c r="CP35" s="156" t="s">
        <v>158</v>
      </c>
      <c r="CQ35" s="156" t="s">
        <v>158</v>
      </c>
      <c r="CR35" s="156" t="s">
        <v>158</v>
      </c>
      <c r="CS35" s="156" t="s">
        <v>158</v>
      </c>
      <c r="CT35" s="156" t="s">
        <v>158</v>
      </c>
      <c r="CU35" s="156" t="s">
        <v>158</v>
      </c>
      <c r="CV35" s="156" t="s">
        <v>158</v>
      </c>
      <c r="CW35" s="156" t="s">
        <v>158</v>
      </c>
      <c r="CX35" s="156" t="s">
        <v>158</v>
      </c>
      <c r="CY35" s="157" t="s">
        <v>158</v>
      </c>
      <c r="CZ35" s="171"/>
      <c r="DA35" s="121"/>
      <c r="DB35" s="121"/>
      <c r="DC35" s="121"/>
      <c r="DD35" s="121"/>
      <c r="DE35" s="121"/>
      <c r="DF35" s="121"/>
      <c r="DG35" s="121"/>
      <c r="DH35" s="122"/>
    </row>
    <row r="36" spans="1:112" s="116" customFormat="1" hidden="1" x14ac:dyDescent="0.2">
      <c r="A36" s="130" t="s">
        <v>81</v>
      </c>
      <c r="B36" s="130" t="s">
        <v>81</v>
      </c>
      <c r="C36" s="148" t="s">
        <v>20</v>
      </c>
      <c r="D36" s="161"/>
      <c r="E36" s="130"/>
      <c r="F36" s="130"/>
      <c r="G36" s="162">
        <v>44813</v>
      </c>
      <c r="H36" s="134" t="s">
        <v>172</v>
      </c>
      <c r="I36" s="139" t="s">
        <v>33</v>
      </c>
      <c r="J36" s="139" t="s">
        <v>173</v>
      </c>
      <c r="K36" s="163">
        <v>0.40243524920026702</v>
      </c>
      <c r="L36" s="30" t="s">
        <v>159</v>
      </c>
      <c r="M36" s="126">
        <v>4.3653949489521768E-2</v>
      </c>
      <c r="N36" s="124">
        <v>0.1193927995701236</v>
      </c>
      <c r="O36" s="124">
        <v>0.47203116603976353</v>
      </c>
      <c r="P36" s="124">
        <v>0.45265986029016658</v>
      </c>
      <c r="Q36" s="125">
        <v>1.592745835572273</v>
      </c>
      <c r="R36" s="125">
        <v>1.3136378291241269</v>
      </c>
      <c r="S36" s="124">
        <v>0.53753358409457286</v>
      </c>
      <c r="T36" s="125">
        <f t="shared" si="4"/>
        <v>4.531655024180548</v>
      </c>
      <c r="U36" s="152">
        <f t="shared" si="3"/>
        <v>50.678900170851072</v>
      </c>
      <c r="V36" s="176" t="s">
        <v>452</v>
      </c>
      <c r="W36" s="176">
        <v>6.1872480709374872E-2</v>
      </c>
      <c r="X36" s="176">
        <v>2.955590405494762E-2</v>
      </c>
      <c r="Y36" s="176">
        <v>5.6565942888473095E-2</v>
      </c>
      <c r="Z36" s="176" t="s">
        <v>452</v>
      </c>
      <c r="AA36" s="176">
        <v>2.2276320687443701E-2</v>
      </c>
      <c r="AB36" s="177">
        <v>1.8843948826419214E-2</v>
      </c>
      <c r="AC36" s="173" t="s">
        <v>453</v>
      </c>
      <c r="AD36" s="173">
        <v>0.18911459716665849</v>
      </c>
      <c r="AE36" s="152">
        <f t="shared" si="2"/>
        <v>0.18911459716665849</v>
      </c>
      <c r="AF36" s="127">
        <v>2.5577646426652337E-2</v>
      </c>
      <c r="AG36" s="154">
        <f t="shared" ref="AG36:AG44" si="5">AF36*(5/K36)</f>
        <v>0.31778586092397604</v>
      </c>
      <c r="AH36" s="269">
        <v>5.9361627744371406</v>
      </c>
      <c r="AI36" s="264">
        <v>-0.1</v>
      </c>
      <c r="AJ36" s="259" t="s">
        <v>158</v>
      </c>
      <c r="AK36" s="265">
        <v>-0.1</v>
      </c>
      <c r="AL36" s="264">
        <v>-0.1</v>
      </c>
      <c r="AM36" s="264">
        <v>-0.1</v>
      </c>
      <c r="AN36" s="270">
        <v>0.72467720132382407</v>
      </c>
      <c r="AO36" s="270">
        <v>0.89344147671654306</v>
      </c>
      <c r="AP36" s="260" t="s">
        <v>158</v>
      </c>
      <c r="AQ36" s="270">
        <v>0.68477602200158472</v>
      </c>
      <c r="AR36" s="264">
        <v>-0.1</v>
      </c>
      <c r="AS36" s="125">
        <v>1.4016687642753924</v>
      </c>
      <c r="AT36" s="124">
        <v>0.18785251479979487</v>
      </c>
      <c r="AU36" s="124">
        <v>0.19304992308768004</v>
      </c>
      <c r="AV36" s="124">
        <v>-0.1</v>
      </c>
      <c r="AW36" s="124">
        <v>0.10117466088658927</v>
      </c>
      <c r="AX36" s="124"/>
      <c r="AY36" s="124"/>
      <c r="AZ36" s="124"/>
      <c r="BA36" s="124"/>
      <c r="BB36" s="124"/>
      <c r="BC36" s="30" t="s">
        <v>158</v>
      </c>
      <c r="BD36" s="30" t="s">
        <v>158</v>
      </c>
      <c r="BE36" s="30" t="s">
        <v>158</v>
      </c>
      <c r="BF36" s="30" t="s">
        <v>158</v>
      </c>
      <c r="BG36" s="30" t="s">
        <v>158</v>
      </c>
      <c r="BH36" s="30" t="s">
        <v>158</v>
      </c>
      <c r="BI36" s="30" t="s">
        <v>158</v>
      </c>
      <c r="BJ36" s="30" t="s">
        <v>158</v>
      </c>
      <c r="BK36" s="30" t="s">
        <v>158</v>
      </c>
      <c r="BL36" s="30" t="s">
        <v>158</v>
      </c>
      <c r="BM36" s="30" t="s">
        <v>158</v>
      </c>
      <c r="BN36" s="170">
        <v>42</v>
      </c>
      <c r="BO36" s="156" t="s">
        <v>158</v>
      </c>
      <c r="BP36" s="156" t="s">
        <v>158</v>
      </c>
      <c r="BQ36" s="156" t="s">
        <v>158</v>
      </c>
      <c r="BR36" s="156" t="s">
        <v>158</v>
      </c>
      <c r="BS36" s="156" t="s">
        <v>158</v>
      </c>
      <c r="BT36" s="156" t="s">
        <v>158</v>
      </c>
      <c r="BU36" s="156" t="s">
        <v>158</v>
      </c>
      <c r="BV36" s="156" t="s">
        <v>158</v>
      </c>
      <c r="BW36" s="156" t="s">
        <v>158</v>
      </c>
      <c r="BX36" s="156" t="s">
        <v>158</v>
      </c>
      <c r="BY36" s="156" t="s">
        <v>158</v>
      </c>
      <c r="BZ36" s="156" t="s">
        <v>158</v>
      </c>
      <c r="CA36" s="156" t="s">
        <v>158</v>
      </c>
      <c r="CB36" s="156" t="s">
        <v>158</v>
      </c>
      <c r="CC36" s="156" t="s">
        <v>158</v>
      </c>
      <c r="CD36" s="156" t="s">
        <v>158</v>
      </c>
      <c r="CE36" s="156" t="s">
        <v>158</v>
      </c>
      <c r="CF36" s="156" t="s">
        <v>158</v>
      </c>
      <c r="CG36" s="156" t="s">
        <v>158</v>
      </c>
      <c r="CH36" s="156" t="s">
        <v>158</v>
      </c>
      <c r="CI36" s="156" t="s">
        <v>158</v>
      </c>
      <c r="CJ36" s="156" t="s">
        <v>158</v>
      </c>
      <c r="CK36" s="156" t="s">
        <v>158</v>
      </c>
      <c r="CL36" s="156" t="s">
        <v>158</v>
      </c>
      <c r="CM36" s="156" t="s">
        <v>158</v>
      </c>
      <c r="CN36" s="156" t="s">
        <v>158</v>
      </c>
      <c r="CO36" s="156" t="s">
        <v>158</v>
      </c>
      <c r="CP36" s="156" t="s">
        <v>158</v>
      </c>
      <c r="CQ36" s="156" t="s">
        <v>158</v>
      </c>
      <c r="CR36" s="156" t="s">
        <v>158</v>
      </c>
      <c r="CS36" s="156" t="s">
        <v>158</v>
      </c>
      <c r="CT36" s="156" t="s">
        <v>158</v>
      </c>
      <c r="CU36" s="156" t="s">
        <v>158</v>
      </c>
      <c r="CV36" s="156" t="s">
        <v>158</v>
      </c>
      <c r="CW36" s="156" t="s">
        <v>158</v>
      </c>
      <c r="CX36" s="156" t="s">
        <v>158</v>
      </c>
      <c r="CY36" s="157" t="s">
        <v>158</v>
      </c>
      <c r="CZ36" s="171"/>
      <c r="DA36" s="121"/>
      <c r="DB36" s="121"/>
      <c r="DC36" s="121"/>
      <c r="DD36" s="121"/>
      <c r="DE36" s="121"/>
      <c r="DF36" s="121"/>
      <c r="DG36" s="121"/>
      <c r="DH36" s="122"/>
    </row>
    <row r="37" spans="1:112" s="116" customFormat="1" hidden="1" x14ac:dyDescent="0.2">
      <c r="A37" s="132" t="s">
        <v>8</v>
      </c>
      <c r="B37" s="132" t="s">
        <v>8</v>
      </c>
      <c r="C37" s="148" t="s">
        <v>20</v>
      </c>
      <c r="D37" s="161"/>
      <c r="E37" s="132"/>
      <c r="F37" s="132"/>
      <c r="G37" s="162">
        <v>44820</v>
      </c>
      <c r="H37" s="134" t="s">
        <v>172</v>
      </c>
      <c r="I37" s="139" t="s">
        <v>33</v>
      </c>
      <c r="J37" s="139" t="s">
        <v>173</v>
      </c>
      <c r="K37" s="163">
        <v>0.39646233607808801</v>
      </c>
      <c r="L37" s="30" t="s">
        <v>159</v>
      </c>
      <c r="M37" s="175">
        <v>2.0055607043558854E-2</v>
      </c>
      <c r="N37" s="126">
        <v>5.1918443002780361E-2</v>
      </c>
      <c r="O37" s="124">
        <v>0.5350602409638554</v>
      </c>
      <c r="P37" s="124">
        <v>0.52607970342910104</v>
      </c>
      <c r="Q37" s="125">
        <v>2.7958850787766454</v>
      </c>
      <c r="R37" s="125">
        <v>1.9546617238183506</v>
      </c>
      <c r="S37" s="124">
        <v>0.94974976830398528</v>
      </c>
      <c r="T37" s="125">
        <f t="shared" si="4"/>
        <v>6.8334105653382773</v>
      </c>
      <c r="U37" s="152">
        <f t="shared" si="3"/>
        <v>79.545145754613017</v>
      </c>
      <c r="V37" s="176" t="s">
        <v>454</v>
      </c>
      <c r="W37" s="176">
        <v>2.6540667613952729E-2</v>
      </c>
      <c r="X37" s="176" t="s">
        <v>455</v>
      </c>
      <c r="Y37" s="176">
        <v>1.3718534759657274E-2</v>
      </c>
      <c r="Z37" s="176" t="s">
        <v>454</v>
      </c>
      <c r="AA37" s="177">
        <v>1.0654376932300475E-2</v>
      </c>
      <c r="AB37" s="176" t="s">
        <v>454</v>
      </c>
      <c r="AC37" s="173" t="s">
        <v>456</v>
      </c>
      <c r="AD37" s="127">
        <v>5.0913579305910478E-2</v>
      </c>
      <c r="AE37" s="152">
        <f t="shared" si="2"/>
        <v>5.0913579305910478E-2</v>
      </c>
      <c r="AF37" s="119">
        <v>-1E-3</v>
      </c>
      <c r="AG37" s="154" t="s">
        <v>158</v>
      </c>
      <c r="AH37" s="271">
        <v>20.813019390581722</v>
      </c>
      <c r="AI37" s="264">
        <v>-0.1</v>
      </c>
      <c r="AJ37" s="259" t="s">
        <v>158</v>
      </c>
      <c r="AK37" s="265">
        <v>-0.1</v>
      </c>
      <c r="AL37" s="264">
        <v>-0.1</v>
      </c>
      <c r="AM37" s="270">
        <v>0.17539845035930793</v>
      </c>
      <c r="AN37" s="269">
        <v>3.0304307679955045</v>
      </c>
      <c r="AO37" s="270">
        <v>0.5935806335059618</v>
      </c>
      <c r="AP37" s="260" t="s">
        <v>158</v>
      </c>
      <c r="AQ37" s="270">
        <v>0.80173832751214436</v>
      </c>
      <c r="AR37" s="264">
        <v>-0.1</v>
      </c>
      <c r="AS37" s="124">
        <v>0.50744710747119526</v>
      </c>
      <c r="AT37" s="124">
        <v>0.11734714360271392</v>
      </c>
      <c r="AU37" s="124">
        <v>-0.1</v>
      </c>
      <c r="AV37" s="124">
        <v>-0.1</v>
      </c>
      <c r="AW37" s="124">
        <v>-0.1</v>
      </c>
      <c r="AX37" s="124"/>
      <c r="AY37" s="124"/>
      <c r="AZ37" s="124"/>
      <c r="BA37" s="124"/>
      <c r="BB37" s="124"/>
      <c r="BC37" s="30" t="s">
        <v>158</v>
      </c>
      <c r="BD37" s="30" t="s">
        <v>158</v>
      </c>
      <c r="BE37" s="30" t="s">
        <v>158</v>
      </c>
      <c r="BF37" s="30" t="s">
        <v>158</v>
      </c>
      <c r="BG37" s="30" t="s">
        <v>158</v>
      </c>
      <c r="BH37" s="30" t="s">
        <v>158</v>
      </c>
      <c r="BI37" s="30" t="s">
        <v>158</v>
      </c>
      <c r="BJ37" s="30" t="s">
        <v>158</v>
      </c>
      <c r="BK37" s="30" t="s">
        <v>158</v>
      </c>
      <c r="BL37" s="30" t="s">
        <v>158</v>
      </c>
      <c r="BM37" s="30" t="s">
        <v>158</v>
      </c>
      <c r="BN37" s="170">
        <v>64</v>
      </c>
      <c r="BO37" s="156" t="s">
        <v>158</v>
      </c>
      <c r="BP37" s="156" t="s">
        <v>158</v>
      </c>
      <c r="BQ37" s="156" t="s">
        <v>158</v>
      </c>
      <c r="BR37" s="156" t="s">
        <v>158</v>
      </c>
      <c r="BS37" s="156" t="s">
        <v>158</v>
      </c>
      <c r="BT37" s="156" t="s">
        <v>158</v>
      </c>
      <c r="BU37" s="156" t="s">
        <v>158</v>
      </c>
      <c r="BV37" s="156" t="s">
        <v>158</v>
      </c>
      <c r="BW37" s="156" t="s">
        <v>158</v>
      </c>
      <c r="BX37" s="156" t="s">
        <v>158</v>
      </c>
      <c r="BY37" s="156" t="s">
        <v>158</v>
      </c>
      <c r="BZ37" s="156" t="s">
        <v>158</v>
      </c>
      <c r="CA37" s="156" t="s">
        <v>158</v>
      </c>
      <c r="CB37" s="156" t="s">
        <v>158</v>
      </c>
      <c r="CC37" s="156" t="s">
        <v>158</v>
      </c>
      <c r="CD37" s="156" t="s">
        <v>158</v>
      </c>
      <c r="CE37" s="156" t="s">
        <v>158</v>
      </c>
      <c r="CF37" s="156" t="s">
        <v>158</v>
      </c>
      <c r="CG37" s="156" t="s">
        <v>158</v>
      </c>
      <c r="CH37" s="156" t="s">
        <v>158</v>
      </c>
      <c r="CI37" s="156" t="s">
        <v>158</v>
      </c>
      <c r="CJ37" s="156" t="s">
        <v>158</v>
      </c>
      <c r="CK37" s="156" t="s">
        <v>158</v>
      </c>
      <c r="CL37" s="156" t="s">
        <v>158</v>
      </c>
      <c r="CM37" s="156" t="s">
        <v>158</v>
      </c>
      <c r="CN37" s="156" t="s">
        <v>158</v>
      </c>
      <c r="CO37" s="156" t="s">
        <v>158</v>
      </c>
      <c r="CP37" s="156" t="s">
        <v>158</v>
      </c>
      <c r="CQ37" s="156" t="s">
        <v>158</v>
      </c>
      <c r="CR37" s="156" t="s">
        <v>158</v>
      </c>
      <c r="CS37" s="156" t="s">
        <v>158</v>
      </c>
      <c r="CT37" s="156" t="s">
        <v>158</v>
      </c>
      <c r="CU37" s="156" t="s">
        <v>158</v>
      </c>
      <c r="CV37" s="156" t="s">
        <v>158</v>
      </c>
      <c r="CW37" s="156" t="s">
        <v>158</v>
      </c>
      <c r="CX37" s="156" t="s">
        <v>158</v>
      </c>
      <c r="CY37" s="157" t="s">
        <v>158</v>
      </c>
      <c r="CZ37" s="171"/>
      <c r="DA37" s="121"/>
      <c r="DB37" s="121"/>
      <c r="DC37" s="121"/>
      <c r="DD37" s="121"/>
      <c r="DE37" s="121"/>
      <c r="DF37" s="121"/>
      <c r="DG37" s="121"/>
      <c r="DH37" s="122"/>
    </row>
    <row r="38" spans="1:112" s="116" customFormat="1" hidden="1" x14ac:dyDescent="0.2">
      <c r="A38" s="132" t="s">
        <v>22</v>
      </c>
      <c r="B38" s="132" t="s">
        <v>22</v>
      </c>
      <c r="C38" s="148" t="s">
        <v>20</v>
      </c>
      <c r="D38" s="161"/>
      <c r="E38" s="132"/>
      <c r="F38" s="132"/>
      <c r="G38" s="162">
        <v>44830</v>
      </c>
      <c r="H38" s="134" t="s">
        <v>172</v>
      </c>
      <c r="I38" s="139" t="s">
        <v>33</v>
      </c>
      <c r="J38" s="139" t="s">
        <v>173</v>
      </c>
      <c r="K38" s="163">
        <v>0.51059206952743696</v>
      </c>
      <c r="L38" s="30" t="s">
        <v>159</v>
      </c>
      <c r="M38" s="125">
        <v>1.1465076660988074</v>
      </c>
      <c r="N38" s="125">
        <v>2.6542589437819419</v>
      </c>
      <c r="O38" s="128">
        <v>10.303180011357183</v>
      </c>
      <c r="P38" s="125">
        <v>8.1858224493658902</v>
      </c>
      <c r="Q38" s="128">
        <v>25.053161082718152</v>
      </c>
      <c r="R38" s="128">
        <v>19.672932046185878</v>
      </c>
      <c r="S38" s="125">
        <v>7.9159473783834935</v>
      </c>
      <c r="T38" s="128">
        <f t="shared" si="4"/>
        <v>74.931809577891343</v>
      </c>
      <c r="U38" s="152">
        <f t="shared" si="3"/>
        <v>653.61362927454184</v>
      </c>
      <c r="V38" s="176" t="s">
        <v>457</v>
      </c>
      <c r="W38" s="178">
        <v>0.2565892370534773</v>
      </c>
      <c r="X38" s="176">
        <v>9.4798373123809301E-2</v>
      </c>
      <c r="Y38" s="178">
        <v>0.22979497483952299</v>
      </c>
      <c r="Z38" s="176" t="s">
        <v>457</v>
      </c>
      <c r="AA38" s="176">
        <v>4.5591257389560026E-2</v>
      </c>
      <c r="AB38" s="176">
        <v>3.5782643543380316E-2</v>
      </c>
      <c r="AC38" s="173" t="s">
        <v>458</v>
      </c>
      <c r="AD38" s="173">
        <v>0.66255648594974992</v>
      </c>
      <c r="AE38" s="152">
        <f t="shared" si="2"/>
        <v>0.66255648594975003</v>
      </c>
      <c r="AF38" s="127">
        <v>6.53038046564452E-3</v>
      </c>
      <c r="AG38" s="154">
        <f t="shared" si="5"/>
        <v>6.3949098070486252E-2</v>
      </c>
      <c r="AH38" s="269">
        <v>2.3253142059159577</v>
      </c>
      <c r="AI38" s="264">
        <v>-0.1</v>
      </c>
      <c r="AJ38" s="259" t="s">
        <v>158</v>
      </c>
      <c r="AK38" s="265">
        <v>-0.1</v>
      </c>
      <c r="AL38" s="264">
        <v>-0.1</v>
      </c>
      <c r="AM38" s="270">
        <v>0.13518259912826372</v>
      </c>
      <c r="AN38" s="270">
        <v>0.26877829969108374</v>
      </c>
      <c r="AO38" s="264">
        <v>-0.1</v>
      </c>
      <c r="AP38" s="260" t="s">
        <v>158</v>
      </c>
      <c r="AQ38" s="270">
        <v>0.19008928949261561</v>
      </c>
      <c r="AR38" s="264">
        <v>-0.1</v>
      </c>
      <c r="AS38" s="124">
        <v>0.15390800220049933</v>
      </c>
      <c r="AT38" s="124">
        <v>-0.1</v>
      </c>
      <c r="AU38" s="124">
        <v>-0.1</v>
      </c>
      <c r="AV38" s="124">
        <v>-0.1</v>
      </c>
      <c r="AW38" s="124">
        <v>-0.1</v>
      </c>
      <c r="AX38" s="124"/>
      <c r="AY38" s="124"/>
      <c r="AZ38" s="124"/>
      <c r="BA38" s="124"/>
      <c r="BB38" s="124"/>
      <c r="BC38" s="30" t="s">
        <v>158</v>
      </c>
      <c r="BD38" s="30" t="s">
        <v>158</v>
      </c>
      <c r="BE38" s="30" t="s">
        <v>158</v>
      </c>
      <c r="BF38" s="30" t="s">
        <v>158</v>
      </c>
      <c r="BG38" s="30" t="s">
        <v>158</v>
      </c>
      <c r="BH38" s="30" t="s">
        <v>158</v>
      </c>
      <c r="BI38" s="30" t="s">
        <v>158</v>
      </c>
      <c r="BJ38" s="30" t="s">
        <v>158</v>
      </c>
      <c r="BK38" s="30" t="s">
        <v>158</v>
      </c>
      <c r="BL38" s="30" t="s">
        <v>158</v>
      </c>
      <c r="BM38" s="30" t="s">
        <v>158</v>
      </c>
      <c r="BN38" s="170">
        <v>38</v>
      </c>
      <c r="BO38" s="156" t="s">
        <v>158</v>
      </c>
      <c r="BP38" s="156" t="s">
        <v>158</v>
      </c>
      <c r="BQ38" s="156" t="s">
        <v>158</v>
      </c>
      <c r="BR38" s="156" t="s">
        <v>158</v>
      </c>
      <c r="BS38" s="156" t="s">
        <v>158</v>
      </c>
      <c r="BT38" s="156" t="s">
        <v>158</v>
      </c>
      <c r="BU38" s="156" t="s">
        <v>158</v>
      </c>
      <c r="BV38" s="156" t="s">
        <v>158</v>
      </c>
      <c r="BW38" s="156" t="s">
        <v>158</v>
      </c>
      <c r="BX38" s="156" t="s">
        <v>158</v>
      </c>
      <c r="BY38" s="156" t="s">
        <v>158</v>
      </c>
      <c r="BZ38" s="156" t="s">
        <v>158</v>
      </c>
      <c r="CA38" s="156" t="s">
        <v>158</v>
      </c>
      <c r="CB38" s="156" t="s">
        <v>158</v>
      </c>
      <c r="CC38" s="156" t="s">
        <v>158</v>
      </c>
      <c r="CD38" s="156" t="s">
        <v>158</v>
      </c>
      <c r="CE38" s="156" t="s">
        <v>158</v>
      </c>
      <c r="CF38" s="156" t="s">
        <v>158</v>
      </c>
      <c r="CG38" s="156" t="s">
        <v>158</v>
      </c>
      <c r="CH38" s="156" t="s">
        <v>158</v>
      </c>
      <c r="CI38" s="156" t="s">
        <v>158</v>
      </c>
      <c r="CJ38" s="156" t="s">
        <v>158</v>
      </c>
      <c r="CK38" s="156" t="s">
        <v>158</v>
      </c>
      <c r="CL38" s="156" t="s">
        <v>158</v>
      </c>
      <c r="CM38" s="156" t="s">
        <v>158</v>
      </c>
      <c r="CN38" s="156" t="s">
        <v>158</v>
      </c>
      <c r="CO38" s="156" t="s">
        <v>158</v>
      </c>
      <c r="CP38" s="156" t="s">
        <v>158</v>
      </c>
      <c r="CQ38" s="156" t="s">
        <v>158</v>
      </c>
      <c r="CR38" s="156" t="s">
        <v>158</v>
      </c>
      <c r="CS38" s="156" t="s">
        <v>158</v>
      </c>
      <c r="CT38" s="156" t="s">
        <v>158</v>
      </c>
      <c r="CU38" s="156" t="s">
        <v>158</v>
      </c>
      <c r="CV38" s="156" t="s">
        <v>158</v>
      </c>
      <c r="CW38" s="156" t="s">
        <v>158</v>
      </c>
      <c r="CX38" s="156" t="s">
        <v>158</v>
      </c>
      <c r="CY38" s="157" t="s">
        <v>158</v>
      </c>
      <c r="CZ38" s="171"/>
      <c r="DA38" s="121"/>
      <c r="DB38" s="121"/>
      <c r="DC38" s="121"/>
      <c r="DD38" s="121"/>
      <c r="DE38" s="121"/>
      <c r="DF38" s="121"/>
      <c r="DG38" s="121"/>
      <c r="DH38" s="122"/>
    </row>
    <row r="39" spans="1:112" s="116" customFormat="1" hidden="1" x14ac:dyDescent="0.2">
      <c r="A39" s="132" t="s">
        <v>28</v>
      </c>
      <c r="B39" s="132" t="s">
        <v>28</v>
      </c>
      <c r="C39" s="148" t="s">
        <v>20</v>
      </c>
      <c r="D39" s="161"/>
      <c r="E39" s="132"/>
      <c r="F39" s="132"/>
      <c r="G39" s="162">
        <v>44833</v>
      </c>
      <c r="H39" s="134" t="s">
        <v>172</v>
      </c>
      <c r="I39" s="139" t="s">
        <v>33</v>
      </c>
      <c r="J39" s="139" t="s">
        <v>173</v>
      </c>
      <c r="K39" s="163">
        <v>0.57667663391711299</v>
      </c>
      <c r="L39" s="30" t="s">
        <v>159</v>
      </c>
      <c r="M39" s="124">
        <v>0.13136391562563995</v>
      </c>
      <c r="N39" s="124">
        <v>0.28834732746262542</v>
      </c>
      <c r="O39" s="125">
        <v>1.7478906409993857</v>
      </c>
      <c r="P39" s="125">
        <v>1.7940815072701208</v>
      </c>
      <c r="Q39" s="125">
        <v>4.7792033585910296</v>
      </c>
      <c r="R39" s="125">
        <v>4.2172127790292855</v>
      </c>
      <c r="S39" s="125">
        <v>1.1960065533483513</v>
      </c>
      <c r="T39" s="128">
        <f t="shared" si="4"/>
        <v>14.154106082326438</v>
      </c>
      <c r="U39" s="152">
        <f t="shared" si="3"/>
        <v>107.16599085262098</v>
      </c>
      <c r="V39" s="176" t="s">
        <v>459</v>
      </c>
      <c r="W39" s="176">
        <v>5.6653830679887232E-2</v>
      </c>
      <c r="X39" s="176">
        <v>2.9493096449556166E-2</v>
      </c>
      <c r="Y39" s="176">
        <v>4.7986471723282971E-2</v>
      </c>
      <c r="Z39" s="176" t="s">
        <v>459</v>
      </c>
      <c r="AA39" s="177">
        <v>2.2431520513929926E-2</v>
      </c>
      <c r="AB39" s="177">
        <v>1.2811869886250347E-2</v>
      </c>
      <c r="AC39" s="173" t="s">
        <v>460</v>
      </c>
      <c r="AD39" s="173">
        <v>0.16937678925290667</v>
      </c>
      <c r="AE39" s="152">
        <f t="shared" si="2"/>
        <v>0.16937678925290667</v>
      </c>
      <c r="AF39" s="119">
        <v>-1E-3</v>
      </c>
      <c r="AG39" s="154" t="s">
        <v>158</v>
      </c>
      <c r="AH39" s="269">
        <v>7.4791044776119424</v>
      </c>
      <c r="AI39" s="264">
        <v>-0.1</v>
      </c>
      <c r="AJ39" s="259" t="s">
        <v>158</v>
      </c>
      <c r="AK39" s="265">
        <v>-0.1</v>
      </c>
      <c r="AL39" s="264">
        <v>-0.1</v>
      </c>
      <c r="AM39" s="268">
        <v>7.7720095176292497E-2</v>
      </c>
      <c r="AN39" s="270">
        <v>0.41916504434350005</v>
      </c>
      <c r="AO39" s="270">
        <v>0.11992212848799484</v>
      </c>
      <c r="AP39" s="260" t="s">
        <v>158</v>
      </c>
      <c r="AQ39" s="270">
        <v>0.31101016655851188</v>
      </c>
      <c r="AR39" s="264">
        <v>-0.1</v>
      </c>
      <c r="AS39" s="124">
        <v>0.23930348258706477</v>
      </c>
      <c r="AT39" s="124">
        <v>0.11289206143197063</v>
      </c>
      <c r="AU39" s="124">
        <v>-0.1</v>
      </c>
      <c r="AV39" s="124">
        <v>-0.1</v>
      </c>
      <c r="AW39" s="124">
        <v>-0.1</v>
      </c>
      <c r="AX39" s="124"/>
      <c r="AY39" s="124"/>
      <c r="AZ39" s="124"/>
      <c r="BA39" s="124"/>
      <c r="BB39" s="124"/>
      <c r="BC39" s="30" t="s">
        <v>158</v>
      </c>
      <c r="BD39" s="30" t="s">
        <v>158</v>
      </c>
      <c r="BE39" s="30" t="s">
        <v>158</v>
      </c>
      <c r="BF39" s="30" t="s">
        <v>158</v>
      </c>
      <c r="BG39" s="30" t="s">
        <v>158</v>
      </c>
      <c r="BH39" s="30" t="s">
        <v>158</v>
      </c>
      <c r="BI39" s="30" t="s">
        <v>158</v>
      </c>
      <c r="BJ39" s="30" t="s">
        <v>158</v>
      </c>
      <c r="BK39" s="30" t="s">
        <v>158</v>
      </c>
      <c r="BL39" s="30" t="s">
        <v>158</v>
      </c>
      <c r="BM39" s="30" t="s">
        <v>158</v>
      </c>
      <c r="BN39" s="170">
        <v>100</v>
      </c>
      <c r="BO39" s="156" t="s">
        <v>158</v>
      </c>
      <c r="BP39" s="156" t="s">
        <v>158</v>
      </c>
      <c r="BQ39" s="156" t="s">
        <v>158</v>
      </c>
      <c r="BR39" s="156" t="s">
        <v>158</v>
      </c>
      <c r="BS39" s="156" t="s">
        <v>158</v>
      </c>
      <c r="BT39" s="156" t="s">
        <v>158</v>
      </c>
      <c r="BU39" s="156" t="s">
        <v>158</v>
      </c>
      <c r="BV39" s="156" t="s">
        <v>158</v>
      </c>
      <c r="BW39" s="156" t="s">
        <v>158</v>
      </c>
      <c r="BX39" s="156" t="s">
        <v>158</v>
      </c>
      <c r="BY39" s="156" t="s">
        <v>158</v>
      </c>
      <c r="BZ39" s="156" t="s">
        <v>158</v>
      </c>
      <c r="CA39" s="156" t="s">
        <v>158</v>
      </c>
      <c r="CB39" s="156" t="s">
        <v>158</v>
      </c>
      <c r="CC39" s="156" t="s">
        <v>158</v>
      </c>
      <c r="CD39" s="156" t="s">
        <v>158</v>
      </c>
      <c r="CE39" s="156" t="s">
        <v>158</v>
      </c>
      <c r="CF39" s="156" t="s">
        <v>158</v>
      </c>
      <c r="CG39" s="156" t="s">
        <v>158</v>
      </c>
      <c r="CH39" s="156" t="s">
        <v>158</v>
      </c>
      <c r="CI39" s="156" t="s">
        <v>158</v>
      </c>
      <c r="CJ39" s="156" t="s">
        <v>158</v>
      </c>
      <c r="CK39" s="156" t="s">
        <v>158</v>
      </c>
      <c r="CL39" s="156" t="s">
        <v>158</v>
      </c>
      <c r="CM39" s="156" t="s">
        <v>158</v>
      </c>
      <c r="CN39" s="156" t="s">
        <v>158</v>
      </c>
      <c r="CO39" s="156" t="s">
        <v>158</v>
      </c>
      <c r="CP39" s="156" t="s">
        <v>158</v>
      </c>
      <c r="CQ39" s="156" t="s">
        <v>158</v>
      </c>
      <c r="CR39" s="156" t="s">
        <v>158</v>
      </c>
      <c r="CS39" s="156" t="s">
        <v>158</v>
      </c>
      <c r="CT39" s="156" t="s">
        <v>158</v>
      </c>
      <c r="CU39" s="156" t="s">
        <v>158</v>
      </c>
      <c r="CV39" s="156" t="s">
        <v>158</v>
      </c>
      <c r="CW39" s="156" t="s">
        <v>158</v>
      </c>
      <c r="CX39" s="156" t="s">
        <v>158</v>
      </c>
      <c r="CY39" s="157" t="s">
        <v>158</v>
      </c>
      <c r="CZ39" s="171"/>
      <c r="DA39" s="121"/>
      <c r="DB39" s="121"/>
      <c r="DC39" s="121"/>
      <c r="DD39" s="121"/>
      <c r="DE39" s="121"/>
      <c r="DF39" s="121"/>
      <c r="DG39" s="121"/>
      <c r="DH39" s="122"/>
    </row>
    <row r="40" spans="1:112" s="116" customFormat="1" hidden="1" x14ac:dyDescent="0.2">
      <c r="A40" s="132" t="s">
        <v>7</v>
      </c>
      <c r="B40" s="132" t="s">
        <v>7</v>
      </c>
      <c r="C40" s="148" t="s">
        <v>20</v>
      </c>
      <c r="D40" s="161"/>
      <c r="E40" s="132"/>
      <c r="F40" s="132"/>
      <c r="G40" s="162">
        <v>44805</v>
      </c>
      <c r="H40" s="134" t="s">
        <v>172</v>
      </c>
      <c r="I40" s="139" t="s">
        <v>33</v>
      </c>
      <c r="J40" s="139" t="s">
        <v>173</v>
      </c>
      <c r="K40" s="163">
        <v>0.42030748810972501</v>
      </c>
      <c r="L40" s="30" t="s">
        <v>159</v>
      </c>
      <c r="M40" s="175">
        <v>3.8028020646792372E-2</v>
      </c>
      <c r="N40" s="124">
        <v>0.30022121563257137</v>
      </c>
      <c r="O40" s="125">
        <v>1.2112293268724321</v>
      </c>
      <c r="P40" s="125">
        <v>1.2576846097124197</v>
      </c>
      <c r="Q40" s="125">
        <v>2.9304856209838825</v>
      </c>
      <c r="R40" s="125">
        <v>2.5492152112082587</v>
      </c>
      <c r="S40" s="124">
        <v>0.79883071737069422</v>
      </c>
      <c r="T40" s="125">
        <f t="shared" si="4"/>
        <v>9.0856947224270517</v>
      </c>
      <c r="U40" s="152">
        <f t="shared" si="3"/>
        <v>93.122420301384906</v>
      </c>
      <c r="V40" s="176" t="s">
        <v>461</v>
      </c>
      <c r="W40" s="176">
        <v>7.8392038954930132E-2</v>
      </c>
      <c r="X40" s="176">
        <v>2.4567160400908603E-2</v>
      </c>
      <c r="Y40" s="176">
        <v>3.472760770576111E-2</v>
      </c>
      <c r="Z40" s="176" t="s">
        <v>461</v>
      </c>
      <c r="AA40" s="177">
        <v>1.6627132404663909E-2</v>
      </c>
      <c r="AB40" s="176" t="s">
        <v>461</v>
      </c>
      <c r="AC40" s="173" t="s">
        <v>462</v>
      </c>
      <c r="AD40" s="173">
        <v>0.15431393946626376</v>
      </c>
      <c r="AE40" s="152">
        <f t="shared" si="2"/>
        <v>0.15431393946626376</v>
      </c>
      <c r="AF40" s="127">
        <v>6.6048667439165695E-2</v>
      </c>
      <c r="AG40" s="154">
        <f t="shared" si="5"/>
        <v>0.7857184241019648</v>
      </c>
      <c r="AH40" s="269">
        <v>3.9465571648666389</v>
      </c>
      <c r="AI40" s="264">
        <v>-0.1</v>
      </c>
      <c r="AJ40" s="259" t="s">
        <v>158</v>
      </c>
      <c r="AK40" s="265">
        <v>-0.1</v>
      </c>
      <c r="AL40" s="264">
        <v>-0.15</v>
      </c>
      <c r="AM40" s="272">
        <v>3.8357561846467721E-2</v>
      </c>
      <c r="AN40" s="269">
        <v>1.3714642958338799</v>
      </c>
      <c r="AO40" s="270">
        <v>0.25777555804216334</v>
      </c>
      <c r="AP40" s="260" t="s">
        <v>158</v>
      </c>
      <c r="AQ40" s="270">
        <v>0.61978268117562862</v>
      </c>
      <c r="AR40" s="264">
        <v>-0.1</v>
      </c>
      <c r="AS40" s="124">
        <v>0.92787484079251026</v>
      </c>
      <c r="AT40" s="124">
        <v>0.20524574899965198</v>
      </c>
      <c r="AU40" s="124">
        <v>-0.2</v>
      </c>
      <c r="AV40" s="124">
        <v>-0.1</v>
      </c>
      <c r="AW40" s="124">
        <v>-0.1</v>
      </c>
      <c r="AX40" s="124"/>
      <c r="AY40" s="124"/>
      <c r="AZ40" s="124"/>
      <c r="BA40" s="124"/>
      <c r="BB40" s="124"/>
      <c r="BC40" s="30" t="s">
        <v>158</v>
      </c>
      <c r="BD40" s="30" t="s">
        <v>158</v>
      </c>
      <c r="BE40" s="30" t="s">
        <v>158</v>
      </c>
      <c r="BF40" s="30" t="s">
        <v>158</v>
      </c>
      <c r="BG40" s="30" t="s">
        <v>158</v>
      </c>
      <c r="BH40" s="30" t="s">
        <v>158</v>
      </c>
      <c r="BI40" s="30" t="s">
        <v>158</v>
      </c>
      <c r="BJ40" s="30" t="s">
        <v>158</v>
      </c>
      <c r="BK40" s="30" t="s">
        <v>158</v>
      </c>
      <c r="BL40" s="30" t="s">
        <v>158</v>
      </c>
      <c r="BM40" s="30" t="s">
        <v>158</v>
      </c>
      <c r="BN40" s="170">
        <v>190</v>
      </c>
      <c r="BO40" s="156" t="s">
        <v>158</v>
      </c>
      <c r="BP40" s="156" t="s">
        <v>158</v>
      </c>
      <c r="BQ40" s="156" t="s">
        <v>158</v>
      </c>
      <c r="BR40" s="156" t="s">
        <v>158</v>
      </c>
      <c r="BS40" s="156" t="s">
        <v>158</v>
      </c>
      <c r="BT40" s="156" t="s">
        <v>158</v>
      </c>
      <c r="BU40" s="156" t="s">
        <v>158</v>
      </c>
      <c r="BV40" s="156" t="s">
        <v>158</v>
      </c>
      <c r="BW40" s="156" t="s">
        <v>158</v>
      </c>
      <c r="BX40" s="156" t="s">
        <v>158</v>
      </c>
      <c r="BY40" s="156" t="s">
        <v>158</v>
      </c>
      <c r="BZ40" s="156" t="s">
        <v>158</v>
      </c>
      <c r="CA40" s="156" t="s">
        <v>158</v>
      </c>
      <c r="CB40" s="156" t="s">
        <v>158</v>
      </c>
      <c r="CC40" s="156" t="s">
        <v>158</v>
      </c>
      <c r="CD40" s="156" t="s">
        <v>158</v>
      </c>
      <c r="CE40" s="156" t="s">
        <v>158</v>
      </c>
      <c r="CF40" s="156" t="s">
        <v>158</v>
      </c>
      <c r="CG40" s="156" t="s">
        <v>158</v>
      </c>
      <c r="CH40" s="156" t="s">
        <v>158</v>
      </c>
      <c r="CI40" s="156" t="s">
        <v>158</v>
      </c>
      <c r="CJ40" s="156" t="s">
        <v>158</v>
      </c>
      <c r="CK40" s="156" t="s">
        <v>158</v>
      </c>
      <c r="CL40" s="156" t="s">
        <v>158</v>
      </c>
      <c r="CM40" s="156" t="s">
        <v>158</v>
      </c>
      <c r="CN40" s="156" t="s">
        <v>158</v>
      </c>
      <c r="CO40" s="156" t="s">
        <v>158</v>
      </c>
      <c r="CP40" s="156" t="s">
        <v>158</v>
      </c>
      <c r="CQ40" s="156" t="s">
        <v>158</v>
      </c>
      <c r="CR40" s="156" t="s">
        <v>158</v>
      </c>
      <c r="CS40" s="156" t="s">
        <v>158</v>
      </c>
      <c r="CT40" s="156" t="s">
        <v>158</v>
      </c>
      <c r="CU40" s="156" t="s">
        <v>158</v>
      </c>
      <c r="CV40" s="156" t="s">
        <v>158</v>
      </c>
      <c r="CW40" s="156" t="s">
        <v>158</v>
      </c>
      <c r="CX40" s="156" t="s">
        <v>158</v>
      </c>
      <c r="CY40" s="157" t="s">
        <v>158</v>
      </c>
      <c r="CZ40" s="171"/>
      <c r="DA40" s="121"/>
      <c r="DB40" s="121"/>
      <c r="DC40" s="121"/>
      <c r="DD40" s="121"/>
      <c r="DE40" s="121"/>
      <c r="DF40" s="121"/>
      <c r="DG40" s="121"/>
      <c r="DH40" s="122"/>
    </row>
    <row r="41" spans="1:112" s="116" customFormat="1" hidden="1" x14ac:dyDescent="0.2">
      <c r="A41" s="132" t="s">
        <v>21</v>
      </c>
      <c r="B41" s="132" t="s">
        <v>21</v>
      </c>
      <c r="C41" s="148" t="s">
        <v>20</v>
      </c>
      <c r="D41" s="161"/>
      <c r="E41" s="132"/>
      <c r="F41" s="132"/>
      <c r="G41" s="162">
        <v>44824</v>
      </c>
      <c r="H41" s="134" t="s">
        <v>172</v>
      </c>
      <c r="I41" s="139" t="s">
        <v>33</v>
      </c>
      <c r="J41" s="139" t="s">
        <v>173</v>
      </c>
      <c r="K41" s="163">
        <v>0.49905733614286002</v>
      </c>
      <c r="L41" s="30" t="s">
        <v>159</v>
      </c>
      <c r="M41" s="175">
        <v>3.3992219535274946E-2</v>
      </c>
      <c r="N41" s="124">
        <v>0.13652612764167807</v>
      </c>
      <c r="O41" s="125">
        <v>1.7141204920618234</v>
      </c>
      <c r="P41" s="125">
        <v>1.3181158658395542</v>
      </c>
      <c r="Q41" s="125">
        <v>7.7248028598464948</v>
      </c>
      <c r="R41" s="125">
        <v>6.0989801282725269</v>
      </c>
      <c r="S41" s="125">
        <v>2.4240878982231102</v>
      </c>
      <c r="T41" s="128">
        <f t="shared" si="4"/>
        <v>19.450625591420462</v>
      </c>
      <c r="U41" s="152">
        <f t="shared" si="3"/>
        <v>181.6676002172855</v>
      </c>
      <c r="V41" s="176" t="s">
        <v>463</v>
      </c>
      <c r="W41" s="176">
        <v>9.8001948100962466E-2</v>
      </c>
      <c r="X41" s="176">
        <v>3.6597708759077328E-2</v>
      </c>
      <c r="Y41" s="176">
        <v>3.0187796470031027E-2</v>
      </c>
      <c r="Z41" s="176" t="s">
        <v>463</v>
      </c>
      <c r="AA41" s="176">
        <v>2.5690656415779715E-2</v>
      </c>
      <c r="AB41" s="177">
        <v>1.9504204502099946E-2</v>
      </c>
      <c r="AC41" s="173" t="s">
        <v>464</v>
      </c>
      <c r="AD41" s="173">
        <v>0.2099823142479505</v>
      </c>
      <c r="AE41" s="152">
        <f t="shared" si="2"/>
        <v>0.2099823142479505</v>
      </c>
      <c r="AF41" s="127">
        <v>2.7336767952896648E-3</v>
      </c>
      <c r="AG41" s="154">
        <f t="shared" si="5"/>
        <v>2.7388404070139982E-2</v>
      </c>
      <c r="AH41" s="269">
        <v>8.9082893594282311</v>
      </c>
      <c r="AI41" s="264">
        <v>-0.1</v>
      </c>
      <c r="AJ41" s="259" t="s">
        <v>158</v>
      </c>
      <c r="AK41" s="265">
        <v>-0.1</v>
      </c>
      <c r="AL41" s="264">
        <v>-0.15</v>
      </c>
      <c r="AM41" s="264">
        <v>-0.1</v>
      </c>
      <c r="AN41" s="270">
        <v>0.58012156836550677</v>
      </c>
      <c r="AO41" s="270">
        <v>0.32990448199853056</v>
      </c>
      <c r="AP41" s="260" t="s">
        <v>158</v>
      </c>
      <c r="AQ41" s="270">
        <v>0.37514750740320191</v>
      </c>
      <c r="AR41" s="264">
        <v>-0.1</v>
      </c>
      <c r="AS41" s="124">
        <v>0.2898492641328792</v>
      </c>
      <c r="AT41" s="124">
        <v>0.1664551466167925</v>
      </c>
      <c r="AU41" s="124">
        <v>-0.2</v>
      </c>
      <c r="AV41" s="124">
        <v>-0.1</v>
      </c>
      <c r="AW41" s="124">
        <v>-0.1</v>
      </c>
      <c r="AX41" s="124"/>
      <c r="AY41" s="124"/>
      <c r="AZ41" s="124"/>
      <c r="BA41" s="124"/>
      <c r="BB41" s="124"/>
      <c r="BC41" s="30" t="s">
        <v>158</v>
      </c>
      <c r="BD41" s="30" t="s">
        <v>158</v>
      </c>
      <c r="BE41" s="30" t="s">
        <v>158</v>
      </c>
      <c r="BF41" s="30" t="s">
        <v>158</v>
      </c>
      <c r="BG41" s="30" t="s">
        <v>158</v>
      </c>
      <c r="BH41" s="30" t="s">
        <v>158</v>
      </c>
      <c r="BI41" s="30" t="s">
        <v>158</v>
      </c>
      <c r="BJ41" s="30" t="s">
        <v>158</v>
      </c>
      <c r="BK41" s="30" t="s">
        <v>158</v>
      </c>
      <c r="BL41" s="30" t="s">
        <v>158</v>
      </c>
      <c r="BM41" s="30" t="s">
        <v>158</v>
      </c>
      <c r="BN41" s="170">
        <v>78</v>
      </c>
      <c r="BO41" s="156" t="s">
        <v>158</v>
      </c>
      <c r="BP41" s="156" t="s">
        <v>158</v>
      </c>
      <c r="BQ41" s="156" t="s">
        <v>158</v>
      </c>
      <c r="BR41" s="156" t="s">
        <v>158</v>
      </c>
      <c r="BS41" s="156" t="s">
        <v>158</v>
      </c>
      <c r="BT41" s="156" t="s">
        <v>158</v>
      </c>
      <c r="BU41" s="156" t="s">
        <v>158</v>
      </c>
      <c r="BV41" s="156" t="s">
        <v>158</v>
      </c>
      <c r="BW41" s="156" t="s">
        <v>158</v>
      </c>
      <c r="BX41" s="156" t="s">
        <v>158</v>
      </c>
      <c r="BY41" s="156" t="s">
        <v>158</v>
      </c>
      <c r="BZ41" s="156" t="s">
        <v>158</v>
      </c>
      <c r="CA41" s="156" t="s">
        <v>158</v>
      </c>
      <c r="CB41" s="156" t="s">
        <v>158</v>
      </c>
      <c r="CC41" s="156" t="s">
        <v>158</v>
      </c>
      <c r="CD41" s="156" t="s">
        <v>158</v>
      </c>
      <c r="CE41" s="156" t="s">
        <v>158</v>
      </c>
      <c r="CF41" s="156" t="s">
        <v>158</v>
      </c>
      <c r="CG41" s="156" t="s">
        <v>158</v>
      </c>
      <c r="CH41" s="156" t="s">
        <v>158</v>
      </c>
      <c r="CI41" s="156" t="s">
        <v>158</v>
      </c>
      <c r="CJ41" s="156" t="s">
        <v>158</v>
      </c>
      <c r="CK41" s="156" t="s">
        <v>158</v>
      </c>
      <c r="CL41" s="156" t="s">
        <v>158</v>
      </c>
      <c r="CM41" s="156" t="s">
        <v>158</v>
      </c>
      <c r="CN41" s="156" t="s">
        <v>158</v>
      </c>
      <c r="CO41" s="156" t="s">
        <v>158</v>
      </c>
      <c r="CP41" s="156" t="s">
        <v>158</v>
      </c>
      <c r="CQ41" s="156" t="s">
        <v>158</v>
      </c>
      <c r="CR41" s="156" t="s">
        <v>158</v>
      </c>
      <c r="CS41" s="156" t="s">
        <v>158</v>
      </c>
      <c r="CT41" s="156" t="s">
        <v>158</v>
      </c>
      <c r="CU41" s="156" t="s">
        <v>158</v>
      </c>
      <c r="CV41" s="156" t="s">
        <v>158</v>
      </c>
      <c r="CW41" s="156" t="s">
        <v>158</v>
      </c>
      <c r="CX41" s="156" t="s">
        <v>158</v>
      </c>
      <c r="CY41" s="157" t="s">
        <v>158</v>
      </c>
      <c r="CZ41" s="171"/>
      <c r="DA41" s="121"/>
      <c r="DB41" s="121"/>
      <c r="DC41" s="121"/>
      <c r="DD41" s="121"/>
      <c r="DE41" s="121"/>
      <c r="DF41" s="121"/>
      <c r="DG41" s="121"/>
      <c r="DH41" s="122"/>
    </row>
    <row r="42" spans="1:112" s="116" customFormat="1" hidden="1" x14ac:dyDescent="0.2">
      <c r="A42" s="132" t="s">
        <v>23</v>
      </c>
      <c r="B42" s="132" t="s">
        <v>23</v>
      </c>
      <c r="C42" s="148" t="s">
        <v>20</v>
      </c>
      <c r="D42" s="161"/>
      <c r="E42" s="132"/>
      <c r="F42" s="132"/>
      <c r="G42" s="162">
        <v>44797</v>
      </c>
      <c r="H42" s="134" t="s">
        <v>172</v>
      </c>
      <c r="I42" s="139" t="s">
        <v>33</v>
      </c>
      <c r="J42" s="139" t="s">
        <v>173</v>
      </c>
      <c r="K42" s="163">
        <v>0.442023026315782</v>
      </c>
      <c r="L42" s="30" t="s">
        <v>159</v>
      </c>
      <c r="M42" s="124">
        <v>0.27718755855349447</v>
      </c>
      <c r="N42" s="125">
        <v>1.6492598838298669</v>
      </c>
      <c r="O42" s="125">
        <v>6.5728592842420834</v>
      </c>
      <c r="P42" s="125">
        <v>4.4530728873899195</v>
      </c>
      <c r="Q42" s="125">
        <v>9.4289863219036913</v>
      </c>
      <c r="R42" s="125">
        <v>8.7423458872025481</v>
      </c>
      <c r="S42" s="125">
        <v>2.2187090125538695</v>
      </c>
      <c r="T42" s="128">
        <f t="shared" si="4"/>
        <v>33.342420835675469</v>
      </c>
      <c r="U42" s="152">
        <f t="shared" si="3"/>
        <v>326.78555446619373</v>
      </c>
      <c r="V42" s="176" t="s">
        <v>465</v>
      </c>
      <c r="W42" s="176">
        <v>3.2531663622193251E-2</v>
      </c>
      <c r="X42" s="176">
        <v>1.409133186801247E-2</v>
      </c>
      <c r="Y42" s="176">
        <v>1.9448899161992841E-2</v>
      </c>
      <c r="Z42" s="176" t="s">
        <v>465</v>
      </c>
      <c r="AA42" s="176" t="s">
        <v>465</v>
      </c>
      <c r="AB42" s="176" t="s">
        <v>465</v>
      </c>
      <c r="AC42" s="173">
        <v>0.22757699923579233</v>
      </c>
      <c r="AD42" s="173">
        <v>0.29364889388799087</v>
      </c>
      <c r="AE42" s="152">
        <f t="shared" si="2"/>
        <v>6.6071894652198565E-2</v>
      </c>
      <c r="AF42" s="127">
        <v>8.4317032040472171E-3</v>
      </c>
      <c r="AG42" s="154">
        <f t="shared" si="5"/>
        <v>9.5376289266247347E-2</v>
      </c>
      <c r="AH42" s="271">
        <v>11.220625528317841</v>
      </c>
      <c r="AI42" s="264">
        <v>-0.1</v>
      </c>
      <c r="AJ42" s="259" t="s">
        <v>158</v>
      </c>
      <c r="AK42" s="265">
        <v>-0.1</v>
      </c>
      <c r="AL42" s="264">
        <v>-0.15</v>
      </c>
      <c r="AM42" s="264">
        <v>-0.1</v>
      </c>
      <c r="AN42" s="270">
        <v>0.67401828940290509</v>
      </c>
      <c r="AO42" s="270">
        <v>0.17390302005686628</v>
      </c>
      <c r="AP42" s="260" t="s">
        <v>158</v>
      </c>
      <c r="AQ42" s="270">
        <v>0.448653910192372</v>
      </c>
      <c r="AR42" s="264">
        <v>-0.1</v>
      </c>
      <c r="AS42" s="124">
        <v>0.82051282051282093</v>
      </c>
      <c r="AT42" s="124">
        <v>0.34158149542764937</v>
      </c>
      <c r="AU42" s="124">
        <v>-0.2</v>
      </c>
      <c r="AV42" s="124">
        <v>-0.1</v>
      </c>
      <c r="AW42" s="124">
        <v>-0.1</v>
      </c>
      <c r="AX42" s="124"/>
      <c r="AY42" s="124"/>
      <c r="AZ42" s="124"/>
      <c r="BA42" s="124"/>
      <c r="BB42" s="124"/>
      <c r="BC42" s="30" t="s">
        <v>158</v>
      </c>
      <c r="BD42" s="30" t="s">
        <v>158</v>
      </c>
      <c r="BE42" s="30" t="s">
        <v>158</v>
      </c>
      <c r="BF42" s="30" t="s">
        <v>158</v>
      </c>
      <c r="BG42" s="30" t="s">
        <v>158</v>
      </c>
      <c r="BH42" s="30" t="s">
        <v>158</v>
      </c>
      <c r="BI42" s="30" t="s">
        <v>158</v>
      </c>
      <c r="BJ42" s="30" t="s">
        <v>158</v>
      </c>
      <c r="BK42" s="30" t="s">
        <v>158</v>
      </c>
      <c r="BL42" s="30" t="s">
        <v>158</v>
      </c>
      <c r="BM42" s="30" t="s">
        <v>158</v>
      </c>
      <c r="BN42" s="170">
        <v>390</v>
      </c>
      <c r="BO42" s="156" t="s">
        <v>158</v>
      </c>
      <c r="BP42" s="156" t="s">
        <v>158</v>
      </c>
      <c r="BQ42" s="156" t="s">
        <v>158</v>
      </c>
      <c r="BR42" s="156" t="s">
        <v>158</v>
      </c>
      <c r="BS42" s="156" t="s">
        <v>158</v>
      </c>
      <c r="BT42" s="156" t="s">
        <v>158</v>
      </c>
      <c r="BU42" s="156" t="s">
        <v>158</v>
      </c>
      <c r="BV42" s="156" t="s">
        <v>158</v>
      </c>
      <c r="BW42" s="156" t="s">
        <v>158</v>
      </c>
      <c r="BX42" s="156" t="s">
        <v>158</v>
      </c>
      <c r="BY42" s="156" t="s">
        <v>158</v>
      </c>
      <c r="BZ42" s="156" t="s">
        <v>158</v>
      </c>
      <c r="CA42" s="156" t="s">
        <v>158</v>
      </c>
      <c r="CB42" s="156" t="s">
        <v>158</v>
      </c>
      <c r="CC42" s="156" t="s">
        <v>158</v>
      </c>
      <c r="CD42" s="156" t="s">
        <v>158</v>
      </c>
      <c r="CE42" s="156" t="s">
        <v>158</v>
      </c>
      <c r="CF42" s="156" t="s">
        <v>158</v>
      </c>
      <c r="CG42" s="156" t="s">
        <v>158</v>
      </c>
      <c r="CH42" s="156" t="s">
        <v>158</v>
      </c>
      <c r="CI42" s="156" t="s">
        <v>158</v>
      </c>
      <c r="CJ42" s="156" t="s">
        <v>158</v>
      </c>
      <c r="CK42" s="156" t="s">
        <v>158</v>
      </c>
      <c r="CL42" s="156" t="s">
        <v>158</v>
      </c>
      <c r="CM42" s="156" t="s">
        <v>158</v>
      </c>
      <c r="CN42" s="156" t="s">
        <v>158</v>
      </c>
      <c r="CO42" s="156" t="s">
        <v>158</v>
      </c>
      <c r="CP42" s="156" t="s">
        <v>158</v>
      </c>
      <c r="CQ42" s="156" t="s">
        <v>158</v>
      </c>
      <c r="CR42" s="156" t="s">
        <v>158</v>
      </c>
      <c r="CS42" s="156" t="s">
        <v>158</v>
      </c>
      <c r="CT42" s="156" t="s">
        <v>158</v>
      </c>
      <c r="CU42" s="156" t="s">
        <v>158</v>
      </c>
      <c r="CV42" s="156" t="s">
        <v>158</v>
      </c>
      <c r="CW42" s="156" t="s">
        <v>158</v>
      </c>
      <c r="CX42" s="156" t="s">
        <v>158</v>
      </c>
      <c r="CY42" s="157" t="s">
        <v>158</v>
      </c>
      <c r="CZ42" s="171"/>
      <c r="DA42" s="121"/>
      <c r="DB42" s="121"/>
      <c r="DC42" s="121"/>
      <c r="DD42" s="121"/>
      <c r="DE42" s="121"/>
      <c r="DF42" s="121"/>
      <c r="DG42" s="121"/>
      <c r="DH42" s="122"/>
    </row>
    <row r="43" spans="1:112" s="116" customFormat="1" hidden="1" x14ac:dyDescent="0.2">
      <c r="A43" s="132" t="s">
        <v>5</v>
      </c>
      <c r="B43" s="132" t="s">
        <v>5</v>
      </c>
      <c r="C43" s="148" t="s">
        <v>20</v>
      </c>
      <c r="D43" s="161"/>
      <c r="E43" s="132"/>
      <c r="F43" s="132"/>
      <c r="G43" s="162">
        <v>44819</v>
      </c>
      <c r="H43" s="134" t="s">
        <v>172</v>
      </c>
      <c r="I43" s="139" t="s">
        <v>33</v>
      </c>
      <c r="J43" s="139" t="s">
        <v>173</v>
      </c>
      <c r="K43" s="163">
        <v>0.56092240573389496</v>
      </c>
      <c r="L43" s="30" t="s">
        <v>159</v>
      </c>
      <c r="M43" s="125">
        <v>1.9091693744922826</v>
      </c>
      <c r="N43" s="125">
        <v>3.705168562144598</v>
      </c>
      <c r="O43" s="128">
        <v>11.435428513403735</v>
      </c>
      <c r="P43" s="124">
        <v>9.6780767668562149</v>
      </c>
      <c r="Q43" s="128">
        <v>16.115465069049552</v>
      </c>
      <c r="R43" s="128">
        <v>15.075203086921201</v>
      </c>
      <c r="S43" s="125">
        <v>2.9742993501218522</v>
      </c>
      <c r="T43" s="128">
        <f t="shared" si="4"/>
        <v>60.892810722989431</v>
      </c>
      <c r="U43" s="152">
        <f t="shared" si="3"/>
        <v>456.52244795895888</v>
      </c>
      <c r="V43" s="176" t="s">
        <v>466</v>
      </c>
      <c r="W43" s="176">
        <v>8.9237697767672083E-2</v>
      </c>
      <c r="X43" s="176">
        <v>4.8572417772277207E-2</v>
      </c>
      <c r="Y43" s="176">
        <v>0.10817321191757452</v>
      </c>
      <c r="Z43" s="176" t="s">
        <v>466</v>
      </c>
      <c r="AA43" s="176">
        <v>2.5244875026380918E-2</v>
      </c>
      <c r="AB43" s="177">
        <v>2.2655520966523773E-2</v>
      </c>
      <c r="AC43" s="173">
        <v>0.11218151532684814</v>
      </c>
      <c r="AD43" s="173">
        <v>0.40606523877727663</v>
      </c>
      <c r="AE43" s="152">
        <f t="shared" si="2"/>
        <v>0.29388372345042851</v>
      </c>
      <c r="AF43" s="127">
        <v>2.7416734362307065E-3</v>
      </c>
      <c r="AG43" s="154">
        <f t="shared" si="5"/>
        <v>2.4438972380177778E-2</v>
      </c>
      <c r="AH43" s="269">
        <v>3.7842987804878048</v>
      </c>
      <c r="AI43" s="264">
        <v>-0.1</v>
      </c>
      <c r="AJ43" s="259" t="s">
        <v>158</v>
      </c>
      <c r="AK43" s="265">
        <v>-0.1</v>
      </c>
      <c r="AL43" s="264">
        <v>-0.15</v>
      </c>
      <c r="AM43" s="264">
        <v>-0.1</v>
      </c>
      <c r="AN43" s="270">
        <v>0.21493902439024387</v>
      </c>
      <c r="AO43" s="270">
        <v>0.10428215077605321</v>
      </c>
      <c r="AP43" s="260" t="s">
        <v>158</v>
      </c>
      <c r="AQ43" s="270">
        <v>0.16056910569105692</v>
      </c>
      <c r="AR43" s="264">
        <v>-0.1</v>
      </c>
      <c r="AS43" s="124">
        <v>0.6337536954915004</v>
      </c>
      <c r="AT43" s="124">
        <v>0.23815133037694014</v>
      </c>
      <c r="AU43" s="124">
        <v>-0.2</v>
      </c>
      <c r="AV43" s="124">
        <v>-0.1</v>
      </c>
      <c r="AW43" s="124">
        <v>-0.1</v>
      </c>
      <c r="AX43" s="124"/>
      <c r="AY43" s="124"/>
      <c r="AZ43" s="124"/>
      <c r="BA43" s="124"/>
      <c r="BB43" s="124"/>
      <c r="BC43" s="30" t="s">
        <v>158</v>
      </c>
      <c r="BD43" s="30" t="s">
        <v>158</v>
      </c>
      <c r="BE43" s="30" t="s">
        <v>158</v>
      </c>
      <c r="BF43" s="30" t="s">
        <v>158</v>
      </c>
      <c r="BG43" s="30" t="s">
        <v>158</v>
      </c>
      <c r="BH43" s="30" t="s">
        <v>158</v>
      </c>
      <c r="BI43" s="30" t="s">
        <v>158</v>
      </c>
      <c r="BJ43" s="30" t="s">
        <v>158</v>
      </c>
      <c r="BK43" s="30" t="s">
        <v>158</v>
      </c>
      <c r="BL43" s="30" t="s">
        <v>158</v>
      </c>
      <c r="BM43" s="30" t="s">
        <v>158</v>
      </c>
      <c r="BN43" s="170">
        <v>110</v>
      </c>
      <c r="BO43" s="156" t="s">
        <v>158</v>
      </c>
      <c r="BP43" s="156" t="s">
        <v>158</v>
      </c>
      <c r="BQ43" s="156" t="s">
        <v>158</v>
      </c>
      <c r="BR43" s="156" t="s">
        <v>158</v>
      </c>
      <c r="BS43" s="156" t="s">
        <v>158</v>
      </c>
      <c r="BT43" s="156" t="s">
        <v>158</v>
      </c>
      <c r="BU43" s="156" t="s">
        <v>158</v>
      </c>
      <c r="BV43" s="156" t="s">
        <v>158</v>
      </c>
      <c r="BW43" s="156" t="s">
        <v>158</v>
      </c>
      <c r="BX43" s="156" t="s">
        <v>158</v>
      </c>
      <c r="BY43" s="156" t="s">
        <v>158</v>
      </c>
      <c r="BZ43" s="156" t="s">
        <v>158</v>
      </c>
      <c r="CA43" s="156" t="s">
        <v>158</v>
      </c>
      <c r="CB43" s="156" t="s">
        <v>158</v>
      </c>
      <c r="CC43" s="156" t="s">
        <v>158</v>
      </c>
      <c r="CD43" s="156" t="s">
        <v>158</v>
      </c>
      <c r="CE43" s="156" t="s">
        <v>158</v>
      </c>
      <c r="CF43" s="156" t="s">
        <v>158</v>
      </c>
      <c r="CG43" s="156" t="s">
        <v>158</v>
      </c>
      <c r="CH43" s="156" t="s">
        <v>158</v>
      </c>
      <c r="CI43" s="156" t="s">
        <v>158</v>
      </c>
      <c r="CJ43" s="156" t="s">
        <v>158</v>
      </c>
      <c r="CK43" s="156" t="s">
        <v>158</v>
      </c>
      <c r="CL43" s="156" t="s">
        <v>158</v>
      </c>
      <c r="CM43" s="156" t="s">
        <v>158</v>
      </c>
      <c r="CN43" s="156" t="s">
        <v>158</v>
      </c>
      <c r="CO43" s="156" t="s">
        <v>158</v>
      </c>
      <c r="CP43" s="156" t="s">
        <v>158</v>
      </c>
      <c r="CQ43" s="156" t="s">
        <v>158</v>
      </c>
      <c r="CR43" s="156" t="s">
        <v>158</v>
      </c>
      <c r="CS43" s="156" t="s">
        <v>158</v>
      </c>
      <c r="CT43" s="156" t="s">
        <v>158</v>
      </c>
      <c r="CU43" s="156" t="s">
        <v>158</v>
      </c>
      <c r="CV43" s="156" t="s">
        <v>158</v>
      </c>
      <c r="CW43" s="156" t="s">
        <v>158</v>
      </c>
      <c r="CX43" s="156" t="s">
        <v>158</v>
      </c>
      <c r="CY43" s="157" t="s">
        <v>158</v>
      </c>
      <c r="CZ43" s="171"/>
      <c r="DA43" s="121"/>
      <c r="DB43" s="121"/>
      <c r="DC43" s="121"/>
      <c r="DD43" s="121"/>
      <c r="DE43" s="121"/>
      <c r="DF43" s="121"/>
      <c r="DG43" s="121"/>
      <c r="DH43" s="122"/>
    </row>
    <row r="44" spans="1:112" s="116" customFormat="1" hidden="1" x14ac:dyDescent="0.2">
      <c r="A44" s="132" t="s">
        <v>171</v>
      </c>
      <c r="B44" s="132" t="s">
        <v>171</v>
      </c>
      <c r="C44" s="148" t="s">
        <v>20</v>
      </c>
      <c r="D44" s="161"/>
      <c r="E44" s="132"/>
      <c r="F44" s="132"/>
      <c r="G44" s="162">
        <v>44819</v>
      </c>
      <c r="H44" s="134" t="s">
        <v>172</v>
      </c>
      <c r="I44" s="139" t="s">
        <v>33</v>
      </c>
      <c r="J44" s="139" t="s">
        <v>173</v>
      </c>
      <c r="K44" s="163">
        <v>0.52541282436199299</v>
      </c>
      <c r="L44" s="30" t="s">
        <v>159</v>
      </c>
      <c r="M44" s="124">
        <v>0.40043976273266518</v>
      </c>
      <c r="N44" s="125">
        <v>1.4289527510738391</v>
      </c>
      <c r="O44" s="125">
        <v>5.0307527101656779</v>
      </c>
      <c r="P44" s="125">
        <v>4.382368582532215</v>
      </c>
      <c r="Q44" s="125">
        <v>8.3414604213540589</v>
      </c>
      <c r="R44" s="125">
        <v>6.2609736142360397</v>
      </c>
      <c r="S44" s="125">
        <v>1.4847105747596645</v>
      </c>
      <c r="T44" s="128">
        <f t="shared" si="4"/>
        <v>27.329658416854159</v>
      </c>
      <c r="U44" s="152">
        <f>SUM(M44,N44,O44,Q44,R44,S44)*(5/K44)</f>
        <v>218.37390305600897</v>
      </c>
      <c r="V44" s="176" t="s">
        <v>467</v>
      </c>
      <c r="W44" s="176">
        <v>5.4267768754741479E-2</v>
      </c>
      <c r="X44" s="176">
        <v>1.9133812488933991E-2</v>
      </c>
      <c r="Y44" s="177">
        <v>1.2703208291579626E-2</v>
      </c>
      <c r="Z44" s="176" t="s">
        <v>467</v>
      </c>
      <c r="AA44" s="177">
        <v>1.3314142023678813E-2</v>
      </c>
      <c r="AB44" s="176" t="s">
        <v>467</v>
      </c>
      <c r="AC44" s="180">
        <v>8.3859443016137764E-2</v>
      </c>
      <c r="AD44" s="124">
        <v>0.18327837457507168</v>
      </c>
      <c r="AE44" s="152">
        <f t="shared" si="2"/>
        <v>9.9418931558933901E-2</v>
      </c>
      <c r="AF44" s="127">
        <v>1.7385968500715893E-3</v>
      </c>
      <c r="AG44" s="154">
        <f t="shared" si="5"/>
        <v>1.6545055330375324E-2</v>
      </c>
      <c r="AH44" s="269">
        <v>4.3768952647539061</v>
      </c>
      <c r="AI44" s="264">
        <v>-0.1</v>
      </c>
      <c r="AJ44" s="259" t="s">
        <v>158</v>
      </c>
      <c r="AK44" s="265">
        <v>-0.1</v>
      </c>
      <c r="AL44" s="264">
        <v>-0.15</v>
      </c>
      <c r="AM44" s="264">
        <v>-0.1</v>
      </c>
      <c r="AN44" s="265">
        <v>0.48588756706321429</v>
      </c>
      <c r="AO44" s="265">
        <v>0.25379052950781428</v>
      </c>
      <c r="AP44" s="260" t="s">
        <v>158</v>
      </c>
      <c r="AQ44" s="265">
        <v>0.33230308685172222</v>
      </c>
      <c r="AR44" s="264">
        <v>-0.1</v>
      </c>
      <c r="AS44" s="166">
        <v>0.58335277194619384</v>
      </c>
      <c r="AT44" s="166">
        <v>0.24865873571261951</v>
      </c>
      <c r="AU44" s="166">
        <v>-0.2</v>
      </c>
      <c r="AV44" s="124">
        <v>-0.1</v>
      </c>
      <c r="AW44" s="166">
        <v>-0.1</v>
      </c>
      <c r="AX44" s="166"/>
      <c r="AY44" s="166"/>
      <c r="AZ44" s="166"/>
      <c r="BA44" s="166"/>
      <c r="BB44" s="166"/>
      <c r="BC44" s="30" t="s">
        <v>158</v>
      </c>
      <c r="BD44" s="30" t="s">
        <v>158</v>
      </c>
      <c r="BE44" s="30" t="s">
        <v>158</v>
      </c>
      <c r="BF44" s="30" t="s">
        <v>158</v>
      </c>
      <c r="BG44" s="30" t="s">
        <v>158</v>
      </c>
      <c r="BH44" s="30" t="s">
        <v>158</v>
      </c>
      <c r="BI44" s="30" t="s">
        <v>158</v>
      </c>
      <c r="BJ44" s="30" t="s">
        <v>158</v>
      </c>
      <c r="BK44" s="30" t="s">
        <v>158</v>
      </c>
      <c r="BL44" s="30" t="s">
        <v>158</v>
      </c>
      <c r="BM44" s="30" t="s">
        <v>158</v>
      </c>
      <c r="BN44" s="170">
        <v>40</v>
      </c>
      <c r="BO44" s="156" t="s">
        <v>158</v>
      </c>
      <c r="BP44" s="156" t="s">
        <v>158</v>
      </c>
      <c r="BQ44" s="156" t="s">
        <v>158</v>
      </c>
      <c r="BR44" s="156" t="s">
        <v>158</v>
      </c>
      <c r="BS44" s="156" t="s">
        <v>158</v>
      </c>
      <c r="BT44" s="156" t="s">
        <v>158</v>
      </c>
      <c r="BU44" s="156" t="s">
        <v>158</v>
      </c>
      <c r="BV44" s="156" t="s">
        <v>158</v>
      </c>
      <c r="BW44" s="156" t="s">
        <v>158</v>
      </c>
      <c r="BX44" s="156" t="s">
        <v>158</v>
      </c>
      <c r="BY44" s="156" t="s">
        <v>158</v>
      </c>
      <c r="BZ44" s="156" t="s">
        <v>158</v>
      </c>
      <c r="CA44" s="156" t="s">
        <v>158</v>
      </c>
      <c r="CB44" s="156" t="s">
        <v>158</v>
      </c>
      <c r="CC44" s="156" t="s">
        <v>158</v>
      </c>
      <c r="CD44" s="156" t="s">
        <v>158</v>
      </c>
      <c r="CE44" s="156" t="s">
        <v>158</v>
      </c>
      <c r="CF44" s="156" t="s">
        <v>158</v>
      </c>
      <c r="CG44" s="156" t="s">
        <v>158</v>
      </c>
      <c r="CH44" s="156" t="s">
        <v>158</v>
      </c>
      <c r="CI44" s="156" t="s">
        <v>158</v>
      </c>
      <c r="CJ44" s="156" t="s">
        <v>158</v>
      </c>
      <c r="CK44" s="156" t="s">
        <v>158</v>
      </c>
      <c r="CL44" s="156" t="s">
        <v>158</v>
      </c>
      <c r="CM44" s="156" t="s">
        <v>158</v>
      </c>
      <c r="CN44" s="156" t="s">
        <v>158</v>
      </c>
      <c r="CO44" s="156" t="s">
        <v>158</v>
      </c>
      <c r="CP44" s="156" t="s">
        <v>158</v>
      </c>
      <c r="CQ44" s="156" t="s">
        <v>158</v>
      </c>
      <c r="CR44" s="156" t="s">
        <v>158</v>
      </c>
      <c r="CS44" s="156" t="s">
        <v>158</v>
      </c>
      <c r="CT44" s="156" t="s">
        <v>158</v>
      </c>
      <c r="CU44" s="156" t="s">
        <v>158</v>
      </c>
      <c r="CV44" s="156" t="s">
        <v>158</v>
      </c>
      <c r="CW44" s="156" t="s">
        <v>158</v>
      </c>
      <c r="CX44" s="156" t="s">
        <v>158</v>
      </c>
      <c r="CY44" s="157" t="s">
        <v>158</v>
      </c>
      <c r="CZ44" s="171"/>
      <c r="DA44" s="121"/>
      <c r="DB44" s="121"/>
      <c r="DC44" s="121"/>
      <c r="DD44" s="121"/>
      <c r="DE44" s="121"/>
      <c r="DF44" s="121"/>
      <c r="DG44" s="121"/>
      <c r="DH44" s="122"/>
    </row>
    <row r="45" spans="1:112" hidden="1" x14ac:dyDescent="0.2">
      <c r="A45" s="106" t="s">
        <v>4</v>
      </c>
      <c r="B45" s="106" t="s">
        <v>4</v>
      </c>
      <c r="C45" s="14" t="s">
        <v>20</v>
      </c>
      <c r="G45" s="28">
        <v>44483</v>
      </c>
      <c r="H45" s="16">
        <v>2021</v>
      </c>
      <c r="I45" s="135" t="s">
        <v>33</v>
      </c>
      <c r="J45" s="135">
        <v>10</v>
      </c>
      <c r="K45" s="140">
        <v>0.85</v>
      </c>
      <c r="L45" s="5" t="s">
        <v>159</v>
      </c>
      <c r="M45" s="76">
        <v>0.49893779904306224</v>
      </c>
      <c r="N45" s="77">
        <v>1.1133397129186604</v>
      </c>
      <c r="O45" s="77">
        <v>3.7973588516746415</v>
      </c>
      <c r="P45" s="77">
        <v>3.4587846889952156</v>
      </c>
      <c r="Q45" s="77">
        <v>7.6062679425837327</v>
      </c>
      <c r="R45" s="77">
        <v>6.8954928229665082</v>
      </c>
      <c r="S45" s="77">
        <v>2.1574736842105264</v>
      </c>
      <c r="T45" s="78">
        <f t="shared" ref="T45:T59" si="6">SUM(M45:S45)</f>
        <v>25.527655502392346</v>
      </c>
      <c r="U45" s="17">
        <f t="shared" ref="U45:U106" si="7">SUM(M45,N45,O45,Q45,R45,S45)*(5/K45)</f>
        <v>129.81688713763018</v>
      </c>
      <c r="V45" s="79">
        <v>7.7000000000000002E-3</v>
      </c>
      <c r="W45" s="76">
        <v>0.19</v>
      </c>
      <c r="X45" s="80">
        <v>5.6000000000000001E-2</v>
      </c>
      <c r="Y45" s="76">
        <v>0.13</v>
      </c>
      <c r="Z45" s="83" t="s">
        <v>445</v>
      </c>
      <c r="AA45" s="80">
        <v>2.8000000000000001E-2</v>
      </c>
      <c r="AB45" s="79">
        <v>2.3E-2</v>
      </c>
      <c r="AC45" s="76" t="s">
        <v>438</v>
      </c>
      <c r="AD45" s="76">
        <v>0.43470000000000009</v>
      </c>
      <c r="AE45" s="17">
        <f>SUM(V45,W45,Y45,X45,AB45,AA45)</f>
        <v>0.43470000000000003</v>
      </c>
      <c r="AF45" s="81">
        <v>4.2296650717703353E-2</v>
      </c>
      <c r="AG45" s="18">
        <f t="shared" ref="AG45:AG59" si="8">AF45*(5/K45)</f>
        <v>0.24880382775119622</v>
      </c>
      <c r="AH45" s="273">
        <v>23.498233673046133</v>
      </c>
      <c r="AI45" s="274">
        <v>-0.15</v>
      </c>
      <c r="AJ45" s="275" t="s">
        <v>158</v>
      </c>
      <c r="AK45" s="274" t="s">
        <v>158</v>
      </c>
      <c r="AL45" s="274">
        <v>-0.1</v>
      </c>
      <c r="AM45" s="274">
        <v>-0.1</v>
      </c>
      <c r="AN45" s="276">
        <v>1.8116525834161761</v>
      </c>
      <c r="AO45" s="274">
        <v>-0.15</v>
      </c>
      <c r="AP45" s="277" t="s">
        <v>158</v>
      </c>
      <c r="AQ45" s="274">
        <v>0.85981041778185618</v>
      </c>
      <c r="AR45" s="274">
        <v>-0.2</v>
      </c>
      <c r="AS45" s="98">
        <v>2.2384839041945002</v>
      </c>
      <c r="AT45" s="97">
        <v>0.64320530957661037</v>
      </c>
      <c r="AU45" s="97">
        <v>0.65453016051777246</v>
      </c>
      <c r="AV45" s="97">
        <v>-0.15</v>
      </c>
      <c r="AW45" s="96">
        <v>-0.112</v>
      </c>
      <c r="AX45" s="96"/>
      <c r="AY45" s="96"/>
      <c r="AZ45" s="96"/>
      <c r="BA45" s="96"/>
      <c r="BB45" s="96"/>
      <c r="BC45" s="5" t="s">
        <v>158</v>
      </c>
      <c r="BD45" s="5" t="s">
        <v>158</v>
      </c>
      <c r="BE45" s="5" t="s">
        <v>158</v>
      </c>
      <c r="BF45" s="5" t="s">
        <v>158</v>
      </c>
      <c r="BG45" s="5" t="s">
        <v>158</v>
      </c>
      <c r="BH45" s="5" t="s">
        <v>158</v>
      </c>
      <c r="BI45" s="5" t="s">
        <v>158</v>
      </c>
      <c r="BJ45" s="5" t="s">
        <v>158</v>
      </c>
      <c r="BK45" s="5" t="s">
        <v>158</v>
      </c>
      <c r="BL45" s="5" t="s">
        <v>158</v>
      </c>
      <c r="BM45" s="5" t="s">
        <v>158</v>
      </c>
      <c r="BN45" s="1">
        <v>110</v>
      </c>
      <c r="BO45" s="64" t="s">
        <v>158</v>
      </c>
      <c r="BP45" s="64" t="s">
        <v>158</v>
      </c>
      <c r="BQ45" s="64" t="s">
        <v>158</v>
      </c>
      <c r="BR45" s="64" t="s">
        <v>158</v>
      </c>
      <c r="BS45" s="64" t="s">
        <v>158</v>
      </c>
      <c r="BT45" s="64" t="s">
        <v>158</v>
      </c>
      <c r="BU45" s="64" t="s">
        <v>158</v>
      </c>
      <c r="BV45" s="64" t="s">
        <v>158</v>
      </c>
      <c r="BW45" s="64" t="s">
        <v>158</v>
      </c>
      <c r="BX45" s="64" t="s">
        <v>158</v>
      </c>
      <c r="BY45" s="64" t="s">
        <v>158</v>
      </c>
      <c r="BZ45" s="64" t="s">
        <v>158</v>
      </c>
      <c r="CA45" s="64" t="s">
        <v>158</v>
      </c>
      <c r="CB45" s="64" t="s">
        <v>158</v>
      </c>
      <c r="CC45" s="64" t="s">
        <v>158</v>
      </c>
      <c r="CD45" s="64" t="s">
        <v>158</v>
      </c>
      <c r="CE45" s="64" t="s">
        <v>158</v>
      </c>
      <c r="CF45" s="64" t="s">
        <v>158</v>
      </c>
      <c r="CG45" s="64" t="s">
        <v>158</v>
      </c>
      <c r="CH45" s="64" t="s">
        <v>158</v>
      </c>
      <c r="CI45" s="64" t="s">
        <v>158</v>
      </c>
      <c r="CJ45" s="64" t="s">
        <v>158</v>
      </c>
      <c r="CK45" s="64" t="s">
        <v>158</v>
      </c>
      <c r="CL45" s="64" t="s">
        <v>158</v>
      </c>
      <c r="CM45" s="64" t="s">
        <v>158</v>
      </c>
      <c r="CN45" s="64" t="s">
        <v>158</v>
      </c>
      <c r="CO45" s="64" t="s">
        <v>158</v>
      </c>
      <c r="CP45" s="64" t="s">
        <v>158</v>
      </c>
      <c r="CQ45" s="64" t="s">
        <v>158</v>
      </c>
      <c r="CR45" s="64" t="s">
        <v>158</v>
      </c>
      <c r="CS45" s="64" t="s">
        <v>158</v>
      </c>
      <c r="CT45" s="64" t="s">
        <v>158</v>
      </c>
      <c r="CU45" s="64" t="s">
        <v>158</v>
      </c>
      <c r="CV45" s="64" t="s">
        <v>158</v>
      </c>
      <c r="CW45" s="64" t="s">
        <v>158</v>
      </c>
      <c r="CX45" s="64" t="s">
        <v>158</v>
      </c>
      <c r="CY45" s="66" t="s">
        <v>158</v>
      </c>
      <c r="CZ45" s="73"/>
    </row>
    <row r="46" spans="1:112" hidden="1" x14ac:dyDescent="0.2">
      <c r="A46" s="106" t="s">
        <v>9</v>
      </c>
      <c r="B46" s="106" t="s">
        <v>9</v>
      </c>
      <c r="C46" s="14" t="s">
        <v>20</v>
      </c>
      <c r="G46" s="28">
        <v>44467</v>
      </c>
      <c r="H46" s="16">
        <v>2021</v>
      </c>
      <c r="I46" s="135" t="s">
        <v>33</v>
      </c>
      <c r="J46" s="135">
        <v>10</v>
      </c>
      <c r="K46" s="140">
        <v>0.74</v>
      </c>
      <c r="L46" s="5" t="s">
        <v>159</v>
      </c>
      <c r="M46" s="79">
        <v>3.0484827345657484E-2</v>
      </c>
      <c r="N46" s="76">
        <v>0.12925531914893618</v>
      </c>
      <c r="O46" s="77">
        <v>1.0435734216951518</v>
      </c>
      <c r="P46" s="76">
        <v>0.78927014300662712</v>
      </c>
      <c r="Q46" s="77">
        <v>3.9455964422741543</v>
      </c>
      <c r="R46" s="77">
        <v>3.0762469480292989</v>
      </c>
      <c r="S46" s="77">
        <v>1.5950470875479597</v>
      </c>
      <c r="T46" s="78">
        <f t="shared" si="6"/>
        <v>10.609474189047786</v>
      </c>
      <c r="U46" s="17">
        <f t="shared" si="7"/>
        <v>66.352730040818628</v>
      </c>
      <c r="V46" s="82" t="s">
        <v>468</v>
      </c>
      <c r="W46" s="80">
        <v>0.09</v>
      </c>
      <c r="X46" s="80">
        <v>2.5999999999999999E-2</v>
      </c>
      <c r="Y46" s="80">
        <v>2.9000000000000001E-2</v>
      </c>
      <c r="Z46" s="92" t="s">
        <v>468</v>
      </c>
      <c r="AA46" s="79">
        <v>2.1000000000000001E-2</v>
      </c>
      <c r="AB46" s="79">
        <v>1.2E-2</v>
      </c>
      <c r="AC46" s="76" t="s">
        <v>438</v>
      </c>
      <c r="AD46" s="76">
        <v>0.17799999999999999</v>
      </c>
      <c r="AE46" s="17">
        <f>SUM(V46,W46,Y46,X46,AB46,AA46)</f>
        <v>0.17799999999999999</v>
      </c>
      <c r="AF46" s="80">
        <v>1.1771886989884899E-2</v>
      </c>
      <c r="AG46" s="18">
        <f t="shared" si="8"/>
        <v>7.9539776958681752E-2</v>
      </c>
      <c r="AH46" s="276">
        <v>3.1505038066233935</v>
      </c>
      <c r="AI46" s="274">
        <v>-0.15</v>
      </c>
      <c r="AJ46" s="275" t="s">
        <v>158</v>
      </c>
      <c r="AK46" s="274" t="s">
        <v>158</v>
      </c>
      <c r="AL46" s="274">
        <v>-0.1</v>
      </c>
      <c r="AM46" s="274">
        <v>-0.1</v>
      </c>
      <c r="AN46" s="276">
        <v>1.1241853438952707</v>
      </c>
      <c r="AO46" s="274">
        <v>-0.15</v>
      </c>
      <c r="AP46" s="277" t="s">
        <v>158</v>
      </c>
      <c r="AQ46" s="274">
        <v>0.47843247415663104</v>
      </c>
      <c r="AR46" s="274">
        <v>-0.2</v>
      </c>
      <c r="AS46" s="97">
        <v>0.93365791734129977</v>
      </c>
      <c r="AT46" s="97">
        <v>0.23413826297454951</v>
      </c>
      <c r="AU46" s="97">
        <v>0.35017341783436057</v>
      </c>
      <c r="AV46" s="97">
        <v>-0.15</v>
      </c>
      <c r="AW46" s="96">
        <v>-0.112</v>
      </c>
      <c r="AX46" s="96"/>
      <c r="AY46" s="96"/>
      <c r="AZ46" s="96"/>
      <c r="BA46" s="96"/>
      <c r="BB46" s="96"/>
      <c r="BC46" s="5" t="s">
        <v>158</v>
      </c>
      <c r="BD46" s="5" t="s">
        <v>158</v>
      </c>
      <c r="BE46" s="5" t="s">
        <v>158</v>
      </c>
      <c r="BF46" s="5" t="s">
        <v>158</v>
      </c>
      <c r="BG46" s="5" t="s">
        <v>158</v>
      </c>
      <c r="BH46" s="5" t="s">
        <v>158</v>
      </c>
      <c r="BI46" s="5" t="s">
        <v>158</v>
      </c>
      <c r="BJ46" s="5" t="s">
        <v>158</v>
      </c>
      <c r="BK46" s="5" t="s">
        <v>158</v>
      </c>
      <c r="BL46" s="5" t="s">
        <v>158</v>
      </c>
      <c r="BM46" s="5" t="s">
        <v>158</v>
      </c>
      <c r="BN46" s="1">
        <v>65</v>
      </c>
      <c r="BO46" s="64" t="s">
        <v>158</v>
      </c>
      <c r="BP46" s="64" t="s">
        <v>158</v>
      </c>
      <c r="BQ46" s="64" t="s">
        <v>158</v>
      </c>
      <c r="BR46" s="64" t="s">
        <v>158</v>
      </c>
      <c r="BS46" s="64" t="s">
        <v>158</v>
      </c>
      <c r="BT46" s="64" t="s">
        <v>158</v>
      </c>
      <c r="BU46" s="64" t="s">
        <v>158</v>
      </c>
      <c r="BV46" s="64" t="s">
        <v>158</v>
      </c>
      <c r="BW46" s="64" t="s">
        <v>158</v>
      </c>
      <c r="BX46" s="64" t="s">
        <v>158</v>
      </c>
      <c r="BY46" s="64" t="s">
        <v>158</v>
      </c>
      <c r="BZ46" s="64" t="s">
        <v>158</v>
      </c>
      <c r="CA46" s="64" t="s">
        <v>158</v>
      </c>
      <c r="CB46" s="64" t="s">
        <v>158</v>
      </c>
      <c r="CC46" s="64" t="s">
        <v>158</v>
      </c>
      <c r="CD46" s="64" t="s">
        <v>158</v>
      </c>
      <c r="CE46" s="64" t="s">
        <v>158</v>
      </c>
      <c r="CF46" s="64" t="s">
        <v>158</v>
      </c>
      <c r="CG46" s="64" t="s">
        <v>158</v>
      </c>
      <c r="CH46" s="64" t="s">
        <v>158</v>
      </c>
      <c r="CI46" s="64" t="s">
        <v>158</v>
      </c>
      <c r="CJ46" s="64" t="s">
        <v>158</v>
      </c>
      <c r="CK46" s="64" t="s">
        <v>158</v>
      </c>
      <c r="CL46" s="64" t="s">
        <v>158</v>
      </c>
      <c r="CM46" s="64" t="s">
        <v>158</v>
      </c>
      <c r="CN46" s="64" t="s">
        <v>158</v>
      </c>
      <c r="CO46" s="64" t="s">
        <v>158</v>
      </c>
      <c r="CP46" s="64" t="s">
        <v>158</v>
      </c>
      <c r="CQ46" s="64" t="s">
        <v>158</v>
      </c>
      <c r="CR46" s="64" t="s">
        <v>158</v>
      </c>
      <c r="CS46" s="64" t="s">
        <v>158</v>
      </c>
      <c r="CT46" s="64" t="s">
        <v>158</v>
      </c>
      <c r="CU46" s="64" t="s">
        <v>158</v>
      </c>
      <c r="CV46" s="64" t="s">
        <v>158</v>
      </c>
      <c r="CW46" s="64" t="s">
        <v>158</v>
      </c>
      <c r="CX46" s="64" t="s">
        <v>158</v>
      </c>
      <c r="CY46" s="66" t="s">
        <v>158</v>
      </c>
      <c r="CZ46" s="73"/>
    </row>
    <row r="47" spans="1:112" hidden="1" x14ac:dyDescent="0.2">
      <c r="A47" s="106" t="s">
        <v>7</v>
      </c>
      <c r="B47" s="106" t="s">
        <v>7</v>
      </c>
      <c r="C47" s="14" t="s">
        <v>20</v>
      </c>
      <c r="G47" s="28">
        <v>44438</v>
      </c>
      <c r="H47" s="16">
        <v>2021</v>
      </c>
      <c r="I47" s="135" t="s">
        <v>33</v>
      </c>
      <c r="J47" s="135">
        <v>10</v>
      </c>
      <c r="K47" s="140">
        <v>0.68</v>
      </c>
      <c r="L47" s="5" t="s">
        <v>159</v>
      </c>
      <c r="M47" s="80">
        <v>5.5391373237081168E-2</v>
      </c>
      <c r="N47" s="76">
        <v>0.32046993040674343</v>
      </c>
      <c r="O47" s="76">
        <v>0.79731127826721071</v>
      </c>
      <c r="P47" s="76">
        <v>0.81743822258409171</v>
      </c>
      <c r="Q47" s="77">
        <v>1.8820679694486768</v>
      </c>
      <c r="R47" s="77">
        <v>1.6658696724531601</v>
      </c>
      <c r="S47" s="76">
        <v>0.5953648059814094</v>
      </c>
      <c r="T47" s="77">
        <f t="shared" si="6"/>
        <v>6.1339132523783739</v>
      </c>
      <c r="U47" s="17">
        <f t="shared" si="7"/>
        <v>39.091728160252067</v>
      </c>
      <c r="V47" s="80" t="s">
        <v>445</v>
      </c>
      <c r="W47" s="76">
        <v>0.12</v>
      </c>
      <c r="X47" s="80">
        <v>2.1000000000000001E-2</v>
      </c>
      <c r="Y47" s="80">
        <v>6.2E-2</v>
      </c>
      <c r="Z47" s="92" t="s">
        <v>445</v>
      </c>
      <c r="AA47" s="79">
        <v>1.6E-2</v>
      </c>
      <c r="AB47" s="79">
        <v>1.2E-2</v>
      </c>
      <c r="AC47" s="80" t="s">
        <v>469</v>
      </c>
      <c r="AD47" s="76">
        <v>0.23099999999999998</v>
      </c>
      <c r="AE47" s="17">
        <f t="shared" ref="AE47:AE60" si="9">SUM(V47,W47,Y47,X47,AB47,AA47)</f>
        <v>0.23099999999999998</v>
      </c>
      <c r="AF47" s="81">
        <v>7.6761867628423824E-2</v>
      </c>
      <c r="AG47" s="18">
        <f t="shared" si="8"/>
        <v>0.56442549726782221</v>
      </c>
      <c r="AH47" s="273">
        <v>14.246413076027046</v>
      </c>
      <c r="AI47" s="274">
        <v>-0.15</v>
      </c>
      <c r="AJ47" s="274" t="s">
        <v>158</v>
      </c>
      <c r="AK47" s="274" t="s">
        <v>158</v>
      </c>
      <c r="AL47" s="274">
        <v>-0.1</v>
      </c>
      <c r="AM47" s="274">
        <v>0.12445238338716696</v>
      </c>
      <c r="AN47" s="274">
        <v>3.0022469472718574</v>
      </c>
      <c r="AO47" s="274">
        <v>0.71286404216296095</v>
      </c>
      <c r="AP47" s="277" t="s">
        <v>158</v>
      </c>
      <c r="AQ47" s="276">
        <v>1.4104732794085018</v>
      </c>
      <c r="AR47" s="274">
        <v>-0.2</v>
      </c>
      <c r="AS47" s="98">
        <v>3.3684109753727403</v>
      </c>
      <c r="AT47" s="97">
        <v>0.41319329070514288</v>
      </c>
      <c r="AU47" s="97">
        <v>0.86394001001007326</v>
      </c>
      <c r="AV47" s="97">
        <v>-0.15</v>
      </c>
      <c r="AW47" s="97">
        <v>0.12</v>
      </c>
      <c r="AX47" s="97"/>
      <c r="AY47" s="97"/>
      <c r="AZ47" s="97"/>
      <c r="BA47" s="97"/>
      <c r="BB47" s="97"/>
      <c r="BC47" s="5" t="s">
        <v>158</v>
      </c>
      <c r="BD47" s="5" t="s">
        <v>158</v>
      </c>
      <c r="BE47" s="5" t="s">
        <v>158</v>
      </c>
      <c r="BF47" s="5" t="s">
        <v>158</v>
      </c>
      <c r="BG47" s="5" t="s">
        <v>158</v>
      </c>
      <c r="BH47" s="5" t="s">
        <v>158</v>
      </c>
      <c r="BI47" s="5" t="s">
        <v>158</v>
      </c>
      <c r="BJ47" s="5" t="s">
        <v>158</v>
      </c>
      <c r="BK47" s="5" t="s">
        <v>158</v>
      </c>
      <c r="BL47" s="5" t="s">
        <v>158</v>
      </c>
      <c r="BM47" s="5" t="s">
        <v>158</v>
      </c>
      <c r="BN47" s="1">
        <v>110</v>
      </c>
      <c r="BO47" s="64" t="s">
        <v>158</v>
      </c>
      <c r="BP47" s="64" t="s">
        <v>158</v>
      </c>
      <c r="BQ47" s="64" t="s">
        <v>158</v>
      </c>
      <c r="BR47" s="64" t="s">
        <v>158</v>
      </c>
      <c r="BS47" s="64" t="s">
        <v>158</v>
      </c>
      <c r="BT47" s="64" t="s">
        <v>158</v>
      </c>
      <c r="BU47" s="64" t="s">
        <v>158</v>
      </c>
      <c r="BV47" s="64" t="s">
        <v>158</v>
      </c>
      <c r="BW47" s="64" t="s">
        <v>158</v>
      </c>
      <c r="BX47" s="64" t="s">
        <v>158</v>
      </c>
      <c r="BY47" s="64" t="s">
        <v>158</v>
      </c>
      <c r="BZ47" s="64" t="s">
        <v>158</v>
      </c>
      <c r="CA47" s="64" t="s">
        <v>158</v>
      </c>
      <c r="CB47" s="64" t="s">
        <v>158</v>
      </c>
      <c r="CC47" s="64" t="s">
        <v>158</v>
      </c>
      <c r="CD47" s="64" t="s">
        <v>158</v>
      </c>
      <c r="CE47" s="64" t="s">
        <v>158</v>
      </c>
      <c r="CF47" s="64" t="s">
        <v>158</v>
      </c>
      <c r="CG47" s="64" t="s">
        <v>158</v>
      </c>
      <c r="CH47" s="64" t="s">
        <v>158</v>
      </c>
      <c r="CI47" s="64" t="s">
        <v>158</v>
      </c>
      <c r="CJ47" s="64" t="s">
        <v>158</v>
      </c>
      <c r="CK47" s="64" t="s">
        <v>158</v>
      </c>
      <c r="CL47" s="64" t="s">
        <v>158</v>
      </c>
      <c r="CM47" s="64" t="s">
        <v>158</v>
      </c>
      <c r="CN47" s="64" t="s">
        <v>158</v>
      </c>
      <c r="CO47" s="64" t="s">
        <v>158</v>
      </c>
      <c r="CP47" s="64" t="s">
        <v>158</v>
      </c>
      <c r="CQ47" s="64" t="s">
        <v>158</v>
      </c>
      <c r="CR47" s="64" t="s">
        <v>158</v>
      </c>
      <c r="CS47" s="64" t="s">
        <v>158</v>
      </c>
      <c r="CT47" s="64" t="s">
        <v>158</v>
      </c>
      <c r="CU47" s="64" t="s">
        <v>158</v>
      </c>
      <c r="CV47" s="64" t="s">
        <v>158</v>
      </c>
      <c r="CW47" s="64" t="s">
        <v>158</v>
      </c>
      <c r="CX47" s="64" t="s">
        <v>158</v>
      </c>
      <c r="CY47" s="66" t="s">
        <v>158</v>
      </c>
      <c r="CZ47" s="73"/>
    </row>
    <row r="48" spans="1:112" hidden="1" x14ac:dyDescent="0.2">
      <c r="A48" s="106" t="s">
        <v>79</v>
      </c>
      <c r="B48" s="106" t="s">
        <v>79</v>
      </c>
      <c r="C48" s="14" t="s">
        <v>20</v>
      </c>
      <c r="G48" s="28">
        <v>44442</v>
      </c>
      <c r="H48" s="16">
        <v>2021</v>
      </c>
      <c r="I48" s="135" t="s">
        <v>33</v>
      </c>
      <c r="J48" s="135">
        <v>10</v>
      </c>
      <c r="K48" s="140">
        <v>0.68</v>
      </c>
      <c r="L48" s="5" t="s">
        <v>159</v>
      </c>
      <c r="M48" s="90">
        <v>0.17915292662819454</v>
      </c>
      <c r="N48" s="76">
        <v>0.52970939818631491</v>
      </c>
      <c r="O48" s="77">
        <v>2.112407254740313</v>
      </c>
      <c r="P48" s="77">
        <v>1.7389633140972793</v>
      </c>
      <c r="Q48" s="77">
        <v>4.1768446001648805</v>
      </c>
      <c r="R48" s="77">
        <v>3.6832749381698267</v>
      </c>
      <c r="S48" s="77">
        <v>1.2569661995053585</v>
      </c>
      <c r="T48" s="78">
        <f t="shared" si="6"/>
        <v>13.677318631492168</v>
      </c>
      <c r="U48" s="17">
        <f t="shared" si="7"/>
        <v>87.782024392609472</v>
      </c>
      <c r="V48" s="82" t="s">
        <v>435</v>
      </c>
      <c r="W48" s="80">
        <v>3.6999999999999998E-2</v>
      </c>
      <c r="X48" s="79">
        <v>6.7000000000000002E-3</v>
      </c>
      <c r="Y48" s="79">
        <v>1.9E-2</v>
      </c>
      <c r="Z48" s="92" t="s">
        <v>435</v>
      </c>
      <c r="AA48" s="82" t="s">
        <v>435</v>
      </c>
      <c r="AB48" s="82" t="s">
        <v>435</v>
      </c>
      <c r="AC48" s="80" t="s">
        <v>470</v>
      </c>
      <c r="AD48" s="76">
        <v>6.2699999999999992E-2</v>
      </c>
      <c r="AE48" s="17">
        <f t="shared" si="9"/>
        <v>6.2699999999999992E-2</v>
      </c>
      <c r="AF48" s="81">
        <v>1.1438582028029678E-2</v>
      </c>
      <c r="AG48" s="18">
        <f t="shared" si="8"/>
        <v>8.4107220794335871E-2</v>
      </c>
      <c r="AH48" s="273">
        <v>13.107063476831913</v>
      </c>
      <c r="AI48" s="274">
        <v>-0.15</v>
      </c>
      <c r="AJ48" s="274" t="s">
        <v>158</v>
      </c>
      <c r="AK48" s="274" t="s">
        <v>158</v>
      </c>
      <c r="AL48" s="274">
        <v>-0.1</v>
      </c>
      <c r="AM48" s="274">
        <v>-0.1</v>
      </c>
      <c r="AN48" s="274">
        <v>0.57919280547925467</v>
      </c>
      <c r="AO48" s="274">
        <v>-0.15</v>
      </c>
      <c r="AP48" s="277" t="s">
        <v>158</v>
      </c>
      <c r="AQ48" s="274">
        <v>0.49797376722762643</v>
      </c>
      <c r="AR48" s="274">
        <v>-0.2</v>
      </c>
      <c r="AS48" s="98">
        <v>1.4763644160299385</v>
      </c>
      <c r="AT48" s="97">
        <v>0.22776001871199125</v>
      </c>
      <c r="AU48" s="97">
        <v>0.3341709748227758</v>
      </c>
      <c r="AV48" s="97">
        <v>-0.15</v>
      </c>
      <c r="AW48" s="96">
        <v>-0.112</v>
      </c>
      <c r="AX48" s="96"/>
      <c r="AY48" s="96"/>
      <c r="AZ48" s="96"/>
      <c r="BA48" s="96"/>
      <c r="BB48" s="96"/>
      <c r="BC48" s="5" t="s">
        <v>158</v>
      </c>
      <c r="BD48" s="5" t="s">
        <v>158</v>
      </c>
      <c r="BE48" s="5" t="s">
        <v>158</v>
      </c>
      <c r="BF48" s="5" t="s">
        <v>158</v>
      </c>
      <c r="BG48" s="5" t="s">
        <v>158</v>
      </c>
      <c r="BH48" s="5" t="s">
        <v>158</v>
      </c>
      <c r="BI48" s="5" t="s">
        <v>158</v>
      </c>
      <c r="BJ48" s="5" t="s">
        <v>158</v>
      </c>
      <c r="BK48" s="5" t="s">
        <v>158</v>
      </c>
      <c r="BL48" s="5" t="s">
        <v>158</v>
      </c>
      <c r="BM48" s="5" t="s">
        <v>158</v>
      </c>
      <c r="BN48" s="1">
        <v>170</v>
      </c>
      <c r="BO48" s="64" t="s">
        <v>158</v>
      </c>
      <c r="BP48" s="64" t="s">
        <v>158</v>
      </c>
      <c r="BQ48" s="64" t="s">
        <v>158</v>
      </c>
      <c r="BR48" s="64" t="s">
        <v>158</v>
      </c>
      <c r="BS48" s="64" t="s">
        <v>158</v>
      </c>
      <c r="BT48" s="64" t="s">
        <v>158</v>
      </c>
      <c r="BU48" s="64" t="s">
        <v>158</v>
      </c>
      <c r="BV48" s="64" t="s">
        <v>158</v>
      </c>
      <c r="BW48" s="64" t="s">
        <v>158</v>
      </c>
      <c r="BX48" s="64" t="s">
        <v>158</v>
      </c>
      <c r="BY48" s="64" t="s">
        <v>158</v>
      </c>
      <c r="BZ48" s="64" t="s">
        <v>158</v>
      </c>
      <c r="CA48" s="64" t="s">
        <v>158</v>
      </c>
      <c r="CB48" s="64" t="s">
        <v>158</v>
      </c>
      <c r="CC48" s="64" t="s">
        <v>158</v>
      </c>
      <c r="CD48" s="64" t="s">
        <v>158</v>
      </c>
      <c r="CE48" s="64" t="s">
        <v>158</v>
      </c>
      <c r="CF48" s="64" t="s">
        <v>158</v>
      </c>
      <c r="CG48" s="64" t="s">
        <v>158</v>
      </c>
      <c r="CH48" s="64" t="s">
        <v>158</v>
      </c>
      <c r="CI48" s="64" t="s">
        <v>158</v>
      </c>
      <c r="CJ48" s="64" t="s">
        <v>158</v>
      </c>
      <c r="CK48" s="64" t="s">
        <v>158</v>
      </c>
      <c r="CL48" s="64" t="s">
        <v>158</v>
      </c>
      <c r="CM48" s="64" t="s">
        <v>158</v>
      </c>
      <c r="CN48" s="64" t="s">
        <v>158</v>
      </c>
      <c r="CO48" s="64" t="s">
        <v>158</v>
      </c>
      <c r="CP48" s="64" t="s">
        <v>158</v>
      </c>
      <c r="CQ48" s="64" t="s">
        <v>158</v>
      </c>
      <c r="CR48" s="64" t="s">
        <v>158</v>
      </c>
      <c r="CS48" s="64" t="s">
        <v>158</v>
      </c>
      <c r="CT48" s="64" t="s">
        <v>158</v>
      </c>
      <c r="CU48" s="64" t="s">
        <v>158</v>
      </c>
      <c r="CV48" s="64" t="s">
        <v>158</v>
      </c>
      <c r="CW48" s="64" t="s">
        <v>158</v>
      </c>
      <c r="CX48" s="64" t="s">
        <v>158</v>
      </c>
      <c r="CY48" s="66" t="s">
        <v>158</v>
      </c>
      <c r="CZ48" s="73"/>
    </row>
    <row r="49" spans="1:104" hidden="1" x14ac:dyDescent="0.2">
      <c r="A49" s="106" t="s">
        <v>5</v>
      </c>
      <c r="B49" s="106" t="s">
        <v>5</v>
      </c>
      <c r="C49" s="14" t="s">
        <v>20</v>
      </c>
      <c r="G49" s="74">
        <v>44433</v>
      </c>
      <c r="H49" s="16">
        <v>2021</v>
      </c>
      <c r="I49" s="135" t="s">
        <v>33</v>
      </c>
      <c r="J49" s="135">
        <v>10</v>
      </c>
      <c r="K49" s="140">
        <v>0.56000000000000005</v>
      </c>
      <c r="L49" s="5" t="s">
        <v>159</v>
      </c>
      <c r="M49" s="90">
        <v>0.95105474198047435</v>
      </c>
      <c r="N49" s="77">
        <v>3.4751307531380755</v>
      </c>
      <c r="O49" s="78">
        <v>13.296565550906555</v>
      </c>
      <c r="P49" s="78">
        <v>11.685407949790797</v>
      </c>
      <c r="Q49" s="78">
        <v>21.122358786610878</v>
      </c>
      <c r="R49" s="78">
        <v>19.618244421199442</v>
      </c>
      <c r="S49" s="77">
        <v>4.9528591352859141</v>
      </c>
      <c r="T49" s="78">
        <f t="shared" si="6"/>
        <v>75.101621338912153</v>
      </c>
      <c r="U49" s="17">
        <f t="shared" si="7"/>
        <v>566.21619097429755</v>
      </c>
      <c r="V49" s="79">
        <v>7.4999999999999997E-3</v>
      </c>
      <c r="W49" s="76">
        <v>0.28000000000000003</v>
      </c>
      <c r="X49" s="76">
        <v>0.11</v>
      </c>
      <c r="Y49" s="76">
        <v>0.22</v>
      </c>
      <c r="Z49" s="92" t="s">
        <v>468</v>
      </c>
      <c r="AA49" s="80">
        <v>6.0999999999999999E-2</v>
      </c>
      <c r="AB49" s="80">
        <v>4.3999999999999997E-2</v>
      </c>
      <c r="AC49" s="80" t="s">
        <v>471</v>
      </c>
      <c r="AD49" s="76">
        <v>0.72250000000000014</v>
      </c>
      <c r="AE49" s="17">
        <f t="shared" si="9"/>
        <v>0.72250000000000014</v>
      </c>
      <c r="AF49" s="83">
        <v>3.7569735006973505E-2</v>
      </c>
      <c r="AG49" s="18">
        <f t="shared" si="8"/>
        <v>0.33544406256226339</v>
      </c>
      <c r="AH49" s="273">
        <v>11.81924142967455</v>
      </c>
      <c r="AI49" s="274">
        <v>-0.15</v>
      </c>
      <c r="AJ49" s="274" t="s">
        <v>158</v>
      </c>
      <c r="AK49" s="274" t="s">
        <v>158</v>
      </c>
      <c r="AL49" s="274">
        <v>-0.1</v>
      </c>
      <c r="AM49" s="274">
        <v>-0.1</v>
      </c>
      <c r="AN49" s="274">
        <v>0.73437460678250577</v>
      </c>
      <c r="AO49" s="274">
        <v>0.30796650541257242</v>
      </c>
      <c r="AP49" s="277" t="s">
        <v>158</v>
      </c>
      <c r="AQ49" s="274">
        <v>0.78476161660861277</v>
      </c>
      <c r="AR49" s="274">
        <v>-0.2</v>
      </c>
      <c r="AS49" s="98">
        <v>2.4288098989675486</v>
      </c>
      <c r="AT49" s="98">
        <v>1.3833482797887044</v>
      </c>
      <c r="AU49" s="98">
        <v>1.0972253232624951</v>
      </c>
      <c r="AV49" s="97">
        <v>-0.15</v>
      </c>
      <c r="AW49" s="96">
        <v>-0.112</v>
      </c>
      <c r="AX49" s="96"/>
      <c r="AY49" s="96"/>
      <c r="AZ49" s="96"/>
      <c r="BA49" s="96"/>
      <c r="BB49" s="96"/>
      <c r="BC49" s="5" t="s">
        <v>158</v>
      </c>
      <c r="BD49" s="5" t="s">
        <v>158</v>
      </c>
      <c r="BE49" s="5" t="s">
        <v>158</v>
      </c>
      <c r="BF49" s="5" t="s">
        <v>158</v>
      </c>
      <c r="BG49" s="5" t="s">
        <v>158</v>
      </c>
      <c r="BH49" s="5" t="s">
        <v>158</v>
      </c>
      <c r="BI49" s="5" t="s">
        <v>158</v>
      </c>
      <c r="BJ49" s="5" t="s">
        <v>158</v>
      </c>
      <c r="BK49" s="5" t="s">
        <v>158</v>
      </c>
      <c r="BL49" s="5" t="s">
        <v>158</v>
      </c>
      <c r="BM49" s="5" t="s">
        <v>158</v>
      </c>
      <c r="BN49" s="1">
        <v>75</v>
      </c>
      <c r="BO49" s="64" t="s">
        <v>158</v>
      </c>
      <c r="BP49" s="64" t="s">
        <v>158</v>
      </c>
      <c r="BQ49" s="64" t="s">
        <v>158</v>
      </c>
      <c r="BR49" s="64" t="s">
        <v>158</v>
      </c>
      <c r="BS49" s="64" t="s">
        <v>158</v>
      </c>
      <c r="BT49" s="64" t="s">
        <v>158</v>
      </c>
      <c r="BU49" s="64" t="s">
        <v>158</v>
      </c>
      <c r="BV49" s="64" t="s">
        <v>158</v>
      </c>
      <c r="BW49" s="64" t="s">
        <v>158</v>
      </c>
      <c r="BX49" s="64" t="s">
        <v>158</v>
      </c>
      <c r="BY49" s="64" t="s">
        <v>158</v>
      </c>
      <c r="BZ49" s="64" t="s">
        <v>158</v>
      </c>
      <c r="CA49" s="64" t="s">
        <v>158</v>
      </c>
      <c r="CB49" s="64" t="s">
        <v>158</v>
      </c>
      <c r="CC49" s="64" t="s">
        <v>158</v>
      </c>
      <c r="CD49" s="64" t="s">
        <v>158</v>
      </c>
      <c r="CE49" s="64" t="s">
        <v>158</v>
      </c>
      <c r="CF49" s="64" t="s">
        <v>158</v>
      </c>
      <c r="CG49" s="64" t="s">
        <v>158</v>
      </c>
      <c r="CH49" s="64" t="s">
        <v>158</v>
      </c>
      <c r="CI49" s="64" t="s">
        <v>158</v>
      </c>
      <c r="CJ49" s="64" t="s">
        <v>158</v>
      </c>
      <c r="CK49" s="64" t="s">
        <v>158</v>
      </c>
      <c r="CL49" s="64" t="s">
        <v>158</v>
      </c>
      <c r="CM49" s="64" t="s">
        <v>158</v>
      </c>
      <c r="CN49" s="64" t="s">
        <v>158</v>
      </c>
      <c r="CO49" s="64" t="s">
        <v>158</v>
      </c>
      <c r="CP49" s="64" t="s">
        <v>158</v>
      </c>
      <c r="CQ49" s="64" t="s">
        <v>158</v>
      </c>
      <c r="CR49" s="64" t="s">
        <v>158</v>
      </c>
      <c r="CS49" s="64" t="s">
        <v>158</v>
      </c>
      <c r="CT49" s="64" t="s">
        <v>158</v>
      </c>
      <c r="CU49" s="64" t="s">
        <v>158</v>
      </c>
      <c r="CV49" s="64" t="s">
        <v>158</v>
      </c>
      <c r="CW49" s="64" t="s">
        <v>158</v>
      </c>
      <c r="CX49" s="64" t="s">
        <v>158</v>
      </c>
      <c r="CY49" s="66" t="s">
        <v>158</v>
      </c>
      <c r="CZ49" s="73"/>
    </row>
    <row r="50" spans="1:104" hidden="1" x14ac:dyDescent="0.2">
      <c r="A50" s="106" t="s">
        <v>26</v>
      </c>
      <c r="B50" s="106" t="s">
        <v>26</v>
      </c>
      <c r="C50" s="14" t="s">
        <v>20</v>
      </c>
      <c r="G50" s="28">
        <v>44448</v>
      </c>
      <c r="H50" s="16">
        <v>2021</v>
      </c>
      <c r="I50" s="135" t="s">
        <v>33</v>
      </c>
      <c r="J50" s="135">
        <v>10</v>
      </c>
      <c r="K50" s="141">
        <v>0.6</v>
      </c>
      <c r="L50" s="5" t="s">
        <v>159</v>
      </c>
      <c r="M50" s="91">
        <v>2.0635664729045565E-2</v>
      </c>
      <c r="N50" s="80">
        <v>3.8683667729233075E-2</v>
      </c>
      <c r="O50" s="76">
        <v>0.23139883742733922</v>
      </c>
      <c r="P50" s="76">
        <v>0.25129383086442902</v>
      </c>
      <c r="Q50" s="76">
        <v>0.74805925370335635</v>
      </c>
      <c r="R50" s="76">
        <v>0.6914307144196512</v>
      </c>
      <c r="S50" s="76">
        <v>0.28041440090005626</v>
      </c>
      <c r="T50" s="77">
        <f t="shared" si="6"/>
        <v>2.2619163697731106</v>
      </c>
      <c r="U50" s="17">
        <f t="shared" si="7"/>
        <v>16.755187824239016</v>
      </c>
      <c r="V50" s="80" t="s">
        <v>472</v>
      </c>
      <c r="W50" s="84">
        <v>1.0999999999999999E-2</v>
      </c>
      <c r="X50" s="82" t="s">
        <v>473</v>
      </c>
      <c r="Y50" s="79">
        <v>8.9331429589990918E-3</v>
      </c>
      <c r="Z50" s="92" t="s">
        <v>472</v>
      </c>
      <c r="AA50" s="82" t="s">
        <v>472</v>
      </c>
      <c r="AB50" s="82" t="s">
        <v>472</v>
      </c>
      <c r="AC50" s="79">
        <v>8.3000000000000004E-2</v>
      </c>
      <c r="AD50" s="80">
        <v>1.9933142958999089E-2</v>
      </c>
      <c r="AE50" s="17">
        <f t="shared" si="9"/>
        <v>1.9933142958999089E-2</v>
      </c>
      <c r="AF50" s="81">
        <v>-4.6899999999999997E-3</v>
      </c>
      <c r="AG50" s="18" t="s">
        <v>158</v>
      </c>
      <c r="AH50" s="276">
        <v>5.1777710567330599</v>
      </c>
      <c r="AI50" s="274">
        <v>-0.15</v>
      </c>
      <c r="AJ50" s="274" t="s">
        <v>158</v>
      </c>
      <c r="AK50" s="274" t="s">
        <v>158</v>
      </c>
      <c r="AL50" s="274">
        <v>-0.1</v>
      </c>
      <c r="AM50" s="274">
        <v>-0.1</v>
      </c>
      <c r="AN50" s="274">
        <v>0.39766198857950485</v>
      </c>
      <c r="AO50" s="274">
        <v>-0.15</v>
      </c>
      <c r="AP50" s="277" t="s">
        <v>158</v>
      </c>
      <c r="AQ50" s="274">
        <v>0.16087103779411474</v>
      </c>
      <c r="AR50" s="274">
        <v>-0.2</v>
      </c>
      <c r="AS50" s="97">
        <v>0.84650084409120563</v>
      </c>
      <c r="AT50" s="97">
        <v>0.26578155308461154</v>
      </c>
      <c r="AU50" s="97">
        <v>-0.15</v>
      </c>
      <c r="AV50" s="97">
        <v>-0.15</v>
      </c>
      <c r="AW50" s="96">
        <v>-0.112</v>
      </c>
      <c r="AX50" s="96"/>
      <c r="AY50" s="96"/>
      <c r="AZ50" s="96"/>
      <c r="BA50" s="96"/>
      <c r="BB50" s="96"/>
      <c r="BC50" s="5" t="s">
        <v>158</v>
      </c>
      <c r="BD50" s="5" t="s">
        <v>158</v>
      </c>
      <c r="BE50" s="5" t="s">
        <v>158</v>
      </c>
      <c r="BF50" s="5" t="s">
        <v>158</v>
      </c>
      <c r="BG50" s="5" t="s">
        <v>158</v>
      </c>
      <c r="BH50" s="5" t="s">
        <v>158</v>
      </c>
      <c r="BI50" s="5" t="s">
        <v>158</v>
      </c>
      <c r="BJ50" s="5" t="s">
        <v>158</v>
      </c>
      <c r="BK50" s="5" t="s">
        <v>158</v>
      </c>
      <c r="BL50" s="5" t="s">
        <v>158</v>
      </c>
      <c r="BM50" s="5" t="s">
        <v>158</v>
      </c>
      <c r="BN50" s="1">
        <v>52</v>
      </c>
      <c r="BO50" s="64" t="s">
        <v>158</v>
      </c>
      <c r="BP50" s="64" t="s">
        <v>158</v>
      </c>
      <c r="BQ50" s="64" t="s">
        <v>158</v>
      </c>
      <c r="BR50" s="64" t="s">
        <v>158</v>
      </c>
      <c r="BS50" s="64" t="s">
        <v>158</v>
      </c>
      <c r="BT50" s="64" t="s">
        <v>158</v>
      </c>
      <c r="BU50" s="64" t="s">
        <v>158</v>
      </c>
      <c r="BV50" s="64" t="s">
        <v>158</v>
      </c>
      <c r="BW50" s="64" t="s">
        <v>158</v>
      </c>
      <c r="BX50" s="64" t="s">
        <v>158</v>
      </c>
      <c r="BY50" s="64" t="s">
        <v>158</v>
      </c>
      <c r="BZ50" s="64" t="s">
        <v>158</v>
      </c>
      <c r="CA50" s="64" t="s">
        <v>158</v>
      </c>
      <c r="CB50" s="64" t="s">
        <v>158</v>
      </c>
      <c r="CC50" s="64" t="s">
        <v>158</v>
      </c>
      <c r="CD50" s="64" t="s">
        <v>158</v>
      </c>
      <c r="CE50" s="64" t="s">
        <v>158</v>
      </c>
      <c r="CF50" s="64" t="s">
        <v>158</v>
      </c>
      <c r="CG50" s="64" t="s">
        <v>158</v>
      </c>
      <c r="CH50" s="64" t="s">
        <v>158</v>
      </c>
      <c r="CI50" s="64" t="s">
        <v>158</v>
      </c>
      <c r="CJ50" s="64" t="s">
        <v>158</v>
      </c>
      <c r="CK50" s="64" t="s">
        <v>158</v>
      </c>
      <c r="CL50" s="64" t="s">
        <v>158</v>
      </c>
      <c r="CM50" s="64" t="s">
        <v>158</v>
      </c>
      <c r="CN50" s="64" t="s">
        <v>158</v>
      </c>
      <c r="CO50" s="64" t="s">
        <v>158</v>
      </c>
      <c r="CP50" s="64" t="s">
        <v>158</v>
      </c>
      <c r="CQ50" s="64" t="s">
        <v>158</v>
      </c>
      <c r="CR50" s="64" t="s">
        <v>158</v>
      </c>
      <c r="CS50" s="64" t="s">
        <v>158</v>
      </c>
      <c r="CT50" s="64" t="s">
        <v>158</v>
      </c>
      <c r="CU50" s="64" t="s">
        <v>158</v>
      </c>
      <c r="CV50" s="64" t="s">
        <v>158</v>
      </c>
      <c r="CW50" s="64" t="s">
        <v>158</v>
      </c>
      <c r="CX50" s="64" t="s">
        <v>158</v>
      </c>
      <c r="CY50" s="66" t="s">
        <v>158</v>
      </c>
      <c r="CZ50" s="73"/>
    </row>
    <row r="51" spans="1:104" hidden="1" x14ac:dyDescent="0.2">
      <c r="A51" s="106" t="s">
        <v>81</v>
      </c>
      <c r="B51" s="106" t="s">
        <v>81</v>
      </c>
      <c r="C51" s="14" t="s">
        <v>20</v>
      </c>
      <c r="G51" s="28">
        <v>44439</v>
      </c>
      <c r="H51" s="16">
        <v>2021</v>
      </c>
      <c r="I51" s="135" t="s">
        <v>33</v>
      </c>
      <c r="J51" s="135">
        <v>10</v>
      </c>
      <c r="K51" s="140">
        <v>0.68</v>
      </c>
      <c r="L51" s="5" t="s">
        <v>159</v>
      </c>
      <c r="M51" s="91">
        <v>2.0635664729045565E-2</v>
      </c>
      <c r="N51" s="76">
        <v>0.10932939220395343</v>
      </c>
      <c r="O51" s="76">
        <v>0.51013301311657122</v>
      </c>
      <c r="P51" s="76">
        <v>0.45878440790689079</v>
      </c>
      <c r="Q51" s="77">
        <v>1.085941252540181</v>
      </c>
      <c r="R51" s="77">
        <v>1.0151764271198964</v>
      </c>
      <c r="S51" s="76">
        <v>0.37951228523923886</v>
      </c>
      <c r="T51" s="77">
        <f t="shared" si="6"/>
        <v>3.5795124428557776</v>
      </c>
      <c r="U51" s="17">
        <f t="shared" si="7"/>
        <v>22.946529668741814</v>
      </c>
      <c r="V51" s="82" t="s">
        <v>472</v>
      </c>
      <c r="W51" s="82">
        <v>9.9000000000000005E-2</v>
      </c>
      <c r="X51" s="79">
        <v>1.7999999999999999E-2</v>
      </c>
      <c r="Y51" s="80">
        <v>8.3684561599219429E-2</v>
      </c>
      <c r="Z51" s="92" t="s">
        <v>472</v>
      </c>
      <c r="AA51" s="79">
        <v>0.02</v>
      </c>
      <c r="AB51" s="79">
        <v>1.4999999999999999E-2</v>
      </c>
      <c r="AC51" s="80" t="s">
        <v>474</v>
      </c>
      <c r="AD51" s="76">
        <v>0.23568456159921941</v>
      </c>
      <c r="AE51" s="17">
        <f t="shared" si="9"/>
        <v>0.23568456159921938</v>
      </c>
      <c r="AF51" s="81">
        <v>4.8401995196748565E-2</v>
      </c>
      <c r="AG51" s="18">
        <f t="shared" si="8"/>
        <v>0.35589702350550412</v>
      </c>
      <c r="AH51" s="276">
        <v>9.7605786971176816</v>
      </c>
      <c r="AI51" s="274">
        <v>-0.15</v>
      </c>
      <c r="AJ51" s="274" t="s">
        <v>158</v>
      </c>
      <c r="AK51" s="274" t="s">
        <v>158</v>
      </c>
      <c r="AL51" s="274">
        <v>-0.1</v>
      </c>
      <c r="AM51" s="274">
        <v>-0.1</v>
      </c>
      <c r="AN51" s="276">
        <v>1.5537340910350843</v>
      </c>
      <c r="AO51" s="276">
        <v>1.4325079960030294</v>
      </c>
      <c r="AP51" s="277" t="s">
        <v>158</v>
      </c>
      <c r="AQ51" s="276">
        <v>1.8769791281527575</v>
      </c>
      <c r="AR51" s="274">
        <v>0.20772673210079659</v>
      </c>
      <c r="AS51" s="98">
        <v>4.7992203181174471</v>
      </c>
      <c r="AT51" s="97">
        <v>0.72341635385927117</v>
      </c>
      <c r="AU51" s="97">
        <v>0.8683205713413904</v>
      </c>
      <c r="AV51" s="97">
        <v>-0.15</v>
      </c>
      <c r="AW51" s="97">
        <v>0.19653209878070405</v>
      </c>
      <c r="AX51" s="97"/>
      <c r="AY51" s="97"/>
      <c r="AZ51" s="97"/>
      <c r="BA51" s="97"/>
      <c r="BB51" s="97"/>
      <c r="BC51" s="5" t="s">
        <v>158</v>
      </c>
      <c r="BD51" s="5" t="s">
        <v>158</v>
      </c>
      <c r="BE51" s="5" t="s">
        <v>158</v>
      </c>
      <c r="BF51" s="5" t="s">
        <v>158</v>
      </c>
      <c r="BG51" s="5" t="s">
        <v>158</v>
      </c>
      <c r="BH51" s="5" t="s">
        <v>158</v>
      </c>
      <c r="BI51" s="5" t="s">
        <v>158</v>
      </c>
      <c r="BJ51" s="5" t="s">
        <v>158</v>
      </c>
      <c r="BK51" s="5" t="s">
        <v>158</v>
      </c>
      <c r="BL51" s="5" t="s">
        <v>158</v>
      </c>
      <c r="BM51" s="5" t="s">
        <v>158</v>
      </c>
      <c r="BN51" s="1">
        <v>50</v>
      </c>
      <c r="BO51" s="64" t="s">
        <v>158</v>
      </c>
      <c r="BP51" s="64" t="s">
        <v>158</v>
      </c>
      <c r="BQ51" s="64" t="s">
        <v>158</v>
      </c>
      <c r="BR51" s="64" t="s">
        <v>158</v>
      </c>
      <c r="BS51" s="64" t="s">
        <v>158</v>
      </c>
      <c r="BT51" s="64" t="s">
        <v>158</v>
      </c>
      <c r="BU51" s="64" t="s">
        <v>158</v>
      </c>
      <c r="BV51" s="64" t="s">
        <v>158</v>
      </c>
      <c r="BW51" s="64" t="s">
        <v>158</v>
      </c>
      <c r="BX51" s="64" t="s">
        <v>158</v>
      </c>
      <c r="BY51" s="64" t="s">
        <v>158</v>
      </c>
      <c r="BZ51" s="64" t="s">
        <v>158</v>
      </c>
      <c r="CA51" s="64" t="s">
        <v>158</v>
      </c>
      <c r="CB51" s="64" t="s">
        <v>158</v>
      </c>
      <c r="CC51" s="64" t="s">
        <v>158</v>
      </c>
      <c r="CD51" s="64" t="s">
        <v>158</v>
      </c>
      <c r="CE51" s="64" t="s">
        <v>158</v>
      </c>
      <c r="CF51" s="64" t="s">
        <v>158</v>
      </c>
      <c r="CG51" s="64" t="s">
        <v>158</v>
      </c>
      <c r="CH51" s="64" t="s">
        <v>158</v>
      </c>
      <c r="CI51" s="64" t="s">
        <v>158</v>
      </c>
      <c r="CJ51" s="64" t="s">
        <v>158</v>
      </c>
      <c r="CK51" s="64" t="s">
        <v>158</v>
      </c>
      <c r="CL51" s="64" t="s">
        <v>158</v>
      </c>
      <c r="CM51" s="64" t="s">
        <v>158</v>
      </c>
      <c r="CN51" s="64" t="s">
        <v>158</v>
      </c>
      <c r="CO51" s="64" t="s">
        <v>158</v>
      </c>
      <c r="CP51" s="64" t="s">
        <v>158</v>
      </c>
      <c r="CQ51" s="64" t="s">
        <v>158</v>
      </c>
      <c r="CR51" s="64" t="s">
        <v>158</v>
      </c>
      <c r="CS51" s="64" t="s">
        <v>158</v>
      </c>
      <c r="CT51" s="64" t="s">
        <v>158</v>
      </c>
      <c r="CU51" s="64" t="s">
        <v>158</v>
      </c>
      <c r="CV51" s="64" t="s">
        <v>158</v>
      </c>
      <c r="CW51" s="64" t="s">
        <v>158</v>
      </c>
      <c r="CX51" s="64" t="s">
        <v>158</v>
      </c>
      <c r="CY51" s="66" t="s">
        <v>158</v>
      </c>
      <c r="CZ51" s="73"/>
    </row>
    <row r="52" spans="1:104" hidden="1" x14ac:dyDescent="0.2">
      <c r="A52" s="106" t="s">
        <v>8</v>
      </c>
      <c r="B52" s="106" t="s">
        <v>8</v>
      </c>
      <c r="C52" s="14" t="s">
        <v>20</v>
      </c>
      <c r="G52" s="28">
        <v>44462</v>
      </c>
      <c r="H52" s="16">
        <v>2021</v>
      </c>
      <c r="I52" s="135" t="s">
        <v>33</v>
      </c>
      <c r="J52" s="135">
        <v>10</v>
      </c>
      <c r="K52" s="140">
        <v>0.66</v>
      </c>
      <c r="L52" s="5" t="s">
        <v>159</v>
      </c>
      <c r="M52" s="90" t="s">
        <v>386</v>
      </c>
      <c r="N52" s="80">
        <v>6.8170303975058466E-2</v>
      </c>
      <c r="O52" s="76">
        <v>0.46497466874512861</v>
      </c>
      <c r="P52" s="76">
        <v>0.38012470771628998</v>
      </c>
      <c r="Q52" s="77">
        <v>1.7067712392829308</v>
      </c>
      <c r="R52" s="77">
        <v>1.384937646141855</v>
      </c>
      <c r="S52" s="76">
        <v>0.67939399844115356</v>
      </c>
      <c r="T52" s="77">
        <f t="shared" si="6"/>
        <v>4.684372564302417</v>
      </c>
      <c r="U52" s="17">
        <f t="shared" si="7"/>
        <v>32.607938307470654</v>
      </c>
      <c r="V52" s="82" t="s">
        <v>445</v>
      </c>
      <c r="W52" s="82">
        <v>4.4999999999999998E-2</v>
      </c>
      <c r="X52" s="79">
        <v>1.0999999999999999E-2</v>
      </c>
      <c r="Y52" s="82">
        <v>2.4E-2</v>
      </c>
      <c r="Z52" s="92" t="s">
        <v>445</v>
      </c>
      <c r="AA52" s="79">
        <v>1.2E-2</v>
      </c>
      <c r="AB52" s="79">
        <v>7.4999999999999997E-3</v>
      </c>
      <c r="AC52" s="80" t="s">
        <v>475</v>
      </c>
      <c r="AD52" s="76">
        <v>9.9499999999999977E-2</v>
      </c>
      <c r="AE52" s="17">
        <f t="shared" si="9"/>
        <v>9.9499999999999991E-2</v>
      </c>
      <c r="AF52" s="81">
        <v>1.3250194855806705E-2</v>
      </c>
      <c r="AG52" s="18">
        <f t="shared" si="8"/>
        <v>0.1003802640591417</v>
      </c>
      <c r="AH52" s="273">
        <v>18.378563705309997</v>
      </c>
      <c r="AI52" s="274">
        <v>-0.15</v>
      </c>
      <c r="AJ52" s="274" t="s">
        <v>158</v>
      </c>
      <c r="AK52" s="274" t="s">
        <v>158</v>
      </c>
      <c r="AL52" s="274">
        <v>-0.1</v>
      </c>
      <c r="AM52" s="274">
        <v>0.17546112481523596</v>
      </c>
      <c r="AN52" s="276">
        <v>5.2592321904484436</v>
      </c>
      <c r="AO52" s="274">
        <v>0.81757143231922813</v>
      </c>
      <c r="AP52" s="277" t="s">
        <v>158</v>
      </c>
      <c r="AQ52" s="276">
        <v>1.7791672045909623</v>
      </c>
      <c r="AR52" s="274">
        <v>-0.2</v>
      </c>
      <c r="AS52" s="98">
        <v>2.1471195045711484</v>
      </c>
      <c r="AT52" s="97">
        <v>0.21911138013079098</v>
      </c>
      <c r="AU52" s="97">
        <v>0.26706215321142529</v>
      </c>
      <c r="AV52" s="97">
        <v>-0.15</v>
      </c>
      <c r="AW52" s="96">
        <v>-0.112</v>
      </c>
      <c r="AX52" s="96"/>
      <c r="AY52" s="96"/>
      <c r="AZ52" s="96"/>
      <c r="BA52" s="96"/>
      <c r="BB52" s="96"/>
      <c r="BC52" s="5" t="s">
        <v>158</v>
      </c>
      <c r="BD52" s="5" t="s">
        <v>158</v>
      </c>
      <c r="BE52" s="5" t="s">
        <v>158</v>
      </c>
      <c r="BF52" s="5" t="s">
        <v>158</v>
      </c>
      <c r="BG52" s="5" t="s">
        <v>158</v>
      </c>
      <c r="BH52" s="5" t="s">
        <v>158</v>
      </c>
      <c r="BI52" s="5" t="s">
        <v>158</v>
      </c>
      <c r="BJ52" s="5" t="s">
        <v>158</v>
      </c>
      <c r="BK52" s="5" t="s">
        <v>158</v>
      </c>
      <c r="BL52" s="5" t="s">
        <v>158</v>
      </c>
      <c r="BM52" s="5" t="s">
        <v>158</v>
      </c>
      <c r="BN52" s="1">
        <v>83</v>
      </c>
      <c r="BO52" s="64" t="s">
        <v>158</v>
      </c>
      <c r="BP52" s="64" t="s">
        <v>158</v>
      </c>
      <c r="BQ52" s="64" t="s">
        <v>158</v>
      </c>
      <c r="BR52" s="64" t="s">
        <v>158</v>
      </c>
      <c r="BS52" s="64" t="s">
        <v>158</v>
      </c>
      <c r="BT52" s="64" t="s">
        <v>158</v>
      </c>
      <c r="BU52" s="64" t="s">
        <v>158</v>
      </c>
      <c r="BV52" s="64" t="s">
        <v>158</v>
      </c>
      <c r="BW52" s="64" t="s">
        <v>158</v>
      </c>
      <c r="BX52" s="64" t="s">
        <v>158</v>
      </c>
      <c r="BY52" s="64" t="s">
        <v>158</v>
      </c>
      <c r="BZ52" s="64" t="s">
        <v>158</v>
      </c>
      <c r="CA52" s="64" t="s">
        <v>158</v>
      </c>
      <c r="CB52" s="64" t="s">
        <v>158</v>
      </c>
      <c r="CC52" s="64" t="s">
        <v>158</v>
      </c>
      <c r="CD52" s="64" t="s">
        <v>158</v>
      </c>
      <c r="CE52" s="64" t="s">
        <v>158</v>
      </c>
      <c r="CF52" s="64" t="s">
        <v>158</v>
      </c>
      <c r="CG52" s="64" t="s">
        <v>158</v>
      </c>
      <c r="CH52" s="64" t="s">
        <v>158</v>
      </c>
      <c r="CI52" s="64" t="s">
        <v>158</v>
      </c>
      <c r="CJ52" s="64" t="s">
        <v>158</v>
      </c>
      <c r="CK52" s="64" t="s">
        <v>158</v>
      </c>
      <c r="CL52" s="64" t="s">
        <v>158</v>
      </c>
      <c r="CM52" s="64" t="s">
        <v>158</v>
      </c>
      <c r="CN52" s="64" t="s">
        <v>158</v>
      </c>
      <c r="CO52" s="64" t="s">
        <v>158</v>
      </c>
      <c r="CP52" s="64" t="s">
        <v>158</v>
      </c>
      <c r="CQ52" s="64" t="s">
        <v>158</v>
      </c>
      <c r="CR52" s="64" t="s">
        <v>158</v>
      </c>
      <c r="CS52" s="64" t="s">
        <v>158</v>
      </c>
      <c r="CT52" s="64" t="s">
        <v>158</v>
      </c>
      <c r="CU52" s="64" t="s">
        <v>158</v>
      </c>
      <c r="CV52" s="64" t="s">
        <v>158</v>
      </c>
      <c r="CW52" s="64" t="s">
        <v>158</v>
      </c>
      <c r="CX52" s="64" t="s">
        <v>158</v>
      </c>
      <c r="CY52" s="66" t="s">
        <v>158</v>
      </c>
      <c r="CZ52" s="73"/>
    </row>
    <row r="53" spans="1:104" hidden="1" x14ac:dyDescent="0.2">
      <c r="A53" s="106" t="s">
        <v>25</v>
      </c>
      <c r="B53" s="106" t="s">
        <v>25</v>
      </c>
      <c r="C53" s="14" t="s">
        <v>20</v>
      </c>
      <c r="G53" s="28">
        <v>44468</v>
      </c>
      <c r="H53" s="16">
        <v>2021</v>
      </c>
      <c r="I53" s="135" t="s">
        <v>33</v>
      </c>
      <c r="J53" s="135">
        <v>10</v>
      </c>
      <c r="K53" s="140">
        <v>0.79</v>
      </c>
      <c r="L53" s="5" t="s">
        <v>159</v>
      </c>
      <c r="M53" s="90" t="s">
        <v>476</v>
      </c>
      <c r="N53" s="80">
        <v>7.1106008419441258E-2</v>
      </c>
      <c r="O53" s="76">
        <v>0.58649062380405659</v>
      </c>
      <c r="P53" s="76">
        <v>0.44921546115575967</v>
      </c>
      <c r="Q53" s="77">
        <v>1.9432548794489093</v>
      </c>
      <c r="R53" s="77">
        <v>1.6513298890164561</v>
      </c>
      <c r="S53" s="76">
        <v>0.65186567164179099</v>
      </c>
      <c r="T53" s="77">
        <f t="shared" si="6"/>
        <v>5.3532625334864141</v>
      </c>
      <c r="U53" s="17">
        <f t="shared" si="7"/>
        <v>31.038272609687688</v>
      </c>
      <c r="V53" s="82" t="s">
        <v>445</v>
      </c>
      <c r="W53" s="82">
        <v>5.5E-2</v>
      </c>
      <c r="X53" s="84">
        <v>1.2999999999999999E-2</v>
      </c>
      <c r="Y53" s="80">
        <v>3.5999999999999997E-2</v>
      </c>
      <c r="Z53" s="92" t="s">
        <v>445</v>
      </c>
      <c r="AA53" s="79">
        <v>1.4E-2</v>
      </c>
      <c r="AB53" s="79">
        <v>8.2000000000000007E-3</v>
      </c>
      <c r="AC53" s="76" t="s">
        <v>438</v>
      </c>
      <c r="AD53" s="76">
        <v>0.12620000000000001</v>
      </c>
      <c r="AE53" s="17">
        <f t="shared" si="9"/>
        <v>0.12620000000000001</v>
      </c>
      <c r="AF53" s="81">
        <v>1.6934557979334099E-2</v>
      </c>
      <c r="AG53" s="18">
        <f t="shared" si="8"/>
        <v>0.1071807467046462</v>
      </c>
      <c r="AH53" s="273">
        <v>53.550483038014562</v>
      </c>
      <c r="AI53" s="274">
        <v>-0.15</v>
      </c>
      <c r="AJ53" s="274" t="s">
        <v>158</v>
      </c>
      <c r="AK53" s="274" t="s">
        <v>158</v>
      </c>
      <c r="AL53" s="274">
        <v>-0.1</v>
      </c>
      <c r="AM53" s="274">
        <v>-0.1</v>
      </c>
      <c r="AN53" s="276">
        <v>2.1734686005385333</v>
      </c>
      <c r="AO53" s="274">
        <v>0.55321730038434525</v>
      </c>
      <c r="AP53" s="277" t="s">
        <v>158</v>
      </c>
      <c r="AQ53" s="274">
        <v>0.80002732054220238</v>
      </c>
      <c r="AR53" s="274">
        <v>-0.2</v>
      </c>
      <c r="AS53" s="97">
        <v>0.89471199679138869</v>
      </c>
      <c r="AT53" s="97">
        <v>0.4157430922076526</v>
      </c>
      <c r="AU53" s="97">
        <v>0.16020400753658412</v>
      </c>
      <c r="AV53" s="97">
        <v>-0.15</v>
      </c>
      <c r="AW53" s="96">
        <v>-0.112</v>
      </c>
      <c r="AX53" s="96"/>
      <c r="AY53" s="96"/>
      <c r="AZ53" s="96"/>
      <c r="BA53" s="96"/>
      <c r="BB53" s="96"/>
      <c r="BC53" s="5" t="s">
        <v>158</v>
      </c>
      <c r="BD53" s="5" t="s">
        <v>158</v>
      </c>
      <c r="BE53" s="5" t="s">
        <v>158</v>
      </c>
      <c r="BF53" s="5" t="s">
        <v>158</v>
      </c>
      <c r="BG53" s="5" t="s">
        <v>158</v>
      </c>
      <c r="BH53" s="5" t="s">
        <v>158</v>
      </c>
      <c r="BI53" s="5" t="s">
        <v>158</v>
      </c>
      <c r="BJ53" s="5" t="s">
        <v>158</v>
      </c>
      <c r="BK53" s="5" t="s">
        <v>158</v>
      </c>
      <c r="BL53" s="5" t="s">
        <v>158</v>
      </c>
      <c r="BM53" s="5" t="s">
        <v>158</v>
      </c>
      <c r="BN53" s="1">
        <v>160</v>
      </c>
      <c r="BO53" s="64" t="s">
        <v>158</v>
      </c>
      <c r="BP53" s="64" t="s">
        <v>158</v>
      </c>
      <c r="BQ53" s="64" t="s">
        <v>158</v>
      </c>
      <c r="BR53" s="64" t="s">
        <v>158</v>
      </c>
      <c r="BS53" s="64" t="s">
        <v>158</v>
      </c>
      <c r="BT53" s="64" t="s">
        <v>158</v>
      </c>
      <c r="BU53" s="64" t="s">
        <v>158</v>
      </c>
      <c r="BV53" s="64" t="s">
        <v>158</v>
      </c>
      <c r="BW53" s="64" t="s">
        <v>158</v>
      </c>
      <c r="BX53" s="64" t="s">
        <v>158</v>
      </c>
      <c r="BY53" s="64" t="s">
        <v>158</v>
      </c>
      <c r="BZ53" s="64" t="s">
        <v>158</v>
      </c>
      <c r="CA53" s="64" t="s">
        <v>158</v>
      </c>
      <c r="CB53" s="64" t="s">
        <v>158</v>
      </c>
      <c r="CC53" s="64" t="s">
        <v>158</v>
      </c>
      <c r="CD53" s="64" t="s">
        <v>158</v>
      </c>
      <c r="CE53" s="64" t="s">
        <v>158</v>
      </c>
      <c r="CF53" s="64" t="s">
        <v>158</v>
      </c>
      <c r="CG53" s="64" t="s">
        <v>158</v>
      </c>
      <c r="CH53" s="64" t="s">
        <v>158</v>
      </c>
      <c r="CI53" s="64" t="s">
        <v>158</v>
      </c>
      <c r="CJ53" s="64" t="s">
        <v>158</v>
      </c>
      <c r="CK53" s="64" t="s">
        <v>158</v>
      </c>
      <c r="CL53" s="64" t="s">
        <v>158</v>
      </c>
      <c r="CM53" s="64" t="s">
        <v>158</v>
      </c>
      <c r="CN53" s="64" t="s">
        <v>158</v>
      </c>
      <c r="CO53" s="64" t="s">
        <v>158</v>
      </c>
      <c r="CP53" s="64" t="s">
        <v>158</v>
      </c>
      <c r="CQ53" s="64" t="s">
        <v>158</v>
      </c>
      <c r="CR53" s="64" t="s">
        <v>158</v>
      </c>
      <c r="CS53" s="64" t="s">
        <v>158</v>
      </c>
      <c r="CT53" s="64" t="s">
        <v>158</v>
      </c>
      <c r="CU53" s="64" t="s">
        <v>158</v>
      </c>
      <c r="CV53" s="64" t="s">
        <v>158</v>
      </c>
      <c r="CW53" s="64" t="s">
        <v>158</v>
      </c>
      <c r="CX53" s="64" t="s">
        <v>158</v>
      </c>
      <c r="CY53" s="66" t="s">
        <v>158</v>
      </c>
      <c r="CZ53" s="73"/>
    </row>
    <row r="54" spans="1:104" hidden="1" x14ac:dyDescent="0.2">
      <c r="A54" s="106" t="s">
        <v>112</v>
      </c>
      <c r="B54" s="106" t="s">
        <v>112</v>
      </c>
      <c r="C54" s="14" t="s">
        <v>20</v>
      </c>
      <c r="G54" s="74">
        <v>44469</v>
      </c>
      <c r="H54" s="16">
        <v>2021</v>
      </c>
      <c r="I54" s="135" t="s">
        <v>33</v>
      </c>
      <c r="J54" s="135">
        <v>10</v>
      </c>
      <c r="K54" s="140">
        <v>0.81</v>
      </c>
      <c r="L54" s="5" t="s">
        <v>159</v>
      </c>
      <c r="M54" s="76">
        <v>0.37008076009501201</v>
      </c>
      <c r="N54" s="77">
        <v>1.0141472684085511</v>
      </c>
      <c r="O54" s="77">
        <v>3.1991543942992875</v>
      </c>
      <c r="P54" s="77">
        <v>2.4000570071258909</v>
      </c>
      <c r="Q54" s="77">
        <v>4.9784893111638953</v>
      </c>
      <c r="R54" s="77">
        <v>4.6525035629453679</v>
      </c>
      <c r="S54" s="77">
        <v>1.4676769596199524</v>
      </c>
      <c r="T54" s="78">
        <f t="shared" si="6"/>
        <v>18.082109263657955</v>
      </c>
      <c r="U54" s="17">
        <f t="shared" si="7"/>
        <v>96.802791706988074</v>
      </c>
      <c r="V54" s="82" t="s">
        <v>445</v>
      </c>
      <c r="W54" s="82">
        <v>6.2E-2</v>
      </c>
      <c r="X54" s="84">
        <v>1.6E-2</v>
      </c>
      <c r="Y54" s="80">
        <v>4.2000000000000003E-2</v>
      </c>
      <c r="Z54" s="92" t="s">
        <v>445</v>
      </c>
      <c r="AA54" s="79">
        <v>9.7000000000000003E-3</v>
      </c>
      <c r="AB54" s="79">
        <v>8.6999999999999994E-3</v>
      </c>
      <c r="AC54" s="80" t="s">
        <v>477</v>
      </c>
      <c r="AD54" s="76">
        <v>0.13839999999999997</v>
      </c>
      <c r="AE54" s="17">
        <f t="shared" si="9"/>
        <v>0.13840000000000002</v>
      </c>
      <c r="AF54" s="81">
        <v>2.3372921615201898E-2</v>
      </c>
      <c r="AG54" s="18">
        <f t="shared" si="8"/>
        <v>0.14427729392099936</v>
      </c>
      <c r="AH54" s="273">
        <v>14.595285000036753</v>
      </c>
      <c r="AI54" s="274">
        <v>-0.15</v>
      </c>
      <c r="AJ54" s="274" t="s">
        <v>158</v>
      </c>
      <c r="AK54" s="274" t="s">
        <v>158</v>
      </c>
      <c r="AL54" s="274">
        <v>-0.1</v>
      </c>
      <c r="AM54" s="274">
        <v>-0.1</v>
      </c>
      <c r="AN54" s="274">
        <v>0.9648351473155965</v>
      </c>
      <c r="AO54" s="274">
        <v>-0.15</v>
      </c>
      <c r="AP54" s="277" t="s">
        <v>158</v>
      </c>
      <c r="AQ54" s="274">
        <v>0.71601559570550888</v>
      </c>
      <c r="AR54" s="274">
        <v>-0.2</v>
      </c>
      <c r="AS54" s="98">
        <v>1.5043430956399599</v>
      </c>
      <c r="AT54" s="97">
        <v>0.35278145607877065</v>
      </c>
      <c r="AU54" s="97">
        <v>0.41062659946702407</v>
      </c>
      <c r="AV54" s="97">
        <v>-0.15</v>
      </c>
      <c r="AW54" s="97">
        <v>0.18</v>
      </c>
      <c r="AX54" s="97"/>
      <c r="AY54" s="97"/>
      <c r="AZ54" s="97"/>
      <c r="BA54" s="97"/>
      <c r="BB54" s="97"/>
      <c r="BC54" s="5" t="s">
        <v>158</v>
      </c>
      <c r="BD54" s="5" t="s">
        <v>158</v>
      </c>
      <c r="BE54" s="5" t="s">
        <v>158</v>
      </c>
      <c r="BF54" s="5" t="s">
        <v>158</v>
      </c>
      <c r="BG54" s="5" t="s">
        <v>158</v>
      </c>
      <c r="BH54" s="5" t="s">
        <v>158</v>
      </c>
      <c r="BI54" s="5" t="s">
        <v>158</v>
      </c>
      <c r="BJ54" s="5" t="s">
        <v>158</v>
      </c>
      <c r="BK54" s="5" t="s">
        <v>158</v>
      </c>
      <c r="BL54" s="5" t="s">
        <v>158</v>
      </c>
      <c r="BM54" s="5" t="s">
        <v>158</v>
      </c>
      <c r="BN54" s="1">
        <v>150</v>
      </c>
      <c r="BO54" s="64" t="s">
        <v>158</v>
      </c>
      <c r="BP54" s="64" t="s">
        <v>158</v>
      </c>
      <c r="BQ54" s="64" t="s">
        <v>158</v>
      </c>
      <c r="BR54" s="64" t="s">
        <v>158</v>
      </c>
      <c r="BS54" s="64" t="s">
        <v>158</v>
      </c>
      <c r="BT54" s="64" t="s">
        <v>158</v>
      </c>
      <c r="BU54" s="64" t="s">
        <v>158</v>
      </c>
      <c r="BV54" s="64" t="s">
        <v>158</v>
      </c>
      <c r="BW54" s="64" t="s">
        <v>158</v>
      </c>
      <c r="BX54" s="64" t="s">
        <v>158</v>
      </c>
      <c r="BY54" s="64" t="s">
        <v>158</v>
      </c>
      <c r="BZ54" s="64" t="s">
        <v>158</v>
      </c>
      <c r="CA54" s="64" t="s">
        <v>158</v>
      </c>
      <c r="CB54" s="64" t="s">
        <v>158</v>
      </c>
      <c r="CC54" s="64" t="s">
        <v>158</v>
      </c>
      <c r="CD54" s="64" t="s">
        <v>158</v>
      </c>
      <c r="CE54" s="64" t="s">
        <v>158</v>
      </c>
      <c r="CF54" s="64" t="s">
        <v>158</v>
      </c>
      <c r="CG54" s="64" t="s">
        <v>158</v>
      </c>
      <c r="CH54" s="64" t="s">
        <v>158</v>
      </c>
      <c r="CI54" s="64" t="s">
        <v>158</v>
      </c>
      <c r="CJ54" s="64" t="s">
        <v>158</v>
      </c>
      <c r="CK54" s="64" t="s">
        <v>158</v>
      </c>
      <c r="CL54" s="64" t="s">
        <v>158</v>
      </c>
      <c r="CM54" s="64" t="s">
        <v>158</v>
      </c>
      <c r="CN54" s="64" t="s">
        <v>158</v>
      </c>
      <c r="CO54" s="64" t="s">
        <v>158</v>
      </c>
      <c r="CP54" s="64" t="s">
        <v>158</v>
      </c>
      <c r="CQ54" s="64" t="s">
        <v>158</v>
      </c>
      <c r="CR54" s="64" t="s">
        <v>158</v>
      </c>
      <c r="CS54" s="64" t="s">
        <v>158</v>
      </c>
      <c r="CT54" s="64" t="s">
        <v>158</v>
      </c>
      <c r="CU54" s="64" t="s">
        <v>158</v>
      </c>
      <c r="CV54" s="64" t="s">
        <v>158</v>
      </c>
      <c r="CW54" s="64" t="s">
        <v>158</v>
      </c>
      <c r="CX54" s="64" t="s">
        <v>158</v>
      </c>
      <c r="CY54" s="66" t="s">
        <v>158</v>
      </c>
      <c r="CZ54" s="73"/>
    </row>
    <row r="55" spans="1:104" hidden="1" x14ac:dyDescent="0.2">
      <c r="A55" s="106" t="s">
        <v>23</v>
      </c>
      <c r="B55" s="106" t="s">
        <v>23</v>
      </c>
      <c r="C55" s="14" t="s">
        <v>20</v>
      </c>
      <c r="G55" s="74">
        <v>44447</v>
      </c>
      <c r="H55" s="16">
        <v>2021</v>
      </c>
      <c r="I55" s="135" t="s">
        <v>33</v>
      </c>
      <c r="J55" s="135">
        <v>10</v>
      </c>
      <c r="K55" s="140">
        <v>0.72</v>
      </c>
      <c r="L55" s="5" t="s">
        <v>159</v>
      </c>
      <c r="M55" s="76">
        <v>0.16807266009852218</v>
      </c>
      <c r="N55" s="77">
        <v>1.2684113300492612</v>
      </c>
      <c r="O55" s="77">
        <v>6.1183087027914613</v>
      </c>
      <c r="P55" s="77">
        <v>5.1201867816091955</v>
      </c>
      <c r="Q55" s="78">
        <v>12.398983990147784</v>
      </c>
      <c r="R55" s="78">
        <v>11.493257389162562</v>
      </c>
      <c r="S55" s="77">
        <v>4.0024425287356324</v>
      </c>
      <c r="T55" s="78">
        <f t="shared" si="6"/>
        <v>40.56966338259442</v>
      </c>
      <c r="U55" s="17">
        <f t="shared" si="7"/>
        <v>246.17692084017514</v>
      </c>
      <c r="V55" s="82" t="s">
        <v>435</v>
      </c>
      <c r="W55" s="82">
        <v>7.0999999999999994E-2</v>
      </c>
      <c r="X55" s="84">
        <v>1.4999999999999999E-2</v>
      </c>
      <c r="Y55" s="82">
        <v>3.4000000000000002E-2</v>
      </c>
      <c r="Z55" s="92" t="s">
        <v>435</v>
      </c>
      <c r="AA55" s="79">
        <v>1.2E-2</v>
      </c>
      <c r="AB55" s="79">
        <v>1.2E-2</v>
      </c>
      <c r="AC55" s="80" t="s">
        <v>478</v>
      </c>
      <c r="AD55" s="76">
        <v>0.14400000000000002</v>
      </c>
      <c r="AE55" s="17">
        <f t="shared" si="9"/>
        <v>0.14400000000000002</v>
      </c>
      <c r="AF55" s="80">
        <v>2.0525451559934321E-2</v>
      </c>
      <c r="AG55" s="18">
        <f t="shared" si="8"/>
        <v>0.14253785805509947</v>
      </c>
      <c r="AH55" s="273">
        <v>89.383142303732086</v>
      </c>
      <c r="AI55" s="274">
        <v>-0.15</v>
      </c>
      <c r="AJ55" s="274" t="s">
        <v>158</v>
      </c>
      <c r="AK55" s="274" t="s">
        <v>158</v>
      </c>
      <c r="AL55" s="274">
        <v>-0.1</v>
      </c>
      <c r="AM55" s="274">
        <v>0.10435360318770343</v>
      </c>
      <c r="AN55" s="276">
        <v>2.9659740410781943</v>
      </c>
      <c r="AO55" s="274">
        <v>0.99273532175378953</v>
      </c>
      <c r="AP55" s="277" t="s">
        <v>158</v>
      </c>
      <c r="AQ55" s="274">
        <v>3.278576153484436</v>
      </c>
      <c r="AR55" s="274">
        <v>-0.2</v>
      </c>
      <c r="AS55" s="98">
        <v>6.7247678930414283</v>
      </c>
      <c r="AT55" s="98">
        <v>1.8747335048867817</v>
      </c>
      <c r="AU55" s="98">
        <v>3.3278478730847838</v>
      </c>
      <c r="AV55" s="97">
        <v>-0.15</v>
      </c>
      <c r="AW55" s="96">
        <v>-0.112</v>
      </c>
      <c r="AX55" s="96"/>
      <c r="AY55" s="96"/>
      <c r="AZ55" s="96"/>
      <c r="BA55" s="96"/>
      <c r="BB55" s="96"/>
      <c r="BC55" s="5" t="s">
        <v>158</v>
      </c>
      <c r="BD55" s="5" t="s">
        <v>158</v>
      </c>
      <c r="BE55" s="5" t="s">
        <v>158</v>
      </c>
      <c r="BF55" s="5" t="s">
        <v>158</v>
      </c>
      <c r="BG55" s="5" t="s">
        <v>158</v>
      </c>
      <c r="BH55" s="5" t="s">
        <v>158</v>
      </c>
      <c r="BI55" s="5" t="s">
        <v>158</v>
      </c>
      <c r="BJ55" s="5" t="s">
        <v>158</v>
      </c>
      <c r="BK55" s="5" t="s">
        <v>158</v>
      </c>
      <c r="BL55" s="5" t="s">
        <v>158</v>
      </c>
      <c r="BM55" s="5" t="s">
        <v>158</v>
      </c>
      <c r="BN55" s="1">
        <v>590</v>
      </c>
      <c r="BO55" s="64" t="s">
        <v>158</v>
      </c>
      <c r="BP55" s="64" t="s">
        <v>158</v>
      </c>
      <c r="BQ55" s="64" t="s">
        <v>158</v>
      </c>
      <c r="BR55" s="64" t="s">
        <v>158</v>
      </c>
      <c r="BS55" s="64" t="s">
        <v>158</v>
      </c>
      <c r="BT55" s="64" t="s">
        <v>158</v>
      </c>
      <c r="BU55" s="64" t="s">
        <v>158</v>
      </c>
      <c r="BV55" s="64" t="s">
        <v>158</v>
      </c>
      <c r="BW55" s="64" t="s">
        <v>158</v>
      </c>
      <c r="BX55" s="64" t="s">
        <v>158</v>
      </c>
      <c r="BY55" s="64" t="s">
        <v>158</v>
      </c>
      <c r="BZ55" s="64" t="s">
        <v>158</v>
      </c>
      <c r="CA55" s="64" t="s">
        <v>158</v>
      </c>
      <c r="CB55" s="64" t="s">
        <v>158</v>
      </c>
      <c r="CC55" s="64" t="s">
        <v>158</v>
      </c>
      <c r="CD55" s="64" t="s">
        <v>158</v>
      </c>
      <c r="CE55" s="64" t="s">
        <v>158</v>
      </c>
      <c r="CF55" s="64" t="s">
        <v>158</v>
      </c>
      <c r="CG55" s="64" t="s">
        <v>158</v>
      </c>
      <c r="CH55" s="64" t="s">
        <v>158</v>
      </c>
      <c r="CI55" s="64" t="s">
        <v>158</v>
      </c>
      <c r="CJ55" s="64" t="s">
        <v>158</v>
      </c>
      <c r="CK55" s="64" t="s">
        <v>158</v>
      </c>
      <c r="CL55" s="64" t="s">
        <v>158</v>
      </c>
      <c r="CM55" s="64" t="s">
        <v>158</v>
      </c>
      <c r="CN55" s="64" t="s">
        <v>158</v>
      </c>
      <c r="CO55" s="64" t="s">
        <v>158</v>
      </c>
      <c r="CP55" s="64" t="s">
        <v>158</v>
      </c>
      <c r="CQ55" s="64" t="s">
        <v>158</v>
      </c>
      <c r="CR55" s="64" t="s">
        <v>158</v>
      </c>
      <c r="CS55" s="64" t="s">
        <v>158</v>
      </c>
      <c r="CT55" s="64" t="s">
        <v>158</v>
      </c>
      <c r="CU55" s="64" t="s">
        <v>158</v>
      </c>
      <c r="CV55" s="64" t="s">
        <v>158</v>
      </c>
      <c r="CW55" s="64" t="s">
        <v>158</v>
      </c>
      <c r="CX55" s="64" t="s">
        <v>158</v>
      </c>
      <c r="CY55" s="66" t="s">
        <v>158</v>
      </c>
      <c r="CZ55" s="73"/>
    </row>
    <row r="56" spans="1:104" hidden="1" x14ac:dyDescent="0.2">
      <c r="A56" s="106" t="s">
        <v>27</v>
      </c>
      <c r="B56" s="106" t="s">
        <v>27</v>
      </c>
      <c r="C56" s="14" t="s">
        <v>20</v>
      </c>
      <c r="G56" s="74">
        <v>44480</v>
      </c>
      <c r="H56" s="16">
        <v>2021</v>
      </c>
      <c r="I56" s="135" t="s">
        <v>33</v>
      </c>
      <c r="J56" s="135">
        <v>10</v>
      </c>
      <c r="K56" s="140">
        <v>0.78</v>
      </c>
      <c r="L56" s="5" t="s">
        <v>159</v>
      </c>
      <c r="M56" s="80">
        <v>6.4667730991817995E-2</v>
      </c>
      <c r="N56" s="76">
        <v>0.23233885452005587</v>
      </c>
      <c r="O56" s="76">
        <v>0.55007982438635006</v>
      </c>
      <c r="P56" s="76">
        <v>0.57785871083616036</v>
      </c>
      <c r="Q56" s="77">
        <v>1.1316703252843743</v>
      </c>
      <c r="R56" s="77">
        <v>0.99814408301736168</v>
      </c>
      <c r="S56" s="76">
        <v>0.32330872081420875</v>
      </c>
      <c r="T56" s="77">
        <f t="shared" si="6"/>
        <v>3.8780682498503292</v>
      </c>
      <c r="U56" s="17">
        <f t="shared" si="7"/>
        <v>21.155189352654926</v>
      </c>
      <c r="V56" s="82" t="s">
        <v>440</v>
      </c>
      <c r="W56" s="80">
        <v>3.7999999999999999E-2</v>
      </c>
      <c r="X56" s="79">
        <v>8.8000000000000005E-3</v>
      </c>
      <c r="Y56" s="80">
        <v>3.4000000000000002E-2</v>
      </c>
      <c r="Z56" s="92" t="s">
        <v>440</v>
      </c>
      <c r="AA56" s="79">
        <v>9.2999999999999992E-3</v>
      </c>
      <c r="AB56" s="79">
        <v>7.7999999999999996E-3</v>
      </c>
      <c r="AC56" s="80" t="s">
        <v>469</v>
      </c>
      <c r="AD56" s="76">
        <v>9.7900000000000015E-2</v>
      </c>
      <c r="AE56" s="17">
        <f t="shared" si="9"/>
        <v>9.7900000000000015E-2</v>
      </c>
      <c r="AF56" s="81">
        <v>-4.9890000000000004E-3</v>
      </c>
      <c r="AG56" s="18" t="s">
        <v>158</v>
      </c>
      <c r="AH56" s="273">
        <v>19.842468523640925</v>
      </c>
      <c r="AI56" s="274">
        <v>0.22641262881234236</v>
      </c>
      <c r="AJ56" s="274" t="s">
        <v>158</v>
      </c>
      <c r="AK56" s="274" t="s">
        <v>158</v>
      </c>
      <c r="AL56" s="274">
        <v>-0.1</v>
      </c>
      <c r="AM56" s="274">
        <v>-0.1</v>
      </c>
      <c r="AN56" s="274">
        <v>-0.5</v>
      </c>
      <c r="AO56" s="274">
        <v>-0.15</v>
      </c>
      <c r="AP56" s="277" t="s">
        <v>158</v>
      </c>
      <c r="AQ56" s="274">
        <v>0.69689128171697434</v>
      </c>
      <c r="AR56" s="274">
        <v>-0.2</v>
      </c>
      <c r="AS56" s="97">
        <v>0.26511430307991918</v>
      </c>
      <c r="AT56" s="97">
        <v>-0.2</v>
      </c>
      <c r="AU56" s="97">
        <v>-0.15</v>
      </c>
      <c r="AV56" s="97">
        <v>-0.15</v>
      </c>
      <c r="AW56" s="96">
        <v>-0.112</v>
      </c>
      <c r="AX56" s="96"/>
      <c r="AY56" s="96"/>
      <c r="AZ56" s="96"/>
      <c r="BA56" s="96"/>
      <c r="BB56" s="96"/>
      <c r="BC56" s="5" t="s">
        <v>158</v>
      </c>
      <c r="BD56" s="5" t="s">
        <v>158</v>
      </c>
      <c r="BE56" s="5" t="s">
        <v>158</v>
      </c>
      <c r="BF56" s="5" t="s">
        <v>158</v>
      </c>
      <c r="BG56" s="5" t="s">
        <v>158</v>
      </c>
      <c r="BH56" s="5" t="s">
        <v>158</v>
      </c>
      <c r="BI56" s="5" t="s">
        <v>158</v>
      </c>
      <c r="BJ56" s="5" t="s">
        <v>158</v>
      </c>
      <c r="BK56" s="5" t="s">
        <v>158</v>
      </c>
      <c r="BL56" s="5" t="s">
        <v>158</v>
      </c>
      <c r="BM56" s="5" t="s">
        <v>158</v>
      </c>
      <c r="BN56" s="1">
        <v>89</v>
      </c>
      <c r="BO56" s="64" t="s">
        <v>158</v>
      </c>
      <c r="BP56" s="64" t="s">
        <v>158</v>
      </c>
      <c r="BQ56" s="64" t="s">
        <v>158</v>
      </c>
      <c r="BR56" s="64" t="s">
        <v>158</v>
      </c>
      <c r="BS56" s="64" t="s">
        <v>158</v>
      </c>
      <c r="BT56" s="64" t="s">
        <v>158</v>
      </c>
      <c r="BU56" s="64" t="s">
        <v>158</v>
      </c>
      <c r="BV56" s="64" t="s">
        <v>158</v>
      </c>
      <c r="BW56" s="64" t="s">
        <v>158</v>
      </c>
      <c r="BX56" s="64" t="s">
        <v>158</v>
      </c>
      <c r="BY56" s="64" t="s">
        <v>158</v>
      </c>
      <c r="BZ56" s="64" t="s">
        <v>158</v>
      </c>
      <c r="CA56" s="64" t="s">
        <v>158</v>
      </c>
      <c r="CB56" s="64" t="s">
        <v>158</v>
      </c>
      <c r="CC56" s="64" t="s">
        <v>158</v>
      </c>
      <c r="CD56" s="64" t="s">
        <v>158</v>
      </c>
      <c r="CE56" s="64" t="s">
        <v>158</v>
      </c>
      <c r="CF56" s="64" t="s">
        <v>158</v>
      </c>
      <c r="CG56" s="64" t="s">
        <v>158</v>
      </c>
      <c r="CH56" s="64" t="s">
        <v>158</v>
      </c>
      <c r="CI56" s="64" t="s">
        <v>158</v>
      </c>
      <c r="CJ56" s="64" t="s">
        <v>158</v>
      </c>
      <c r="CK56" s="64" t="s">
        <v>158</v>
      </c>
      <c r="CL56" s="64" t="s">
        <v>158</v>
      </c>
      <c r="CM56" s="64" t="s">
        <v>158</v>
      </c>
      <c r="CN56" s="64" t="s">
        <v>158</v>
      </c>
      <c r="CO56" s="64" t="s">
        <v>158</v>
      </c>
      <c r="CP56" s="64" t="s">
        <v>158</v>
      </c>
      <c r="CQ56" s="64" t="s">
        <v>158</v>
      </c>
      <c r="CR56" s="64" t="s">
        <v>158</v>
      </c>
      <c r="CS56" s="64" t="s">
        <v>158</v>
      </c>
      <c r="CT56" s="64" t="s">
        <v>158</v>
      </c>
      <c r="CU56" s="64" t="s">
        <v>158</v>
      </c>
      <c r="CV56" s="64" t="s">
        <v>158</v>
      </c>
      <c r="CW56" s="64" t="s">
        <v>158</v>
      </c>
      <c r="CX56" s="64" t="s">
        <v>158</v>
      </c>
      <c r="CY56" s="66" t="s">
        <v>158</v>
      </c>
      <c r="CZ56" s="73"/>
    </row>
    <row r="57" spans="1:104" hidden="1" x14ac:dyDescent="0.2">
      <c r="A57" s="106" t="s">
        <v>6</v>
      </c>
      <c r="B57" s="106" t="s">
        <v>132</v>
      </c>
      <c r="C57" s="14" t="s">
        <v>20</v>
      </c>
      <c r="G57" s="74">
        <v>44435</v>
      </c>
      <c r="H57" s="16">
        <v>2021</v>
      </c>
      <c r="I57" s="135" t="s">
        <v>33</v>
      </c>
      <c r="J57" s="135">
        <v>10</v>
      </c>
      <c r="K57" s="140">
        <v>0.77</v>
      </c>
      <c r="L57" s="5" t="s">
        <v>159</v>
      </c>
      <c r="M57" s="79">
        <v>2.7494766224703416E-2</v>
      </c>
      <c r="N57" s="76">
        <v>0.20184428272355698</v>
      </c>
      <c r="O57" s="77">
        <v>1.0788356096102083</v>
      </c>
      <c r="P57" s="76">
        <v>0.93971687767919443</v>
      </c>
      <c r="Q57" s="77">
        <v>2.7371548200578206</v>
      </c>
      <c r="R57" s="77">
        <v>2.2223008673113345</v>
      </c>
      <c r="S57" s="76">
        <v>0.89186521782474337</v>
      </c>
      <c r="T57" s="77">
        <f t="shared" si="6"/>
        <v>8.0992124414315629</v>
      </c>
      <c r="U57" s="17">
        <f t="shared" si="7"/>
        <v>46.490230933456928</v>
      </c>
      <c r="V57" s="82" t="s">
        <v>440</v>
      </c>
      <c r="W57" s="76">
        <v>0.1</v>
      </c>
      <c r="X57" s="80">
        <v>2.1999999999999999E-2</v>
      </c>
      <c r="Y57" s="80">
        <v>6.8000000000000005E-2</v>
      </c>
      <c r="Z57" s="92" t="s">
        <v>440</v>
      </c>
      <c r="AA57" s="79">
        <v>1.9E-2</v>
      </c>
      <c r="AB57" s="79">
        <v>1.2999999999999999E-2</v>
      </c>
      <c r="AC57" s="80" t="s">
        <v>474</v>
      </c>
      <c r="AD57" s="76">
        <v>0.222</v>
      </c>
      <c r="AE57" s="17">
        <f t="shared" si="9"/>
        <v>0.222</v>
      </c>
      <c r="AF57" s="81">
        <v>2.213139268268368E-2</v>
      </c>
      <c r="AG57" s="18">
        <f t="shared" si="8"/>
        <v>0.14371034209534858</v>
      </c>
      <c r="AH57" s="276">
        <v>8.9967972601242625</v>
      </c>
      <c r="AI57" s="274">
        <v>-0.15</v>
      </c>
      <c r="AJ57" s="274" t="s">
        <v>158</v>
      </c>
      <c r="AK57" s="274" t="s">
        <v>158</v>
      </c>
      <c r="AL57" s="274">
        <v>-0.1</v>
      </c>
      <c r="AM57" s="274">
        <v>-0.1</v>
      </c>
      <c r="AN57" s="276">
        <v>1.7456987752757778</v>
      </c>
      <c r="AO57" s="274">
        <v>-0.15</v>
      </c>
      <c r="AP57" s="277" t="s">
        <v>158</v>
      </c>
      <c r="AQ57" s="274">
        <v>0.35805761924028495</v>
      </c>
      <c r="AR57" s="274">
        <v>-0.2</v>
      </c>
      <c r="AS57" s="97">
        <v>0.40433534818721278</v>
      </c>
      <c r="AT57" s="97">
        <v>-0.2</v>
      </c>
      <c r="AU57" s="97">
        <v>-0.15</v>
      </c>
      <c r="AV57" s="97">
        <v>-0.15</v>
      </c>
      <c r="AW57" s="97">
        <v>0.25775083361236673</v>
      </c>
      <c r="AX57" s="97"/>
      <c r="AY57" s="97"/>
      <c r="AZ57" s="97"/>
      <c r="BA57" s="97"/>
      <c r="BB57" s="97"/>
      <c r="BC57" s="5" t="s">
        <v>158</v>
      </c>
      <c r="BD57" s="5" t="s">
        <v>158</v>
      </c>
      <c r="BE57" s="5" t="s">
        <v>158</v>
      </c>
      <c r="BF57" s="5" t="s">
        <v>158</v>
      </c>
      <c r="BG57" s="5" t="s">
        <v>158</v>
      </c>
      <c r="BH57" s="5" t="s">
        <v>158</v>
      </c>
      <c r="BI57" s="5" t="s">
        <v>158</v>
      </c>
      <c r="BJ57" s="5" t="s">
        <v>158</v>
      </c>
      <c r="BK57" s="5" t="s">
        <v>158</v>
      </c>
      <c r="BL57" s="5" t="s">
        <v>158</v>
      </c>
      <c r="BM57" s="5" t="s">
        <v>158</v>
      </c>
      <c r="BN57" s="1">
        <v>37</v>
      </c>
      <c r="BO57" s="64" t="s">
        <v>158</v>
      </c>
      <c r="BP57" s="64" t="s">
        <v>158</v>
      </c>
      <c r="BQ57" s="64" t="s">
        <v>158</v>
      </c>
      <c r="BR57" s="64" t="s">
        <v>158</v>
      </c>
      <c r="BS57" s="64" t="s">
        <v>158</v>
      </c>
      <c r="BT57" s="64" t="s">
        <v>158</v>
      </c>
      <c r="BU57" s="64" t="s">
        <v>158</v>
      </c>
      <c r="BV57" s="64" t="s">
        <v>158</v>
      </c>
      <c r="BW57" s="64" t="s">
        <v>158</v>
      </c>
      <c r="BX57" s="64" t="s">
        <v>158</v>
      </c>
      <c r="BY57" s="64" t="s">
        <v>158</v>
      </c>
      <c r="BZ57" s="64" t="s">
        <v>158</v>
      </c>
      <c r="CA57" s="64" t="s">
        <v>158</v>
      </c>
      <c r="CB57" s="64" t="s">
        <v>158</v>
      </c>
      <c r="CC57" s="64" t="s">
        <v>158</v>
      </c>
      <c r="CD57" s="64" t="s">
        <v>158</v>
      </c>
      <c r="CE57" s="64" t="s">
        <v>158</v>
      </c>
      <c r="CF57" s="64" t="s">
        <v>158</v>
      </c>
      <c r="CG57" s="64" t="s">
        <v>158</v>
      </c>
      <c r="CH57" s="64" t="s">
        <v>158</v>
      </c>
      <c r="CI57" s="64" t="s">
        <v>158</v>
      </c>
      <c r="CJ57" s="64" t="s">
        <v>158</v>
      </c>
      <c r="CK57" s="64" t="s">
        <v>158</v>
      </c>
      <c r="CL57" s="64" t="s">
        <v>158</v>
      </c>
      <c r="CM57" s="64" t="s">
        <v>158</v>
      </c>
      <c r="CN57" s="64" t="s">
        <v>158</v>
      </c>
      <c r="CO57" s="64" t="s">
        <v>158</v>
      </c>
      <c r="CP57" s="64" t="s">
        <v>158</v>
      </c>
      <c r="CQ57" s="64" t="s">
        <v>158</v>
      </c>
      <c r="CR57" s="64" t="s">
        <v>158</v>
      </c>
      <c r="CS57" s="64" t="s">
        <v>158</v>
      </c>
      <c r="CT57" s="64" t="s">
        <v>158</v>
      </c>
      <c r="CU57" s="64" t="s">
        <v>158</v>
      </c>
      <c r="CV57" s="64" t="s">
        <v>158</v>
      </c>
      <c r="CW57" s="64" t="s">
        <v>158</v>
      </c>
      <c r="CX57" s="64" t="s">
        <v>158</v>
      </c>
      <c r="CY57" s="66" t="s">
        <v>158</v>
      </c>
      <c r="CZ57" s="73"/>
    </row>
    <row r="58" spans="1:104" hidden="1" x14ac:dyDescent="0.2">
      <c r="A58" s="106" t="s">
        <v>30</v>
      </c>
      <c r="B58" s="106" t="s">
        <v>30</v>
      </c>
      <c r="C58" s="14" t="s">
        <v>20</v>
      </c>
      <c r="G58" s="74">
        <v>44480</v>
      </c>
      <c r="H58" s="16">
        <v>2021</v>
      </c>
      <c r="I58" s="135" t="s">
        <v>33</v>
      </c>
      <c r="J58" s="135">
        <v>10</v>
      </c>
      <c r="K58" s="141">
        <v>0.9</v>
      </c>
      <c r="L58" s="5" t="s">
        <v>159</v>
      </c>
      <c r="M58" s="80">
        <v>5.7567093977681456E-2</v>
      </c>
      <c r="N58" s="76">
        <v>0.41581204463709309</v>
      </c>
      <c r="O58" s="77">
        <v>1.7456239048233884</v>
      </c>
      <c r="P58" s="77">
        <v>1.548621230286821</v>
      </c>
      <c r="Q58" s="77">
        <v>3.3733330259153371</v>
      </c>
      <c r="R58" s="77">
        <v>2.950700913031449</v>
      </c>
      <c r="S58" s="76">
        <v>0.92762150696301759</v>
      </c>
      <c r="T58" s="78">
        <f t="shared" si="6"/>
        <v>11.019279719634788</v>
      </c>
      <c r="U58" s="17">
        <f t="shared" si="7"/>
        <v>52.614769385266477</v>
      </c>
      <c r="V58" s="80" t="s">
        <v>472</v>
      </c>
      <c r="W58" s="80">
        <v>6.3E-2</v>
      </c>
      <c r="X58" s="84">
        <v>1.4999999999999999E-2</v>
      </c>
      <c r="Y58" s="80">
        <v>3.7999999999999999E-2</v>
      </c>
      <c r="Z58" s="83" t="s">
        <v>472</v>
      </c>
      <c r="AA58" s="79">
        <v>1.2E-2</v>
      </c>
      <c r="AB58" s="79">
        <v>0.01</v>
      </c>
      <c r="AC58" s="80" t="s">
        <v>471</v>
      </c>
      <c r="AD58" s="76">
        <v>0.13800000000000001</v>
      </c>
      <c r="AE58" s="17">
        <f t="shared" si="9"/>
        <v>0.13800000000000001</v>
      </c>
      <c r="AF58" s="81">
        <v>2.0381813151341882E-2</v>
      </c>
      <c r="AG58" s="18">
        <f t="shared" si="8"/>
        <v>0.11323229528523267</v>
      </c>
      <c r="AH58" s="273">
        <v>29.001725415787913</v>
      </c>
      <c r="AI58" s="274">
        <v>-0.15</v>
      </c>
      <c r="AJ58" s="274" t="s">
        <v>158</v>
      </c>
      <c r="AK58" s="274" t="s">
        <v>158</v>
      </c>
      <c r="AL58" s="274">
        <v>-0.1</v>
      </c>
      <c r="AM58" s="274">
        <v>0.1098294067044067</v>
      </c>
      <c r="AN58" s="274">
        <v>3.0447726463351463</v>
      </c>
      <c r="AO58" s="274">
        <v>0.62757815101565095</v>
      </c>
      <c r="AP58" s="277" t="s">
        <v>158</v>
      </c>
      <c r="AQ58" s="276">
        <v>1.7689425736300735</v>
      </c>
      <c r="AR58" s="274">
        <v>-0.2</v>
      </c>
      <c r="AS58" s="98">
        <v>2.2795847092722092</v>
      </c>
      <c r="AT58" s="97">
        <v>0.28921743765493763</v>
      </c>
      <c r="AU58" s="97">
        <v>0.38504897879897881</v>
      </c>
      <c r="AV58" s="97">
        <v>-0.15</v>
      </c>
      <c r="AW58" s="96">
        <v>-0.112</v>
      </c>
      <c r="AX58" s="96"/>
      <c r="AY58" s="96"/>
      <c r="AZ58" s="96"/>
      <c r="BA58" s="96"/>
      <c r="BB58" s="96"/>
      <c r="BC58" s="5" t="s">
        <v>158</v>
      </c>
      <c r="BD58" s="5" t="s">
        <v>158</v>
      </c>
      <c r="BE58" s="5" t="s">
        <v>158</v>
      </c>
      <c r="BF58" s="5" t="s">
        <v>158</v>
      </c>
      <c r="BG58" s="5" t="s">
        <v>158</v>
      </c>
      <c r="BH58" s="5" t="s">
        <v>158</v>
      </c>
      <c r="BI58" s="5" t="s">
        <v>158</v>
      </c>
      <c r="BJ58" s="5" t="s">
        <v>158</v>
      </c>
      <c r="BK58" s="5" t="s">
        <v>158</v>
      </c>
      <c r="BL58" s="5" t="s">
        <v>158</v>
      </c>
      <c r="BM58" s="5" t="s">
        <v>158</v>
      </c>
      <c r="BN58" s="1">
        <v>64</v>
      </c>
      <c r="BO58" s="64" t="s">
        <v>158</v>
      </c>
      <c r="BP58" s="64" t="s">
        <v>158</v>
      </c>
      <c r="BQ58" s="64" t="s">
        <v>158</v>
      </c>
      <c r="BR58" s="64" t="s">
        <v>158</v>
      </c>
      <c r="BS58" s="64" t="s">
        <v>158</v>
      </c>
      <c r="BT58" s="64" t="s">
        <v>158</v>
      </c>
      <c r="BU58" s="64" t="s">
        <v>158</v>
      </c>
      <c r="BV58" s="64" t="s">
        <v>158</v>
      </c>
      <c r="BW58" s="64" t="s">
        <v>158</v>
      </c>
      <c r="BX58" s="64" t="s">
        <v>158</v>
      </c>
      <c r="BY58" s="64" t="s">
        <v>158</v>
      </c>
      <c r="BZ58" s="64" t="s">
        <v>158</v>
      </c>
      <c r="CA58" s="64" t="s">
        <v>158</v>
      </c>
      <c r="CB58" s="64" t="s">
        <v>158</v>
      </c>
      <c r="CC58" s="64" t="s">
        <v>158</v>
      </c>
      <c r="CD58" s="64" t="s">
        <v>158</v>
      </c>
      <c r="CE58" s="64" t="s">
        <v>158</v>
      </c>
      <c r="CF58" s="64" t="s">
        <v>158</v>
      </c>
      <c r="CG58" s="64" t="s">
        <v>158</v>
      </c>
      <c r="CH58" s="64" t="s">
        <v>158</v>
      </c>
      <c r="CI58" s="64" t="s">
        <v>158</v>
      </c>
      <c r="CJ58" s="64" t="s">
        <v>158</v>
      </c>
      <c r="CK58" s="64" t="s">
        <v>158</v>
      </c>
      <c r="CL58" s="64" t="s">
        <v>158</v>
      </c>
      <c r="CM58" s="64" t="s">
        <v>158</v>
      </c>
      <c r="CN58" s="64" t="s">
        <v>158</v>
      </c>
      <c r="CO58" s="64" t="s">
        <v>158</v>
      </c>
      <c r="CP58" s="64" t="s">
        <v>158</v>
      </c>
      <c r="CQ58" s="64" t="s">
        <v>158</v>
      </c>
      <c r="CR58" s="64" t="s">
        <v>158</v>
      </c>
      <c r="CS58" s="64" t="s">
        <v>158</v>
      </c>
      <c r="CT58" s="64" t="s">
        <v>158</v>
      </c>
      <c r="CU58" s="64" t="s">
        <v>158</v>
      </c>
      <c r="CV58" s="64" t="s">
        <v>158</v>
      </c>
      <c r="CW58" s="64" t="s">
        <v>158</v>
      </c>
      <c r="CX58" s="64" t="s">
        <v>158</v>
      </c>
      <c r="CY58" s="66" t="s">
        <v>158</v>
      </c>
      <c r="CZ58" s="73"/>
    </row>
    <row r="59" spans="1:104" hidden="1" x14ac:dyDescent="0.2">
      <c r="A59" s="106" t="s">
        <v>21</v>
      </c>
      <c r="B59" s="106" t="s">
        <v>21</v>
      </c>
      <c r="C59" s="14" t="s">
        <v>20</v>
      </c>
      <c r="G59" s="28">
        <v>44441</v>
      </c>
      <c r="H59" s="16">
        <v>2021</v>
      </c>
      <c r="I59" s="135" t="s">
        <v>33</v>
      </c>
      <c r="J59" s="135">
        <v>10</v>
      </c>
      <c r="K59" s="140">
        <v>0.69</v>
      </c>
      <c r="L59" s="5" t="s">
        <v>159</v>
      </c>
      <c r="M59" s="80" t="s">
        <v>476</v>
      </c>
      <c r="N59" s="80">
        <v>6.0800913155141252E-2</v>
      </c>
      <c r="O59" s="76">
        <v>0.79586226576619423</v>
      </c>
      <c r="P59" s="76">
        <v>0.78854751260344325</v>
      </c>
      <c r="Q59" s="77">
        <v>4.4577570626842959</v>
      </c>
      <c r="R59" s="77">
        <v>3.7758013887567774</v>
      </c>
      <c r="S59" s="77">
        <v>1.7199467326167603</v>
      </c>
      <c r="T59" s="78">
        <f t="shared" si="6"/>
        <v>11.598715875582613</v>
      </c>
      <c r="U59" s="17">
        <f t="shared" si="7"/>
        <v>78.334553354921525</v>
      </c>
      <c r="V59" s="82" t="s">
        <v>445</v>
      </c>
      <c r="W59" s="76">
        <v>0.13</v>
      </c>
      <c r="X59" s="80">
        <v>4.2000000000000003E-2</v>
      </c>
      <c r="Y59" s="80">
        <v>9.2999999999999999E-2</v>
      </c>
      <c r="Z59" s="83" t="s">
        <v>445</v>
      </c>
      <c r="AA59" s="80">
        <v>4.2999999999999997E-2</v>
      </c>
      <c r="AB59" s="80">
        <v>2.5000000000000001E-2</v>
      </c>
      <c r="AC59" s="80" t="s">
        <v>470</v>
      </c>
      <c r="AD59" s="76">
        <v>0.33300000000000002</v>
      </c>
      <c r="AE59" s="17">
        <f t="shared" si="9"/>
        <v>0.33300000000000002</v>
      </c>
      <c r="AF59" s="85">
        <v>1.5409493008655951E-2</v>
      </c>
      <c r="AG59" s="18">
        <f t="shared" si="8"/>
        <v>0.11166299281634748</v>
      </c>
      <c r="AH59" s="273">
        <v>24.592638662346452</v>
      </c>
      <c r="AI59" s="274">
        <v>-0.15</v>
      </c>
      <c r="AJ59" s="274" t="s">
        <v>158</v>
      </c>
      <c r="AK59" s="274" t="s">
        <v>158</v>
      </c>
      <c r="AL59" s="274">
        <v>-0.1</v>
      </c>
      <c r="AM59" s="274">
        <v>-0.1</v>
      </c>
      <c r="AN59" s="276">
        <v>1.2511164105765862</v>
      </c>
      <c r="AO59" s="274">
        <v>0.70566506769182502</v>
      </c>
      <c r="AP59" s="277" t="s">
        <v>158</v>
      </c>
      <c r="AQ59" s="274">
        <v>0.50656524180661899</v>
      </c>
      <c r="AR59" s="274">
        <v>-0.2</v>
      </c>
      <c r="AS59" s="97">
        <v>0.76677713432375694</v>
      </c>
      <c r="AT59" s="97">
        <v>-0.2</v>
      </c>
      <c r="AU59" s="97">
        <v>-0.15</v>
      </c>
      <c r="AV59" s="97">
        <v>-0.15</v>
      </c>
      <c r="AW59" s="97">
        <v>0.17582793254065004</v>
      </c>
      <c r="AX59" s="97"/>
      <c r="AY59" s="97"/>
      <c r="AZ59" s="97"/>
      <c r="BA59" s="97"/>
      <c r="BB59" s="97"/>
      <c r="BC59" s="5" t="s">
        <v>158</v>
      </c>
      <c r="BD59" s="5" t="s">
        <v>158</v>
      </c>
      <c r="BE59" s="5" t="s">
        <v>158</v>
      </c>
      <c r="BF59" s="5" t="s">
        <v>158</v>
      </c>
      <c r="BG59" s="5" t="s">
        <v>158</v>
      </c>
      <c r="BH59" s="5" t="s">
        <v>158</v>
      </c>
      <c r="BI59" s="5" t="s">
        <v>158</v>
      </c>
      <c r="BJ59" s="5" t="s">
        <v>158</v>
      </c>
      <c r="BK59" s="5" t="s">
        <v>158</v>
      </c>
      <c r="BL59" s="5" t="s">
        <v>158</v>
      </c>
      <c r="BM59" s="5" t="s">
        <v>158</v>
      </c>
      <c r="BN59" s="1">
        <v>56</v>
      </c>
      <c r="BO59" s="64" t="s">
        <v>158</v>
      </c>
      <c r="BP59" s="64" t="s">
        <v>158</v>
      </c>
      <c r="BQ59" s="64" t="s">
        <v>158</v>
      </c>
      <c r="BR59" s="64" t="s">
        <v>158</v>
      </c>
      <c r="BS59" s="64" t="s">
        <v>158</v>
      </c>
      <c r="BT59" s="64" t="s">
        <v>158</v>
      </c>
      <c r="BU59" s="64" t="s">
        <v>158</v>
      </c>
      <c r="BV59" s="64" t="s">
        <v>158</v>
      </c>
      <c r="BW59" s="64" t="s">
        <v>158</v>
      </c>
      <c r="BX59" s="64" t="s">
        <v>158</v>
      </c>
      <c r="BY59" s="64" t="s">
        <v>158</v>
      </c>
      <c r="BZ59" s="64" t="s">
        <v>158</v>
      </c>
      <c r="CA59" s="64" t="s">
        <v>158</v>
      </c>
      <c r="CB59" s="64" t="s">
        <v>158</v>
      </c>
      <c r="CC59" s="64" t="s">
        <v>158</v>
      </c>
      <c r="CD59" s="64" t="s">
        <v>158</v>
      </c>
      <c r="CE59" s="64" t="s">
        <v>158</v>
      </c>
      <c r="CF59" s="64" t="s">
        <v>158</v>
      </c>
      <c r="CG59" s="64" t="s">
        <v>158</v>
      </c>
      <c r="CH59" s="64" t="s">
        <v>158</v>
      </c>
      <c r="CI59" s="64" t="s">
        <v>158</v>
      </c>
      <c r="CJ59" s="64" t="s">
        <v>158</v>
      </c>
      <c r="CK59" s="64" t="s">
        <v>158</v>
      </c>
      <c r="CL59" s="64" t="s">
        <v>158</v>
      </c>
      <c r="CM59" s="64" t="s">
        <v>158</v>
      </c>
      <c r="CN59" s="64" t="s">
        <v>158</v>
      </c>
      <c r="CO59" s="64" t="s">
        <v>158</v>
      </c>
      <c r="CP59" s="64" t="s">
        <v>158</v>
      </c>
      <c r="CQ59" s="64" t="s">
        <v>158</v>
      </c>
      <c r="CR59" s="64" t="s">
        <v>158</v>
      </c>
      <c r="CS59" s="64" t="s">
        <v>158</v>
      </c>
      <c r="CT59" s="64" t="s">
        <v>158</v>
      </c>
      <c r="CU59" s="64" t="s">
        <v>158</v>
      </c>
      <c r="CV59" s="64" t="s">
        <v>158</v>
      </c>
      <c r="CW59" s="64" t="s">
        <v>158</v>
      </c>
      <c r="CX59" s="64" t="s">
        <v>158</v>
      </c>
      <c r="CY59" s="66" t="s">
        <v>158</v>
      </c>
      <c r="CZ59" s="73"/>
    </row>
    <row r="60" spans="1:104" hidden="1" x14ac:dyDescent="0.2">
      <c r="A60" s="106" t="s">
        <v>22</v>
      </c>
      <c r="B60" s="106" t="s">
        <v>22</v>
      </c>
      <c r="C60" s="14" t="s">
        <v>20</v>
      </c>
      <c r="G60" s="28">
        <v>44483</v>
      </c>
      <c r="H60" s="16">
        <v>2021</v>
      </c>
      <c r="I60" s="135" t="s">
        <v>33</v>
      </c>
      <c r="J60" s="135">
        <v>10</v>
      </c>
      <c r="K60" s="140">
        <v>0.79</v>
      </c>
      <c r="L60" s="5" t="s">
        <v>159</v>
      </c>
      <c r="M60" s="97">
        <v>0.86932926228700869</v>
      </c>
      <c r="N60" s="98">
        <v>2.1528809218950062</v>
      </c>
      <c r="O60" s="98">
        <v>6.0998719590268884</v>
      </c>
      <c r="P60" s="98">
        <v>4.7044321875307791</v>
      </c>
      <c r="Q60" s="96">
        <v>12.175032010243278</v>
      </c>
      <c r="R60" s="96">
        <v>10.840441248891953</v>
      </c>
      <c r="S60" s="98">
        <v>3.9812764700088641</v>
      </c>
      <c r="T60" s="78">
        <f>SUM(M60:S60)</f>
        <v>40.823264059883783</v>
      </c>
      <c r="U60" s="17">
        <f t="shared" si="7"/>
        <v>228.60020172375314</v>
      </c>
      <c r="V60" s="82" t="s">
        <v>440</v>
      </c>
      <c r="W60" s="76">
        <v>0.65</v>
      </c>
      <c r="X60" s="76">
        <v>0.19</v>
      </c>
      <c r="Y60" s="76">
        <v>0.75</v>
      </c>
      <c r="Z60" s="92" t="s">
        <v>440</v>
      </c>
      <c r="AA60" s="80">
        <v>7.0000000000000007E-2</v>
      </c>
      <c r="AB60" s="80">
        <v>7.5999999999999998E-2</v>
      </c>
      <c r="AC60" s="97" t="s">
        <v>438</v>
      </c>
      <c r="AD60" s="98">
        <v>1.7360000000000002</v>
      </c>
      <c r="AE60" s="17">
        <f t="shared" si="9"/>
        <v>1.736</v>
      </c>
      <c r="AF60" s="93">
        <v>-4.9199999999999999E-3</v>
      </c>
      <c r="AG60" s="18" t="s">
        <v>158</v>
      </c>
      <c r="AH60" s="273">
        <v>16.159588361583342</v>
      </c>
      <c r="AI60" s="274">
        <v>-0.15</v>
      </c>
      <c r="AJ60" s="274" t="s">
        <v>158</v>
      </c>
      <c r="AK60" s="274" t="s">
        <v>158</v>
      </c>
      <c r="AL60" s="274">
        <v>-0.1</v>
      </c>
      <c r="AM60" s="274">
        <v>-0.1</v>
      </c>
      <c r="AN60" s="274">
        <v>-0.5</v>
      </c>
      <c r="AO60" s="274">
        <v>-0.15</v>
      </c>
      <c r="AP60" s="277" t="s">
        <v>158</v>
      </c>
      <c r="AQ60" s="274">
        <v>0.40502219361521219</v>
      </c>
      <c r="AR60" s="274">
        <v>-0.2</v>
      </c>
      <c r="AS60" s="98">
        <v>2.2059365109833307</v>
      </c>
      <c r="AT60" s="97">
        <v>0.37097384730440375</v>
      </c>
      <c r="AU60" s="97">
        <v>0.32656687711596838</v>
      </c>
      <c r="AV60" s="97">
        <v>-0.15</v>
      </c>
      <c r="AW60" s="96">
        <v>-0.112</v>
      </c>
      <c r="AX60" s="96"/>
      <c r="AY60" s="96"/>
      <c r="AZ60" s="96"/>
      <c r="BA60" s="96"/>
      <c r="BB60" s="96"/>
      <c r="BC60" s="5" t="s">
        <v>158</v>
      </c>
      <c r="BD60" s="5" t="s">
        <v>158</v>
      </c>
      <c r="BE60" s="5" t="s">
        <v>158</v>
      </c>
      <c r="BF60" s="5" t="s">
        <v>158</v>
      </c>
      <c r="BG60" s="5" t="s">
        <v>158</v>
      </c>
      <c r="BH60" s="5" t="s">
        <v>158</v>
      </c>
      <c r="BI60" s="5" t="s">
        <v>158</v>
      </c>
      <c r="BJ60" s="5" t="s">
        <v>158</v>
      </c>
      <c r="BK60" s="5" t="s">
        <v>158</v>
      </c>
      <c r="BL60" s="5" t="s">
        <v>158</v>
      </c>
      <c r="BM60" s="5" t="s">
        <v>158</v>
      </c>
      <c r="BN60" s="86">
        <v>75</v>
      </c>
      <c r="BO60" s="64" t="s">
        <v>158</v>
      </c>
      <c r="BP60" s="64" t="s">
        <v>158</v>
      </c>
      <c r="BQ60" s="64" t="s">
        <v>158</v>
      </c>
      <c r="BR60" s="64" t="s">
        <v>158</v>
      </c>
      <c r="BS60" s="64" t="s">
        <v>158</v>
      </c>
      <c r="BT60" s="64" t="s">
        <v>158</v>
      </c>
      <c r="BU60" s="64" t="s">
        <v>158</v>
      </c>
      <c r="BV60" s="64" t="s">
        <v>158</v>
      </c>
      <c r="BW60" s="64" t="s">
        <v>158</v>
      </c>
      <c r="BX60" s="64" t="s">
        <v>158</v>
      </c>
      <c r="BY60" s="64" t="s">
        <v>158</v>
      </c>
      <c r="BZ60" s="64" t="s">
        <v>158</v>
      </c>
      <c r="CA60" s="64" t="s">
        <v>158</v>
      </c>
      <c r="CB60" s="64" t="s">
        <v>158</v>
      </c>
      <c r="CC60" s="64" t="s">
        <v>158</v>
      </c>
      <c r="CD60" s="64" t="s">
        <v>158</v>
      </c>
      <c r="CE60" s="64" t="s">
        <v>158</v>
      </c>
      <c r="CF60" s="64" t="s">
        <v>158</v>
      </c>
      <c r="CG60" s="64" t="s">
        <v>158</v>
      </c>
      <c r="CH60" s="64" t="s">
        <v>158</v>
      </c>
      <c r="CI60" s="64" t="s">
        <v>158</v>
      </c>
      <c r="CJ60" s="64" t="s">
        <v>158</v>
      </c>
      <c r="CK60" s="64" t="s">
        <v>158</v>
      </c>
      <c r="CL60" s="64" t="s">
        <v>158</v>
      </c>
      <c r="CM60" s="64" t="s">
        <v>158</v>
      </c>
      <c r="CN60" s="64" t="s">
        <v>158</v>
      </c>
      <c r="CO60" s="64" t="s">
        <v>158</v>
      </c>
      <c r="CP60" s="64" t="s">
        <v>158</v>
      </c>
      <c r="CQ60" s="64" t="s">
        <v>158</v>
      </c>
      <c r="CR60" s="64" t="s">
        <v>158</v>
      </c>
      <c r="CS60" s="64" t="s">
        <v>158</v>
      </c>
      <c r="CT60" s="64" t="s">
        <v>158</v>
      </c>
      <c r="CU60" s="64" t="s">
        <v>158</v>
      </c>
      <c r="CV60" s="64" t="s">
        <v>158</v>
      </c>
      <c r="CW60" s="64" t="s">
        <v>158</v>
      </c>
      <c r="CX60" s="64" t="s">
        <v>158</v>
      </c>
      <c r="CY60" s="66" t="s">
        <v>158</v>
      </c>
      <c r="CZ60" s="73"/>
    </row>
    <row r="61" spans="1:104" hidden="1" x14ac:dyDescent="0.2">
      <c r="A61" s="71" t="s">
        <v>21</v>
      </c>
      <c r="B61" s="71" t="s">
        <v>21</v>
      </c>
      <c r="C61" s="14" t="s">
        <v>20</v>
      </c>
      <c r="G61" s="74">
        <v>44097</v>
      </c>
      <c r="H61" s="16">
        <v>2020</v>
      </c>
      <c r="I61" s="135" t="s">
        <v>33</v>
      </c>
      <c r="J61" s="135">
        <v>10</v>
      </c>
      <c r="K61" s="141">
        <v>0.60671298561505971</v>
      </c>
      <c r="L61" s="5" t="s">
        <v>159</v>
      </c>
      <c r="M61" s="5">
        <v>1.7459385398316696E-2</v>
      </c>
      <c r="N61" s="5">
        <v>7.0229007633587789E-2</v>
      </c>
      <c r="O61" s="5">
        <v>0.81794871794871793</v>
      </c>
      <c r="P61" s="5">
        <v>0.72689371697005278</v>
      </c>
      <c r="Q61" s="5">
        <v>3.6975631238990019</v>
      </c>
      <c r="R61" s="5">
        <v>3.1140144842434916</v>
      </c>
      <c r="S61" s="5">
        <v>1.5226560970835781</v>
      </c>
      <c r="T61" s="5">
        <v>9.9667645331767467</v>
      </c>
      <c r="U61" s="17">
        <f t="shared" si="7"/>
        <v>76.146967637751374</v>
      </c>
      <c r="V61" s="5" t="s">
        <v>445</v>
      </c>
      <c r="W61" s="5">
        <v>0.11257878679695517</v>
      </c>
      <c r="X61" s="5">
        <v>3.6787205148025991E-2</v>
      </c>
      <c r="Y61" s="5">
        <v>6.0628168373504557E-2</v>
      </c>
      <c r="Z61" s="5">
        <v>7.0000000000000001E-3</v>
      </c>
      <c r="AA61" s="5">
        <v>2.5765060204124886E-2</v>
      </c>
      <c r="AB61" s="5">
        <v>2.8096912833875061E-2</v>
      </c>
      <c r="AC61" s="5">
        <v>0.36530093660514545</v>
      </c>
      <c r="AD61" s="5">
        <v>0.63615706996163113</v>
      </c>
      <c r="AE61" s="17">
        <f>SUM(V61,W61,Y61,X61,AB61,AA61)</f>
        <v>0.26385613335648567</v>
      </c>
      <c r="AF61" s="75">
        <v>1.1548248189469562E-2</v>
      </c>
      <c r="AG61" s="18">
        <f t="shared" ref="AG61:AG75" si="10">AF61*(5/K61)</f>
        <v>9.5170603425954722E-2</v>
      </c>
      <c r="AH61" s="276">
        <v>16.567728819998116</v>
      </c>
      <c r="AI61" s="274">
        <v>-0.2</v>
      </c>
      <c r="AJ61" s="274" t="s">
        <v>158</v>
      </c>
      <c r="AK61" s="274" t="s">
        <v>158</v>
      </c>
      <c r="AL61" s="274">
        <v>-0.2</v>
      </c>
      <c r="AM61" s="274">
        <v>-0.3</v>
      </c>
      <c r="AN61" s="274">
        <v>0.64326484101515002</v>
      </c>
      <c r="AO61" s="274">
        <v>0.39806280583162135</v>
      </c>
      <c r="AP61" s="277" t="s">
        <v>158</v>
      </c>
      <c r="AQ61" s="274">
        <v>0.40883376517992498</v>
      </c>
      <c r="AR61" s="274">
        <v>-0.1</v>
      </c>
      <c r="AS61" s="99">
        <v>-0.51</v>
      </c>
      <c r="AT61" s="99">
        <v>-0.51</v>
      </c>
      <c r="AU61" s="99">
        <v>-0.51</v>
      </c>
      <c r="AV61" s="99">
        <v>-0.1</v>
      </c>
      <c r="AW61" s="97">
        <v>-0.3</v>
      </c>
      <c r="AX61" s="97"/>
      <c r="AY61" s="97"/>
      <c r="AZ61" s="97"/>
      <c r="BA61" s="97"/>
      <c r="BB61" s="97"/>
      <c r="BC61" s="5" t="s">
        <v>158</v>
      </c>
      <c r="BD61" s="5" t="s">
        <v>158</v>
      </c>
      <c r="BE61" s="5" t="s">
        <v>158</v>
      </c>
      <c r="BF61" s="5" t="s">
        <v>158</v>
      </c>
      <c r="BG61" s="5" t="s">
        <v>158</v>
      </c>
      <c r="BH61" s="5" t="s">
        <v>158</v>
      </c>
      <c r="BI61" s="5" t="s">
        <v>158</v>
      </c>
      <c r="BJ61" s="5" t="s">
        <v>158</v>
      </c>
      <c r="BK61" s="5" t="s">
        <v>158</v>
      </c>
      <c r="BL61" s="5" t="s">
        <v>158</v>
      </c>
      <c r="BM61" s="5" t="s">
        <v>158</v>
      </c>
      <c r="BN61" s="5">
        <v>71</v>
      </c>
      <c r="BO61" s="64" t="s">
        <v>158</v>
      </c>
      <c r="BP61" s="64" t="s">
        <v>158</v>
      </c>
      <c r="BQ61" s="64" t="s">
        <v>158</v>
      </c>
      <c r="BR61" s="64" t="s">
        <v>158</v>
      </c>
      <c r="BS61" s="64" t="s">
        <v>158</v>
      </c>
      <c r="BT61" s="64" t="s">
        <v>158</v>
      </c>
      <c r="BU61" s="64" t="s">
        <v>158</v>
      </c>
      <c r="BV61" s="64" t="s">
        <v>158</v>
      </c>
      <c r="BW61" s="64" t="s">
        <v>158</v>
      </c>
      <c r="BX61" s="64" t="s">
        <v>158</v>
      </c>
      <c r="BY61" s="64" t="s">
        <v>158</v>
      </c>
      <c r="BZ61" s="64" t="s">
        <v>158</v>
      </c>
      <c r="CA61" s="64" t="s">
        <v>158</v>
      </c>
      <c r="CB61" s="64" t="s">
        <v>158</v>
      </c>
      <c r="CC61" s="64" t="s">
        <v>158</v>
      </c>
      <c r="CD61" s="64" t="s">
        <v>158</v>
      </c>
      <c r="CE61" s="64" t="s">
        <v>158</v>
      </c>
      <c r="CF61" s="64" t="s">
        <v>158</v>
      </c>
      <c r="CG61" s="64" t="s">
        <v>158</v>
      </c>
      <c r="CH61" s="64" t="s">
        <v>158</v>
      </c>
      <c r="CI61" s="64" t="s">
        <v>158</v>
      </c>
      <c r="CJ61" s="64" t="s">
        <v>158</v>
      </c>
      <c r="CK61" s="64" t="s">
        <v>158</v>
      </c>
      <c r="CL61" s="64" t="s">
        <v>158</v>
      </c>
      <c r="CM61" s="64" t="s">
        <v>158</v>
      </c>
      <c r="CN61" s="64" t="s">
        <v>158</v>
      </c>
      <c r="CO61" s="64" t="s">
        <v>158</v>
      </c>
      <c r="CP61" s="64" t="s">
        <v>158</v>
      </c>
      <c r="CQ61" s="64" t="s">
        <v>158</v>
      </c>
      <c r="CR61" s="64" t="s">
        <v>158</v>
      </c>
      <c r="CS61" s="64" t="s">
        <v>158</v>
      </c>
      <c r="CT61" s="64" t="s">
        <v>158</v>
      </c>
      <c r="CU61" s="64" t="s">
        <v>158</v>
      </c>
      <c r="CV61" s="64" t="s">
        <v>158</v>
      </c>
      <c r="CW61" s="64" t="s">
        <v>158</v>
      </c>
      <c r="CX61" s="64" t="s">
        <v>158</v>
      </c>
      <c r="CY61" s="66" t="s">
        <v>158</v>
      </c>
    </row>
    <row r="62" spans="1:104" hidden="1" x14ac:dyDescent="0.2">
      <c r="A62" s="71" t="s">
        <v>30</v>
      </c>
      <c r="B62" s="71" t="s">
        <v>30</v>
      </c>
      <c r="C62" s="14" t="s">
        <v>20</v>
      </c>
      <c r="G62" s="74">
        <v>44077</v>
      </c>
      <c r="H62" s="16">
        <v>2020</v>
      </c>
      <c r="I62" s="135" t="s">
        <v>33</v>
      </c>
      <c r="J62" s="135">
        <v>10</v>
      </c>
      <c r="K62" s="141">
        <v>0.43851798818687371</v>
      </c>
      <c r="L62" s="5" t="s">
        <v>159</v>
      </c>
      <c r="M62" s="5">
        <v>5.4271682727946635E-2</v>
      </c>
      <c r="N62" s="5">
        <v>0.30381764269829503</v>
      </c>
      <c r="O62" s="5">
        <v>2.104966641957005</v>
      </c>
      <c r="P62" s="5">
        <v>2.66890752409192</v>
      </c>
      <c r="Q62" s="5">
        <v>5.4643346923647149</v>
      </c>
      <c r="R62" s="5">
        <v>4.5874722016308382</v>
      </c>
      <c r="S62" s="5">
        <v>1.6819171608598964</v>
      </c>
      <c r="T62" s="5">
        <v>16.865687546330616</v>
      </c>
      <c r="U62" s="17">
        <f t="shared" si="7"/>
        <v>161.8722652739705</v>
      </c>
      <c r="V62" s="5" t="s">
        <v>445</v>
      </c>
      <c r="W62" s="5">
        <v>4.1707016419202839E-2</v>
      </c>
      <c r="X62" s="5">
        <v>1.5733358416001847E-2</v>
      </c>
      <c r="Y62" s="5">
        <v>2.5052444865203624E-2</v>
      </c>
      <c r="Z62" s="5">
        <v>8.0000000000000002E-3</v>
      </c>
      <c r="AA62" s="5">
        <v>1.409222441209124E-2</v>
      </c>
      <c r="AB62" s="5">
        <v>1.7498859264261788E-2</v>
      </c>
      <c r="AC62" s="5">
        <v>0.34257739051548147</v>
      </c>
      <c r="AD62" s="5">
        <v>0.46466129389224281</v>
      </c>
      <c r="AE62" s="17">
        <f t="shared" ref="AE62:AE75" si="11">SUM(V62,W62,Y62,X62,AB62,AA62)</f>
        <v>0.11408390337676133</v>
      </c>
      <c r="AF62" s="75">
        <v>8.0615270570793176E-3</v>
      </c>
      <c r="AG62" s="18">
        <f t="shared" si="10"/>
        <v>9.1917860546736702E-2</v>
      </c>
      <c r="AH62" s="278">
        <v>1.0783181778163478</v>
      </c>
      <c r="AI62" s="274">
        <v>-0.2</v>
      </c>
      <c r="AJ62" s="274" t="s">
        <v>158</v>
      </c>
      <c r="AK62" s="274" t="s">
        <v>158</v>
      </c>
      <c r="AL62" s="274">
        <v>-0.2</v>
      </c>
      <c r="AM62" s="274">
        <v>-0.3</v>
      </c>
      <c r="AN62" s="274">
        <v>-0.2</v>
      </c>
      <c r="AO62" s="274">
        <v>-0.3</v>
      </c>
      <c r="AP62" s="277" t="s">
        <v>158</v>
      </c>
      <c r="AQ62" s="274">
        <v>-0.2</v>
      </c>
      <c r="AR62" s="274">
        <v>-0.1</v>
      </c>
      <c r="AS62" s="99">
        <v>-0.51</v>
      </c>
      <c r="AT62" s="99">
        <v>-0.51</v>
      </c>
      <c r="AU62" s="99">
        <v>-0.51</v>
      </c>
      <c r="AV62" s="99">
        <v>-0.1</v>
      </c>
      <c r="AW62" s="97">
        <v>-0.3</v>
      </c>
      <c r="AX62" s="97"/>
      <c r="AY62" s="97"/>
      <c r="AZ62" s="97"/>
      <c r="BA62" s="97"/>
      <c r="BB62" s="97"/>
      <c r="BC62" s="5" t="s">
        <v>158</v>
      </c>
      <c r="BD62" s="5" t="s">
        <v>158</v>
      </c>
      <c r="BE62" s="5" t="s">
        <v>158</v>
      </c>
      <c r="BF62" s="5" t="s">
        <v>158</v>
      </c>
      <c r="BG62" s="5" t="s">
        <v>158</v>
      </c>
      <c r="BH62" s="5" t="s">
        <v>158</v>
      </c>
      <c r="BI62" s="5" t="s">
        <v>158</v>
      </c>
      <c r="BJ62" s="5" t="s">
        <v>158</v>
      </c>
      <c r="BK62" s="5" t="s">
        <v>158</v>
      </c>
      <c r="BL62" s="5" t="s">
        <v>158</v>
      </c>
      <c r="BM62" s="5" t="s">
        <v>158</v>
      </c>
      <c r="BN62" s="5">
        <v>73</v>
      </c>
      <c r="BO62" s="64" t="s">
        <v>158</v>
      </c>
      <c r="BP62" s="64" t="s">
        <v>158</v>
      </c>
      <c r="BQ62" s="64" t="s">
        <v>158</v>
      </c>
      <c r="BR62" s="64" t="s">
        <v>158</v>
      </c>
      <c r="BS62" s="64" t="s">
        <v>158</v>
      </c>
      <c r="BT62" s="64" t="s">
        <v>158</v>
      </c>
      <c r="BU62" s="64" t="s">
        <v>158</v>
      </c>
      <c r="BV62" s="64" t="s">
        <v>158</v>
      </c>
      <c r="BW62" s="64" t="s">
        <v>158</v>
      </c>
      <c r="BX62" s="64" t="s">
        <v>158</v>
      </c>
      <c r="BY62" s="64" t="s">
        <v>158</v>
      </c>
      <c r="BZ62" s="64" t="s">
        <v>158</v>
      </c>
      <c r="CA62" s="64" t="s">
        <v>158</v>
      </c>
      <c r="CB62" s="64" t="s">
        <v>158</v>
      </c>
      <c r="CC62" s="64" t="s">
        <v>158</v>
      </c>
      <c r="CD62" s="64" t="s">
        <v>158</v>
      </c>
      <c r="CE62" s="64" t="s">
        <v>158</v>
      </c>
      <c r="CF62" s="64" t="s">
        <v>158</v>
      </c>
      <c r="CG62" s="64" t="s">
        <v>158</v>
      </c>
      <c r="CH62" s="64" t="s">
        <v>158</v>
      </c>
      <c r="CI62" s="64" t="s">
        <v>158</v>
      </c>
      <c r="CJ62" s="64" t="s">
        <v>158</v>
      </c>
      <c r="CK62" s="64" t="s">
        <v>158</v>
      </c>
      <c r="CL62" s="64" t="s">
        <v>158</v>
      </c>
      <c r="CM62" s="64" t="s">
        <v>158</v>
      </c>
      <c r="CN62" s="64" t="s">
        <v>158</v>
      </c>
      <c r="CO62" s="64" t="s">
        <v>158</v>
      </c>
      <c r="CP62" s="64" t="s">
        <v>158</v>
      </c>
      <c r="CQ62" s="64" t="s">
        <v>158</v>
      </c>
      <c r="CR62" s="64" t="s">
        <v>158</v>
      </c>
      <c r="CS62" s="64" t="s">
        <v>158</v>
      </c>
      <c r="CT62" s="64" t="s">
        <v>158</v>
      </c>
      <c r="CU62" s="64" t="s">
        <v>158</v>
      </c>
      <c r="CV62" s="64" t="s">
        <v>158</v>
      </c>
      <c r="CW62" s="64" t="s">
        <v>158</v>
      </c>
      <c r="CX62" s="64" t="s">
        <v>158</v>
      </c>
      <c r="CY62" s="66" t="s">
        <v>158</v>
      </c>
    </row>
    <row r="63" spans="1:104" hidden="1" x14ac:dyDescent="0.2">
      <c r="A63" s="71" t="s">
        <v>7</v>
      </c>
      <c r="B63" s="71" t="s">
        <v>7</v>
      </c>
      <c r="C63" s="14" t="s">
        <v>20</v>
      </c>
      <c r="G63" s="74">
        <v>44076</v>
      </c>
      <c r="H63" s="16">
        <v>2020</v>
      </c>
      <c r="I63" s="135" t="s">
        <v>33</v>
      </c>
      <c r="J63" s="135">
        <v>10</v>
      </c>
      <c r="K63" s="141">
        <v>0.52770448548813109</v>
      </c>
      <c r="L63" s="5" t="s">
        <v>159</v>
      </c>
      <c r="M63" s="5">
        <v>4.2523582702904635E-2</v>
      </c>
      <c r="N63" s="5">
        <v>0.23705986737648263</v>
      </c>
      <c r="O63" s="5">
        <v>1.3099280844307462</v>
      </c>
      <c r="P63" s="5">
        <v>1.4793125992341458</v>
      </c>
      <c r="Q63" s="5">
        <v>3.7289343420192393</v>
      </c>
      <c r="R63" s="5">
        <v>3.2616045577659469</v>
      </c>
      <c r="S63" s="5">
        <v>1.3299990660315679</v>
      </c>
      <c r="T63" s="5">
        <v>11.389362099561033</v>
      </c>
      <c r="U63" s="17">
        <f t="shared" si="7"/>
        <v>93.897719015596465</v>
      </c>
      <c r="V63" s="5">
        <v>1.1459018423260735E-2</v>
      </c>
      <c r="W63" s="5">
        <v>0.2540326066550147</v>
      </c>
      <c r="X63" s="5">
        <v>9.1683392742732864E-2</v>
      </c>
      <c r="Y63" s="5">
        <v>0.23208167048013253</v>
      </c>
      <c r="Z63" s="5">
        <v>8.0000000000000002E-3</v>
      </c>
      <c r="AA63" s="5">
        <v>4.1146759971257142E-2</v>
      </c>
      <c r="AB63" s="5">
        <v>4.4880218378050632E-2</v>
      </c>
      <c r="AC63" s="5">
        <v>0.35680039844952444</v>
      </c>
      <c r="AD63" s="5">
        <v>1.0400840650999732</v>
      </c>
      <c r="AE63" s="17">
        <f t="shared" si="11"/>
        <v>0.6752836666504487</v>
      </c>
      <c r="AF63" s="75">
        <v>0.15840104604464367</v>
      </c>
      <c r="AG63" s="18">
        <f t="shared" si="10"/>
        <v>1.5008499112729861</v>
      </c>
      <c r="AH63" s="278">
        <v>12.137726807731655</v>
      </c>
      <c r="AI63" s="274">
        <v>-0.2</v>
      </c>
      <c r="AJ63" s="274" t="s">
        <v>158</v>
      </c>
      <c r="AK63" s="274" t="s">
        <v>158</v>
      </c>
      <c r="AL63" s="274">
        <v>-0.2</v>
      </c>
      <c r="AM63" s="274">
        <v>-0.3</v>
      </c>
      <c r="AN63" s="276">
        <v>3.3358773488397135</v>
      </c>
      <c r="AO63" s="274">
        <v>0.68203171270123297</v>
      </c>
      <c r="AP63" s="277" t="s">
        <v>158</v>
      </c>
      <c r="AQ63" s="274">
        <v>0.97818069240295047</v>
      </c>
      <c r="AR63" s="274">
        <v>-0.1</v>
      </c>
      <c r="AS63" s="99">
        <v>0.77935713131965745</v>
      </c>
      <c r="AT63" s="99">
        <v>-0.51</v>
      </c>
      <c r="AU63" s="99">
        <v>-0.51</v>
      </c>
      <c r="AV63" s="99">
        <v>0.22723846443762449</v>
      </c>
      <c r="AW63" s="97">
        <v>-0.3</v>
      </c>
      <c r="AX63" s="97"/>
      <c r="AY63" s="97"/>
      <c r="AZ63" s="97"/>
      <c r="BA63" s="97"/>
      <c r="BB63" s="97"/>
      <c r="BC63" s="5" t="s">
        <v>158</v>
      </c>
      <c r="BD63" s="5" t="s">
        <v>158</v>
      </c>
      <c r="BE63" s="5" t="s">
        <v>158</v>
      </c>
      <c r="BF63" s="5" t="s">
        <v>158</v>
      </c>
      <c r="BG63" s="5" t="s">
        <v>158</v>
      </c>
      <c r="BH63" s="5" t="s">
        <v>158</v>
      </c>
      <c r="BI63" s="5" t="s">
        <v>158</v>
      </c>
      <c r="BJ63" s="5" t="s">
        <v>158</v>
      </c>
      <c r="BK63" s="5" t="s">
        <v>158</v>
      </c>
      <c r="BL63" s="5" t="s">
        <v>158</v>
      </c>
      <c r="BM63" s="5" t="s">
        <v>158</v>
      </c>
      <c r="BN63" s="5">
        <v>150</v>
      </c>
      <c r="BO63" s="64" t="s">
        <v>158</v>
      </c>
      <c r="BP63" s="64" t="s">
        <v>158</v>
      </c>
      <c r="BQ63" s="64" t="s">
        <v>158</v>
      </c>
      <c r="BR63" s="64" t="s">
        <v>158</v>
      </c>
      <c r="BS63" s="64" t="s">
        <v>158</v>
      </c>
      <c r="BT63" s="64" t="s">
        <v>158</v>
      </c>
      <c r="BU63" s="64" t="s">
        <v>158</v>
      </c>
      <c r="BV63" s="64" t="s">
        <v>158</v>
      </c>
      <c r="BW63" s="64" t="s">
        <v>158</v>
      </c>
      <c r="BX63" s="64" t="s">
        <v>158</v>
      </c>
      <c r="BY63" s="64" t="s">
        <v>158</v>
      </c>
      <c r="BZ63" s="64" t="s">
        <v>158</v>
      </c>
      <c r="CA63" s="64" t="s">
        <v>158</v>
      </c>
      <c r="CB63" s="64" t="s">
        <v>158</v>
      </c>
      <c r="CC63" s="64" t="s">
        <v>158</v>
      </c>
      <c r="CD63" s="64" t="s">
        <v>158</v>
      </c>
      <c r="CE63" s="64" t="s">
        <v>158</v>
      </c>
      <c r="CF63" s="64" t="s">
        <v>158</v>
      </c>
      <c r="CG63" s="64" t="s">
        <v>158</v>
      </c>
      <c r="CH63" s="64" t="s">
        <v>158</v>
      </c>
      <c r="CI63" s="64" t="s">
        <v>158</v>
      </c>
      <c r="CJ63" s="64" t="s">
        <v>158</v>
      </c>
      <c r="CK63" s="64" t="s">
        <v>158</v>
      </c>
      <c r="CL63" s="64" t="s">
        <v>158</v>
      </c>
      <c r="CM63" s="64" t="s">
        <v>158</v>
      </c>
      <c r="CN63" s="64" t="s">
        <v>158</v>
      </c>
      <c r="CO63" s="64" t="s">
        <v>158</v>
      </c>
      <c r="CP63" s="64" t="s">
        <v>158</v>
      </c>
      <c r="CQ63" s="64" t="s">
        <v>158</v>
      </c>
      <c r="CR63" s="64" t="s">
        <v>158</v>
      </c>
      <c r="CS63" s="64" t="s">
        <v>158</v>
      </c>
      <c r="CT63" s="64" t="s">
        <v>158</v>
      </c>
      <c r="CU63" s="64" t="s">
        <v>158</v>
      </c>
      <c r="CV63" s="64" t="s">
        <v>158</v>
      </c>
      <c r="CW63" s="64" t="s">
        <v>158</v>
      </c>
      <c r="CX63" s="64" t="s">
        <v>158</v>
      </c>
      <c r="CY63" s="66" t="s">
        <v>158</v>
      </c>
    </row>
    <row r="64" spans="1:104" hidden="1" x14ac:dyDescent="0.2">
      <c r="A64" s="71" t="s">
        <v>5</v>
      </c>
      <c r="B64" s="71" t="s">
        <v>5</v>
      </c>
      <c r="C64" s="14" t="s">
        <v>20</v>
      </c>
      <c r="G64" s="74">
        <v>44067</v>
      </c>
      <c r="H64" s="16">
        <v>2020</v>
      </c>
      <c r="I64" s="135" t="s">
        <v>33</v>
      </c>
      <c r="J64" s="135">
        <v>10</v>
      </c>
      <c r="K64" s="141">
        <v>0.54378398649917126</v>
      </c>
      <c r="L64" s="5" t="s">
        <v>159</v>
      </c>
      <c r="M64" s="5">
        <v>0.82592342559552512</v>
      </c>
      <c r="N64" s="5">
        <v>2.4838267913974348</v>
      </c>
      <c r="O64" s="5">
        <v>9.7939531295206876</v>
      </c>
      <c r="P64" s="5">
        <v>8.814215449898736</v>
      </c>
      <c r="Q64" s="5">
        <v>15.305670749349021</v>
      </c>
      <c r="R64" s="5">
        <v>14.554055357315073</v>
      </c>
      <c r="S64" s="5">
        <v>3.7771626964991802</v>
      </c>
      <c r="T64" s="5">
        <v>55.554807599575661</v>
      </c>
      <c r="U64" s="17">
        <f t="shared" si="7"/>
        <v>429.77168609348297</v>
      </c>
      <c r="V64" s="5">
        <v>2.0900971351692679E-2</v>
      </c>
      <c r="W64" s="5">
        <v>0.33061536501768424</v>
      </c>
      <c r="X64" s="5">
        <v>9.9862724852371604E-2</v>
      </c>
      <c r="Y64" s="5">
        <v>0.17976883361826038</v>
      </c>
      <c r="Z64" s="5">
        <v>1.3732973555521536E-2</v>
      </c>
      <c r="AA64" s="5">
        <v>5.4135450022511578E-2</v>
      </c>
      <c r="AB64" s="5">
        <v>6.4534735714099553E-2</v>
      </c>
      <c r="AC64" s="5">
        <v>0.95651074359259103</v>
      </c>
      <c r="AD64" s="5">
        <v>1.7200617977247326</v>
      </c>
      <c r="AE64" s="17">
        <f t="shared" si="11"/>
        <v>0.74981808057661992</v>
      </c>
      <c r="AF64" s="75">
        <v>3.8865850130195778E-2</v>
      </c>
      <c r="AG64" s="18">
        <f t="shared" si="10"/>
        <v>0.35736479093849716</v>
      </c>
      <c r="AH64" s="278">
        <v>9.4605074687947628</v>
      </c>
      <c r="AI64" s="274">
        <v>-0.2</v>
      </c>
      <c r="AJ64" s="274" t="s">
        <v>158</v>
      </c>
      <c r="AK64" s="274" t="s">
        <v>158</v>
      </c>
      <c r="AL64" s="274">
        <v>-0.2</v>
      </c>
      <c r="AM64" s="274">
        <v>-0.3</v>
      </c>
      <c r="AN64" s="274">
        <v>0.54134694086351554</v>
      </c>
      <c r="AO64" s="274">
        <v>-0.3</v>
      </c>
      <c r="AP64" s="277" t="s">
        <v>158</v>
      </c>
      <c r="AQ64" s="274">
        <v>0.47282330673214651</v>
      </c>
      <c r="AR64" s="274">
        <v>-0.1</v>
      </c>
      <c r="AS64" s="99">
        <v>0.82489257213014122</v>
      </c>
      <c r="AT64" s="99">
        <v>-0.51</v>
      </c>
      <c r="AU64" s="99">
        <v>-0.51</v>
      </c>
      <c r="AV64" s="99">
        <v>-0.1</v>
      </c>
      <c r="AW64" s="97">
        <v>-0.3</v>
      </c>
      <c r="AX64" s="97"/>
      <c r="AY64" s="97"/>
      <c r="AZ64" s="97"/>
      <c r="BA64" s="97"/>
      <c r="BB64" s="97"/>
      <c r="BC64" s="5" t="s">
        <v>158</v>
      </c>
      <c r="BD64" s="5" t="s">
        <v>158</v>
      </c>
      <c r="BE64" s="5" t="s">
        <v>158</v>
      </c>
      <c r="BF64" s="5" t="s">
        <v>158</v>
      </c>
      <c r="BG64" s="5" t="s">
        <v>158</v>
      </c>
      <c r="BH64" s="5" t="s">
        <v>158</v>
      </c>
      <c r="BI64" s="5" t="s">
        <v>158</v>
      </c>
      <c r="BJ64" s="5" t="s">
        <v>158</v>
      </c>
      <c r="BK64" s="5" t="s">
        <v>158</v>
      </c>
      <c r="BL64" s="5" t="s">
        <v>158</v>
      </c>
      <c r="BM64" s="5" t="s">
        <v>158</v>
      </c>
      <c r="BN64" s="5">
        <v>96</v>
      </c>
      <c r="BO64" s="64" t="s">
        <v>158</v>
      </c>
      <c r="BP64" s="64" t="s">
        <v>158</v>
      </c>
      <c r="BQ64" s="64" t="s">
        <v>158</v>
      </c>
      <c r="BR64" s="64" t="s">
        <v>158</v>
      </c>
      <c r="BS64" s="64" t="s">
        <v>158</v>
      </c>
      <c r="BT64" s="64" t="s">
        <v>158</v>
      </c>
      <c r="BU64" s="64" t="s">
        <v>158</v>
      </c>
      <c r="BV64" s="64" t="s">
        <v>158</v>
      </c>
      <c r="BW64" s="64" t="s">
        <v>158</v>
      </c>
      <c r="BX64" s="64" t="s">
        <v>158</v>
      </c>
      <c r="BY64" s="64" t="s">
        <v>158</v>
      </c>
      <c r="BZ64" s="64" t="s">
        <v>158</v>
      </c>
      <c r="CA64" s="64" t="s">
        <v>158</v>
      </c>
      <c r="CB64" s="64" t="s">
        <v>158</v>
      </c>
      <c r="CC64" s="64" t="s">
        <v>158</v>
      </c>
      <c r="CD64" s="64" t="s">
        <v>158</v>
      </c>
      <c r="CE64" s="64" t="s">
        <v>158</v>
      </c>
      <c r="CF64" s="64" t="s">
        <v>158</v>
      </c>
      <c r="CG64" s="64" t="s">
        <v>158</v>
      </c>
      <c r="CH64" s="64" t="s">
        <v>158</v>
      </c>
      <c r="CI64" s="64" t="s">
        <v>158</v>
      </c>
      <c r="CJ64" s="64" t="s">
        <v>158</v>
      </c>
      <c r="CK64" s="64" t="s">
        <v>158</v>
      </c>
      <c r="CL64" s="64" t="s">
        <v>158</v>
      </c>
      <c r="CM64" s="64" t="s">
        <v>158</v>
      </c>
      <c r="CN64" s="64" t="s">
        <v>158</v>
      </c>
      <c r="CO64" s="64" t="s">
        <v>158</v>
      </c>
      <c r="CP64" s="64" t="s">
        <v>158</v>
      </c>
      <c r="CQ64" s="64" t="s">
        <v>158</v>
      </c>
      <c r="CR64" s="64" t="s">
        <v>158</v>
      </c>
      <c r="CS64" s="64" t="s">
        <v>158</v>
      </c>
      <c r="CT64" s="64" t="s">
        <v>158</v>
      </c>
      <c r="CU64" s="64" t="s">
        <v>158</v>
      </c>
      <c r="CV64" s="64" t="s">
        <v>158</v>
      </c>
      <c r="CW64" s="64" t="s">
        <v>158</v>
      </c>
      <c r="CX64" s="64" t="s">
        <v>158</v>
      </c>
      <c r="CY64" s="66" t="s">
        <v>158</v>
      </c>
    </row>
    <row r="65" spans="1:103" hidden="1" x14ac:dyDescent="0.2">
      <c r="A65" s="71" t="s">
        <v>79</v>
      </c>
      <c r="B65" s="71" t="s">
        <v>79</v>
      </c>
      <c r="C65" s="14" t="s">
        <v>20</v>
      </c>
      <c r="G65" s="74">
        <v>44075</v>
      </c>
      <c r="H65" s="16">
        <v>2020</v>
      </c>
      <c r="I65" s="135" t="s">
        <v>33</v>
      </c>
      <c r="J65" s="135">
        <v>10</v>
      </c>
      <c r="K65" s="141">
        <v>0.78185411117794557</v>
      </c>
      <c r="L65" s="5" t="s">
        <v>159</v>
      </c>
      <c r="M65" s="5">
        <v>0.22215909090909092</v>
      </c>
      <c r="N65" s="5">
        <v>0.66855739599383668</v>
      </c>
      <c r="O65" s="5">
        <v>2.8267623266563944</v>
      </c>
      <c r="P65" s="5">
        <v>2.4805855161787367</v>
      </c>
      <c r="Q65" s="5">
        <v>5.4529275808936823</v>
      </c>
      <c r="R65" s="5">
        <v>5.0670261941448382</v>
      </c>
      <c r="S65" s="5">
        <v>1.8378466872110939</v>
      </c>
      <c r="T65" s="5">
        <v>18.555864791987673</v>
      </c>
      <c r="U65" s="17">
        <f t="shared" si="7"/>
        <v>102.80229422589998</v>
      </c>
      <c r="V65" s="5">
        <v>8.0000000000000002E-3</v>
      </c>
      <c r="W65" s="5">
        <v>6.9937751761792247E-2</v>
      </c>
      <c r="X65" s="5">
        <v>2.0207775316541651E-2</v>
      </c>
      <c r="Y65" s="5">
        <v>2.6560189241002657E-2</v>
      </c>
      <c r="Z65" s="5">
        <v>8.0000000000000002E-3</v>
      </c>
      <c r="AA65" s="5">
        <v>1.1529814868674887E-2</v>
      </c>
      <c r="AB65" s="5">
        <v>2.9093810979660514E-2</v>
      </c>
      <c r="AC65" s="5" t="s">
        <v>481</v>
      </c>
      <c r="AD65" s="5">
        <v>0.17332934216767196</v>
      </c>
      <c r="AE65" s="17">
        <f t="shared" si="11"/>
        <v>0.16532934216767195</v>
      </c>
      <c r="AF65" s="75">
        <v>1.9356702619414485E-2</v>
      </c>
      <c r="AG65" s="18">
        <f t="shared" si="10"/>
        <v>0.12378717680624314</v>
      </c>
      <c r="AH65" s="278">
        <v>4.0276958045631215</v>
      </c>
      <c r="AI65" s="274">
        <v>-0.2</v>
      </c>
      <c r="AJ65" s="274" t="s">
        <v>158</v>
      </c>
      <c r="AK65" s="274" t="s">
        <v>158</v>
      </c>
      <c r="AL65" s="274">
        <v>-0.2</v>
      </c>
      <c r="AM65" s="274">
        <v>-0.3</v>
      </c>
      <c r="AN65" s="274">
        <v>0.46155535818315518</v>
      </c>
      <c r="AO65" s="274">
        <v>-0.3</v>
      </c>
      <c r="AP65" s="277" t="s">
        <v>158</v>
      </c>
      <c r="AQ65" s="274">
        <v>0.29864672568738121</v>
      </c>
      <c r="AR65" s="274">
        <v>-0.1</v>
      </c>
      <c r="AS65" s="99">
        <v>-0.51</v>
      </c>
      <c r="AT65" s="99">
        <v>-0.51</v>
      </c>
      <c r="AU65" s="99">
        <v>-0.51</v>
      </c>
      <c r="AV65" s="99">
        <v>-0.1</v>
      </c>
      <c r="AW65" s="97">
        <v>-0.3</v>
      </c>
      <c r="AX65" s="97"/>
      <c r="AY65" s="97"/>
      <c r="AZ65" s="97"/>
      <c r="BA65" s="97"/>
      <c r="BB65" s="97"/>
      <c r="BC65" s="5" t="s">
        <v>158</v>
      </c>
      <c r="BD65" s="5" t="s">
        <v>158</v>
      </c>
      <c r="BE65" s="5" t="s">
        <v>158</v>
      </c>
      <c r="BF65" s="5" t="s">
        <v>158</v>
      </c>
      <c r="BG65" s="5" t="s">
        <v>158</v>
      </c>
      <c r="BH65" s="5" t="s">
        <v>158</v>
      </c>
      <c r="BI65" s="5" t="s">
        <v>158</v>
      </c>
      <c r="BJ65" s="5" t="s">
        <v>158</v>
      </c>
      <c r="BK65" s="5" t="s">
        <v>158</v>
      </c>
      <c r="BL65" s="5" t="s">
        <v>158</v>
      </c>
      <c r="BM65" s="5" t="s">
        <v>158</v>
      </c>
      <c r="BN65" s="5">
        <v>260</v>
      </c>
      <c r="BO65" s="64" t="s">
        <v>158</v>
      </c>
      <c r="BP65" s="64" t="s">
        <v>158</v>
      </c>
      <c r="BQ65" s="64" t="s">
        <v>158</v>
      </c>
      <c r="BR65" s="64" t="s">
        <v>158</v>
      </c>
      <c r="BS65" s="64" t="s">
        <v>158</v>
      </c>
      <c r="BT65" s="64" t="s">
        <v>158</v>
      </c>
      <c r="BU65" s="64" t="s">
        <v>158</v>
      </c>
      <c r="BV65" s="64" t="s">
        <v>158</v>
      </c>
      <c r="BW65" s="64" t="s">
        <v>158</v>
      </c>
      <c r="BX65" s="64" t="s">
        <v>158</v>
      </c>
      <c r="BY65" s="64" t="s">
        <v>158</v>
      </c>
      <c r="BZ65" s="64" t="s">
        <v>158</v>
      </c>
      <c r="CA65" s="64" t="s">
        <v>158</v>
      </c>
      <c r="CB65" s="64" t="s">
        <v>158</v>
      </c>
      <c r="CC65" s="64" t="s">
        <v>158</v>
      </c>
      <c r="CD65" s="64" t="s">
        <v>158</v>
      </c>
      <c r="CE65" s="64" t="s">
        <v>158</v>
      </c>
      <c r="CF65" s="64" t="s">
        <v>158</v>
      </c>
      <c r="CG65" s="64" t="s">
        <v>158</v>
      </c>
      <c r="CH65" s="64" t="s">
        <v>158</v>
      </c>
      <c r="CI65" s="64" t="s">
        <v>158</v>
      </c>
      <c r="CJ65" s="64" t="s">
        <v>158</v>
      </c>
      <c r="CK65" s="64" t="s">
        <v>158</v>
      </c>
      <c r="CL65" s="64" t="s">
        <v>158</v>
      </c>
      <c r="CM65" s="64" t="s">
        <v>158</v>
      </c>
      <c r="CN65" s="64" t="s">
        <v>158</v>
      </c>
      <c r="CO65" s="64" t="s">
        <v>158</v>
      </c>
      <c r="CP65" s="64" t="s">
        <v>158</v>
      </c>
      <c r="CQ65" s="64" t="s">
        <v>158</v>
      </c>
      <c r="CR65" s="64" t="s">
        <v>158</v>
      </c>
      <c r="CS65" s="64" t="s">
        <v>158</v>
      </c>
      <c r="CT65" s="64" t="s">
        <v>158</v>
      </c>
      <c r="CU65" s="64" t="s">
        <v>158</v>
      </c>
      <c r="CV65" s="64" t="s">
        <v>158</v>
      </c>
      <c r="CW65" s="64" t="s">
        <v>158</v>
      </c>
      <c r="CX65" s="64" t="s">
        <v>158</v>
      </c>
      <c r="CY65" s="66" t="s">
        <v>158</v>
      </c>
    </row>
    <row r="66" spans="1:103" hidden="1" x14ac:dyDescent="0.2">
      <c r="A66" s="71" t="s">
        <v>25</v>
      </c>
      <c r="B66" s="71" t="s">
        <v>25</v>
      </c>
      <c r="C66" s="14" t="s">
        <v>20</v>
      </c>
      <c r="G66" s="74">
        <v>44098</v>
      </c>
      <c r="H66" s="16">
        <v>2020</v>
      </c>
      <c r="I66" s="135" t="s">
        <v>33</v>
      </c>
      <c r="J66" s="135">
        <v>10</v>
      </c>
      <c r="K66" s="141">
        <v>0.54760303583437775</v>
      </c>
      <c r="L66" s="5" t="s">
        <v>159</v>
      </c>
      <c r="M66" s="5">
        <v>1.8796321100098223E-2</v>
      </c>
      <c r="N66" s="5">
        <v>7.5033485132601122E-2</v>
      </c>
      <c r="O66" s="5">
        <v>0.82873470845611219</v>
      </c>
      <c r="P66" s="5">
        <v>0.75546923832485047</v>
      </c>
      <c r="Q66" s="5">
        <v>3.31597464059291</v>
      </c>
      <c r="R66" s="5">
        <v>2.8135547816769355</v>
      </c>
      <c r="S66" s="5">
        <v>1.3719171354585231</v>
      </c>
      <c r="T66" s="5">
        <v>9.1794803107420311</v>
      </c>
      <c r="U66" s="17">
        <f t="shared" si="7"/>
        <v>76.917132677885817</v>
      </c>
      <c r="V66" s="5">
        <v>8.0000000000000002E-3</v>
      </c>
      <c r="W66" s="5">
        <v>0.11117678962745009</v>
      </c>
      <c r="X66" s="5">
        <v>4.2714013793579503E-2</v>
      </c>
      <c r="Y66" s="5">
        <v>7.3809260356393958E-2</v>
      </c>
      <c r="Z66" s="5">
        <v>7.0000000000000001E-3</v>
      </c>
      <c r="AA66" s="5">
        <v>3.2692248433178563E-2</v>
      </c>
      <c r="AB66" s="5">
        <v>2.969497680691547E-2</v>
      </c>
      <c r="AC66" s="5" t="s">
        <v>382</v>
      </c>
      <c r="AD66" s="5">
        <v>0.30508728901751758</v>
      </c>
      <c r="AE66" s="17">
        <f t="shared" si="11"/>
        <v>0.29808728901751763</v>
      </c>
      <c r="AF66" s="75">
        <v>-5.0000000000000001E-3</v>
      </c>
      <c r="AG66" s="18" t="s">
        <v>158</v>
      </c>
      <c r="AH66" s="278">
        <v>28.368659883225693</v>
      </c>
      <c r="AI66" s="274">
        <v>-0.2</v>
      </c>
      <c r="AJ66" s="274" t="s">
        <v>158</v>
      </c>
      <c r="AK66" s="274" t="s">
        <v>158</v>
      </c>
      <c r="AL66" s="274">
        <v>-0.2</v>
      </c>
      <c r="AM66" s="274">
        <v>-0.3</v>
      </c>
      <c r="AN66" s="276">
        <v>1.0644272019080363</v>
      </c>
      <c r="AO66" s="274">
        <v>0.43859282318140275</v>
      </c>
      <c r="AP66" s="277" t="s">
        <v>158</v>
      </c>
      <c r="AQ66" s="274">
        <v>0.49359599807957372</v>
      </c>
      <c r="AR66" s="274">
        <v>-0.1</v>
      </c>
      <c r="AS66" s="99">
        <v>-0.51</v>
      </c>
      <c r="AT66" s="99">
        <v>-0.51</v>
      </c>
      <c r="AU66" s="99">
        <v>-0.51</v>
      </c>
      <c r="AV66" s="99">
        <v>0.42128575632269344</v>
      </c>
      <c r="AW66" s="97">
        <v>-0.3</v>
      </c>
      <c r="AX66" s="97"/>
      <c r="AY66" s="97"/>
      <c r="AZ66" s="97"/>
      <c r="BA66" s="97"/>
      <c r="BB66" s="97"/>
      <c r="BC66" s="5" t="s">
        <v>158</v>
      </c>
      <c r="BD66" s="5" t="s">
        <v>158</v>
      </c>
      <c r="BE66" s="5" t="s">
        <v>158</v>
      </c>
      <c r="BF66" s="5" t="s">
        <v>158</v>
      </c>
      <c r="BG66" s="5" t="s">
        <v>158</v>
      </c>
      <c r="BH66" s="5" t="s">
        <v>158</v>
      </c>
      <c r="BI66" s="5" t="s">
        <v>158</v>
      </c>
      <c r="BJ66" s="5" t="s">
        <v>158</v>
      </c>
      <c r="BK66" s="5" t="s">
        <v>158</v>
      </c>
      <c r="BL66" s="5" t="s">
        <v>158</v>
      </c>
      <c r="BM66" s="5" t="s">
        <v>158</v>
      </c>
      <c r="BN66" s="5">
        <v>91</v>
      </c>
      <c r="BO66" s="64" t="s">
        <v>158</v>
      </c>
      <c r="BP66" s="64" t="s">
        <v>158</v>
      </c>
      <c r="BQ66" s="64" t="s">
        <v>158</v>
      </c>
      <c r="BR66" s="64" t="s">
        <v>158</v>
      </c>
      <c r="BS66" s="64" t="s">
        <v>158</v>
      </c>
      <c r="BT66" s="64" t="s">
        <v>158</v>
      </c>
      <c r="BU66" s="64" t="s">
        <v>158</v>
      </c>
      <c r="BV66" s="64" t="s">
        <v>158</v>
      </c>
      <c r="BW66" s="64" t="s">
        <v>158</v>
      </c>
      <c r="BX66" s="64" t="s">
        <v>158</v>
      </c>
      <c r="BY66" s="64" t="s">
        <v>158</v>
      </c>
      <c r="BZ66" s="64" t="s">
        <v>158</v>
      </c>
      <c r="CA66" s="64" t="s">
        <v>158</v>
      </c>
      <c r="CB66" s="64" t="s">
        <v>158</v>
      </c>
      <c r="CC66" s="64" t="s">
        <v>158</v>
      </c>
      <c r="CD66" s="64" t="s">
        <v>158</v>
      </c>
      <c r="CE66" s="64" t="s">
        <v>158</v>
      </c>
      <c r="CF66" s="64" t="s">
        <v>158</v>
      </c>
      <c r="CG66" s="64" t="s">
        <v>158</v>
      </c>
      <c r="CH66" s="64" t="s">
        <v>158</v>
      </c>
      <c r="CI66" s="64" t="s">
        <v>158</v>
      </c>
      <c r="CJ66" s="64" t="s">
        <v>158</v>
      </c>
      <c r="CK66" s="64" t="s">
        <v>158</v>
      </c>
      <c r="CL66" s="64" t="s">
        <v>158</v>
      </c>
      <c r="CM66" s="64" t="s">
        <v>158</v>
      </c>
      <c r="CN66" s="64" t="s">
        <v>158</v>
      </c>
      <c r="CO66" s="64" t="s">
        <v>158</v>
      </c>
      <c r="CP66" s="64" t="s">
        <v>158</v>
      </c>
      <c r="CQ66" s="64" t="s">
        <v>158</v>
      </c>
      <c r="CR66" s="64" t="s">
        <v>158</v>
      </c>
      <c r="CS66" s="64" t="s">
        <v>158</v>
      </c>
      <c r="CT66" s="64" t="s">
        <v>158</v>
      </c>
      <c r="CU66" s="64" t="s">
        <v>158</v>
      </c>
      <c r="CV66" s="64" t="s">
        <v>158</v>
      </c>
      <c r="CW66" s="64" t="s">
        <v>158</v>
      </c>
      <c r="CX66" s="64" t="s">
        <v>158</v>
      </c>
      <c r="CY66" s="66" t="s">
        <v>158</v>
      </c>
    </row>
    <row r="67" spans="1:103" hidden="1" x14ac:dyDescent="0.2">
      <c r="A67" s="71" t="s">
        <v>9</v>
      </c>
      <c r="B67" s="71" t="s">
        <v>9</v>
      </c>
      <c r="C67" s="14" t="s">
        <v>20</v>
      </c>
      <c r="G67" s="74">
        <v>44088</v>
      </c>
      <c r="H67" s="16">
        <v>2020</v>
      </c>
      <c r="I67" s="135" t="s">
        <v>33</v>
      </c>
      <c r="J67" s="135">
        <v>10</v>
      </c>
      <c r="K67" s="141">
        <v>0.52518053080745719</v>
      </c>
      <c r="L67" s="5" t="s">
        <v>159</v>
      </c>
      <c r="M67" s="5">
        <v>2.6367475203770994E-2</v>
      </c>
      <c r="N67" s="5">
        <v>7.952469802612197E-2</v>
      </c>
      <c r="O67" s="5">
        <v>0.68976725915741921</v>
      </c>
      <c r="P67" s="5">
        <v>0.52974565452224287</v>
      </c>
      <c r="Q67" s="5">
        <v>2.674722576843759</v>
      </c>
      <c r="R67" s="5">
        <v>2.1255032897967201</v>
      </c>
      <c r="S67" s="5">
        <v>1.0491210841598742</v>
      </c>
      <c r="T67" s="5">
        <v>7.1747520377099088</v>
      </c>
      <c r="U67" s="17">
        <f t="shared" si="7"/>
        <v>63.264020592795667</v>
      </c>
      <c r="V67" s="5">
        <v>8.9999999999999993E-3</v>
      </c>
      <c r="W67" s="5">
        <v>5.5685877009316591E-2</v>
      </c>
      <c r="X67" s="5">
        <v>2.3870542645258036E-2</v>
      </c>
      <c r="Y67" s="5">
        <v>3.6722057018917162E-2</v>
      </c>
      <c r="Z67" s="5" t="s">
        <v>445</v>
      </c>
      <c r="AA67" s="5">
        <v>1.626331415578439E-2</v>
      </c>
      <c r="AB67" s="5">
        <v>1.7637678732329552E-2</v>
      </c>
      <c r="AC67" s="5" t="s">
        <v>437</v>
      </c>
      <c r="AD67" s="5">
        <v>0.15917946956160572</v>
      </c>
      <c r="AE67" s="17">
        <f t="shared" si="11"/>
        <v>0.15917946956160572</v>
      </c>
      <c r="AF67" s="75">
        <v>6.6777963272120202E-3</v>
      </c>
      <c r="AG67" s="18">
        <f t="shared" si="10"/>
        <v>6.3576198425948971E-2</v>
      </c>
      <c r="AH67" s="278">
        <v>1.9434212505298278</v>
      </c>
      <c r="AI67" s="274">
        <v>-0.2</v>
      </c>
      <c r="AJ67" s="274" t="s">
        <v>158</v>
      </c>
      <c r="AK67" s="274" t="s">
        <v>158</v>
      </c>
      <c r="AL67" s="274">
        <v>-0.2</v>
      </c>
      <c r="AM67" s="274">
        <v>-0.3</v>
      </c>
      <c r="AN67" s="274">
        <v>-0.2</v>
      </c>
      <c r="AO67" s="274">
        <v>-0.3</v>
      </c>
      <c r="AP67" s="277" t="s">
        <v>158</v>
      </c>
      <c r="AQ67" s="274">
        <v>-0.2</v>
      </c>
      <c r="AR67" s="274">
        <v>-0.1</v>
      </c>
      <c r="AS67" s="99">
        <v>-0.51</v>
      </c>
      <c r="AT67" s="99">
        <v>-0.51</v>
      </c>
      <c r="AU67" s="99">
        <v>-0.51</v>
      </c>
      <c r="AV67" s="99">
        <v>0.21852140503438749</v>
      </c>
      <c r="AW67" s="97">
        <v>-0.3</v>
      </c>
      <c r="AX67" s="97"/>
      <c r="AY67" s="97"/>
      <c r="AZ67" s="97"/>
      <c r="BA67" s="97"/>
      <c r="BB67" s="97"/>
      <c r="BC67" s="5" t="s">
        <v>158</v>
      </c>
      <c r="BD67" s="5" t="s">
        <v>158</v>
      </c>
      <c r="BE67" s="5" t="s">
        <v>158</v>
      </c>
      <c r="BF67" s="5" t="s">
        <v>158</v>
      </c>
      <c r="BG67" s="5" t="s">
        <v>158</v>
      </c>
      <c r="BH67" s="5" t="s">
        <v>158</v>
      </c>
      <c r="BI67" s="5" t="s">
        <v>158</v>
      </c>
      <c r="BJ67" s="5" t="s">
        <v>158</v>
      </c>
      <c r="BK67" s="5" t="s">
        <v>158</v>
      </c>
      <c r="BL67" s="5" t="s">
        <v>158</v>
      </c>
      <c r="BM67" s="5" t="s">
        <v>158</v>
      </c>
      <c r="BN67" s="5">
        <v>31</v>
      </c>
      <c r="BO67" s="64" t="s">
        <v>158</v>
      </c>
      <c r="BP67" s="64" t="s">
        <v>158</v>
      </c>
      <c r="BQ67" s="64" t="s">
        <v>158</v>
      </c>
      <c r="BR67" s="64" t="s">
        <v>158</v>
      </c>
      <c r="BS67" s="64" t="s">
        <v>158</v>
      </c>
      <c r="BT67" s="64" t="s">
        <v>158</v>
      </c>
      <c r="BU67" s="64" t="s">
        <v>158</v>
      </c>
      <c r="BV67" s="64" t="s">
        <v>158</v>
      </c>
      <c r="BW67" s="64" t="s">
        <v>158</v>
      </c>
      <c r="BX67" s="64" t="s">
        <v>158</v>
      </c>
      <c r="BY67" s="64" t="s">
        <v>158</v>
      </c>
      <c r="BZ67" s="64" t="s">
        <v>158</v>
      </c>
      <c r="CA67" s="64" t="s">
        <v>158</v>
      </c>
      <c r="CB67" s="64" t="s">
        <v>158</v>
      </c>
      <c r="CC67" s="64" t="s">
        <v>158</v>
      </c>
      <c r="CD67" s="64" t="s">
        <v>158</v>
      </c>
      <c r="CE67" s="64" t="s">
        <v>158</v>
      </c>
      <c r="CF67" s="64" t="s">
        <v>158</v>
      </c>
      <c r="CG67" s="64" t="s">
        <v>158</v>
      </c>
      <c r="CH67" s="64" t="s">
        <v>158</v>
      </c>
      <c r="CI67" s="64" t="s">
        <v>158</v>
      </c>
      <c r="CJ67" s="64" t="s">
        <v>158</v>
      </c>
      <c r="CK67" s="64" t="s">
        <v>158</v>
      </c>
      <c r="CL67" s="64" t="s">
        <v>158</v>
      </c>
      <c r="CM67" s="64" t="s">
        <v>158</v>
      </c>
      <c r="CN67" s="64" t="s">
        <v>158</v>
      </c>
      <c r="CO67" s="64" t="s">
        <v>158</v>
      </c>
      <c r="CP67" s="64" t="s">
        <v>158</v>
      </c>
      <c r="CQ67" s="64" t="s">
        <v>158</v>
      </c>
      <c r="CR67" s="64" t="s">
        <v>158</v>
      </c>
      <c r="CS67" s="64" t="s">
        <v>158</v>
      </c>
      <c r="CT67" s="64" t="s">
        <v>158</v>
      </c>
      <c r="CU67" s="64" t="s">
        <v>158</v>
      </c>
      <c r="CV67" s="64" t="s">
        <v>158</v>
      </c>
      <c r="CW67" s="64" t="s">
        <v>158</v>
      </c>
      <c r="CX67" s="64" t="s">
        <v>158</v>
      </c>
      <c r="CY67" s="66" t="s">
        <v>158</v>
      </c>
    </row>
    <row r="68" spans="1:103" hidden="1" x14ac:dyDescent="0.2">
      <c r="A68" s="71" t="s">
        <v>8</v>
      </c>
      <c r="B68" s="71" t="s">
        <v>8</v>
      </c>
      <c r="C68" s="14" t="s">
        <v>20</v>
      </c>
      <c r="G68" s="74">
        <v>44097</v>
      </c>
      <c r="H68" s="16">
        <v>2020</v>
      </c>
      <c r="I68" s="135" t="s">
        <v>33</v>
      </c>
      <c r="J68" s="135">
        <v>10</v>
      </c>
      <c r="K68" s="141">
        <v>0.52333562113932686</v>
      </c>
      <c r="L68" s="5" t="s">
        <v>159</v>
      </c>
      <c r="M68" s="5">
        <v>0.17406816822802471</v>
      </c>
      <c r="N68" s="5">
        <v>0.37479569463822998</v>
      </c>
      <c r="O68" s="5">
        <v>1.5110723539964122</v>
      </c>
      <c r="P68" s="5">
        <v>1.5094179788718356</v>
      </c>
      <c r="Q68" s="5">
        <v>4.9955949770779347</v>
      </c>
      <c r="R68" s="5">
        <v>4.0142515447478573</v>
      </c>
      <c r="S68" s="5">
        <v>1.9149093083516047</v>
      </c>
      <c r="T68" s="5">
        <v>14.494110025911899</v>
      </c>
      <c r="U68" s="17">
        <f t="shared" si="7"/>
        <v>124.0570250002452</v>
      </c>
      <c r="V68" s="5">
        <v>3.8571368420217238E-2</v>
      </c>
      <c r="W68" s="5">
        <v>0.19398858474323516</v>
      </c>
      <c r="X68" s="5">
        <v>5.1704846988411303E-2</v>
      </c>
      <c r="Y68" s="5">
        <v>8.1419671243904479E-2</v>
      </c>
      <c r="Z68" s="5">
        <v>8.9999999999999993E-3</v>
      </c>
      <c r="AA68" s="5">
        <v>3.0083298604099834E-2</v>
      </c>
      <c r="AB68" s="5">
        <v>3.4399712402063416E-2</v>
      </c>
      <c r="AC68" s="5" t="s">
        <v>437</v>
      </c>
      <c r="AD68" s="5">
        <v>0.43916748240193149</v>
      </c>
      <c r="AE68" s="17">
        <f t="shared" si="11"/>
        <v>0.43016748240193148</v>
      </c>
      <c r="AF68" s="75">
        <v>1.5547139724935219E-2</v>
      </c>
      <c r="AG68" s="18">
        <f t="shared" si="10"/>
        <v>0.14853890215888943</v>
      </c>
      <c r="AH68" s="278">
        <v>13.046184738955827</v>
      </c>
      <c r="AI68" s="274">
        <v>-0.2</v>
      </c>
      <c r="AJ68" s="274" t="s">
        <v>158</v>
      </c>
      <c r="AK68" s="274" t="s">
        <v>158</v>
      </c>
      <c r="AL68" s="274">
        <v>-0.2</v>
      </c>
      <c r="AM68" s="274">
        <v>-0.3</v>
      </c>
      <c r="AN68" s="276">
        <v>1.7599717050018255</v>
      </c>
      <c r="AO68" s="274">
        <v>0.32309921504198613</v>
      </c>
      <c r="AP68" s="277" t="s">
        <v>158</v>
      </c>
      <c r="AQ68" s="274">
        <v>0.63620390653523184</v>
      </c>
      <c r="AR68" s="274">
        <v>-0.1</v>
      </c>
      <c r="AS68" s="99">
        <v>-0.51</v>
      </c>
      <c r="AT68" s="99">
        <v>-0.51</v>
      </c>
      <c r="AU68" s="99">
        <v>-0.51</v>
      </c>
      <c r="AV68" s="99">
        <v>0.27021723256663016</v>
      </c>
      <c r="AW68" s="97">
        <v>-0.3</v>
      </c>
      <c r="AX68" s="97"/>
      <c r="AY68" s="97"/>
      <c r="AZ68" s="97"/>
      <c r="BA68" s="97"/>
      <c r="BB68" s="97"/>
      <c r="BC68" s="5" t="s">
        <v>158</v>
      </c>
      <c r="BD68" s="5" t="s">
        <v>158</v>
      </c>
      <c r="BE68" s="5" t="s">
        <v>158</v>
      </c>
      <c r="BF68" s="5" t="s">
        <v>158</v>
      </c>
      <c r="BG68" s="5" t="s">
        <v>158</v>
      </c>
      <c r="BH68" s="5" t="s">
        <v>158</v>
      </c>
      <c r="BI68" s="5" t="s">
        <v>158</v>
      </c>
      <c r="BJ68" s="5" t="s">
        <v>158</v>
      </c>
      <c r="BK68" s="5" t="s">
        <v>158</v>
      </c>
      <c r="BL68" s="5" t="s">
        <v>158</v>
      </c>
      <c r="BM68" s="5" t="s">
        <v>158</v>
      </c>
      <c r="BN68" s="5">
        <v>160</v>
      </c>
      <c r="BO68" s="64" t="s">
        <v>158</v>
      </c>
      <c r="BP68" s="64" t="s">
        <v>158</v>
      </c>
      <c r="BQ68" s="64" t="s">
        <v>158</v>
      </c>
      <c r="BR68" s="64" t="s">
        <v>158</v>
      </c>
      <c r="BS68" s="64" t="s">
        <v>158</v>
      </c>
      <c r="BT68" s="64" t="s">
        <v>158</v>
      </c>
      <c r="BU68" s="64" t="s">
        <v>158</v>
      </c>
      <c r="BV68" s="64" t="s">
        <v>158</v>
      </c>
      <c r="BW68" s="64" t="s">
        <v>158</v>
      </c>
      <c r="BX68" s="64" t="s">
        <v>158</v>
      </c>
      <c r="BY68" s="64" t="s">
        <v>158</v>
      </c>
      <c r="BZ68" s="64" t="s">
        <v>158</v>
      </c>
      <c r="CA68" s="64" t="s">
        <v>158</v>
      </c>
      <c r="CB68" s="64" t="s">
        <v>158</v>
      </c>
      <c r="CC68" s="64" t="s">
        <v>158</v>
      </c>
      <c r="CD68" s="64" t="s">
        <v>158</v>
      </c>
      <c r="CE68" s="64" t="s">
        <v>158</v>
      </c>
      <c r="CF68" s="64" t="s">
        <v>158</v>
      </c>
      <c r="CG68" s="64" t="s">
        <v>158</v>
      </c>
      <c r="CH68" s="64" t="s">
        <v>158</v>
      </c>
      <c r="CI68" s="64" t="s">
        <v>158</v>
      </c>
      <c r="CJ68" s="64" t="s">
        <v>158</v>
      </c>
      <c r="CK68" s="64" t="s">
        <v>158</v>
      </c>
      <c r="CL68" s="64" t="s">
        <v>158</v>
      </c>
      <c r="CM68" s="64" t="s">
        <v>158</v>
      </c>
      <c r="CN68" s="64" t="s">
        <v>158</v>
      </c>
      <c r="CO68" s="64" t="s">
        <v>158</v>
      </c>
      <c r="CP68" s="64" t="s">
        <v>158</v>
      </c>
      <c r="CQ68" s="64" t="s">
        <v>158</v>
      </c>
      <c r="CR68" s="64" t="s">
        <v>158</v>
      </c>
      <c r="CS68" s="64" t="s">
        <v>158</v>
      </c>
      <c r="CT68" s="64" t="s">
        <v>158</v>
      </c>
      <c r="CU68" s="64" t="s">
        <v>158</v>
      </c>
      <c r="CV68" s="64" t="s">
        <v>158</v>
      </c>
      <c r="CW68" s="64" t="s">
        <v>158</v>
      </c>
      <c r="CX68" s="64" t="s">
        <v>158</v>
      </c>
      <c r="CY68" s="66" t="s">
        <v>158</v>
      </c>
    </row>
    <row r="69" spans="1:103" hidden="1" x14ac:dyDescent="0.2">
      <c r="A69" s="71" t="s">
        <v>6</v>
      </c>
      <c r="B69" s="71" t="s">
        <v>6</v>
      </c>
      <c r="C69" s="14" t="s">
        <v>20</v>
      </c>
      <c r="G69" s="74">
        <v>44076</v>
      </c>
      <c r="H69" s="16">
        <v>2020</v>
      </c>
      <c r="I69" s="135" t="s">
        <v>33</v>
      </c>
      <c r="J69" s="135">
        <v>10</v>
      </c>
      <c r="K69" s="141">
        <v>0.47424214245862151</v>
      </c>
      <c r="L69" s="5" t="s">
        <v>159</v>
      </c>
      <c r="M69" s="5">
        <v>4.192823394048277E-2</v>
      </c>
      <c r="N69" s="5">
        <v>0.20180579148326977</v>
      </c>
      <c r="O69" s="5">
        <v>1.1352431503818072</v>
      </c>
      <c r="P69" s="5">
        <v>0.98619574324897774</v>
      </c>
      <c r="Q69" s="5">
        <v>2.8460301510541921</v>
      </c>
      <c r="R69" s="5">
        <v>2.2701489999932774</v>
      </c>
      <c r="S69" s="5">
        <v>0.8815410952932754</v>
      </c>
      <c r="T69" s="5">
        <v>8.3628931653952829</v>
      </c>
      <c r="U69" s="17">
        <f t="shared" si="7"/>
        <v>77.773533409569708</v>
      </c>
      <c r="V69" s="5">
        <v>8.9999999999999993E-3</v>
      </c>
      <c r="W69" s="5">
        <v>0.109100068376923</v>
      </c>
      <c r="X69" s="5">
        <v>3.0029546545661603E-2</v>
      </c>
      <c r="Y69" s="5">
        <v>8.7190345600406199E-2</v>
      </c>
      <c r="Z69" s="5" t="s">
        <v>445</v>
      </c>
      <c r="AA69" s="5">
        <v>1.6630687209891491E-2</v>
      </c>
      <c r="AB69" s="5">
        <v>1.7838309725132572E-2</v>
      </c>
      <c r="AC69" s="5" t="s">
        <v>481</v>
      </c>
      <c r="AD69" s="5">
        <v>0.26978895745801484</v>
      </c>
      <c r="AE69" s="17">
        <f t="shared" si="11"/>
        <v>0.26978895745801484</v>
      </c>
      <c r="AF69" s="75">
        <v>2.6104041916167664E-2</v>
      </c>
      <c r="AG69" s="18">
        <f t="shared" si="10"/>
        <v>0.27521849682986882</v>
      </c>
      <c r="AH69" s="278">
        <v>4.4276682550063837</v>
      </c>
      <c r="AI69" s="274">
        <v>-0.2</v>
      </c>
      <c r="AJ69" s="274" t="s">
        <v>158</v>
      </c>
      <c r="AK69" s="274" t="s">
        <v>158</v>
      </c>
      <c r="AL69" s="274">
        <v>-0.2</v>
      </c>
      <c r="AM69" s="274">
        <v>-0.3</v>
      </c>
      <c r="AN69" s="274">
        <v>0.6124295368899686</v>
      </c>
      <c r="AO69" s="274">
        <v>-0.3</v>
      </c>
      <c r="AP69" s="277" t="s">
        <v>158</v>
      </c>
      <c r="AQ69" s="274">
        <v>0.21646578840823447</v>
      </c>
      <c r="AR69" s="274">
        <v>-0.1</v>
      </c>
      <c r="AS69" s="99">
        <v>-0.51</v>
      </c>
      <c r="AT69" s="99">
        <v>-0.51</v>
      </c>
      <c r="AU69" s="99">
        <v>-0.51</v>
      </c>
      <c r="AV69" s="99">
        <v>0.22037434987075274</v>
      </c>
      <c r="AW69" s="97">
        <v>-0.3</v>
      </c>
      <c r="AX69" s="97"/>
      <c r="AY69" s="97"/>
      <c r="AZ69" s="97"/>
      <c r="BA69" s="97"/>
      <c r="BB69" s="97"/>
      <c r="BC69" s="5" t="s">
        <v>158</v>
      </c>
      <c r="BD69" s="5" t="s">
        <v>158</v>
      </c>
      <c r="BE69" s="5" t="s">
        <v>158</v>
      </c>
      <c r="BF69" s="5" t="s">
        <v>158</v>
      </c>
      <c r="BG69" s="5" t="s">
        <v>158</v>
      </c>
      <c r="BH69" s="5" t="s">
        <v>158</v>
      </c>
      <c r="BI69" s="5" t="s">
        <v>158</v>
      </c>
      <c r="BJ69" s="5" t="s">
        <v>158</v>
      </c>
      <c r="BK69" s="5" t="s">
        <v>158</v>
      </c>
      <c r="BL69" s="5" t="s">
        <v>158</v>
      </c>
      <c r="BM69" s="5" t="s">
        <v>158</v>
      </c>
      <c r="BN69" s="5">
        <v>42</v>
      </c>
      <c r="BO69" s="64" t="s">
        <v>158</v>
      </c>
      <c r="BP69" s="64" t="s">
        <v>158</v>
      </c>
      <c r="BQ69" s="64" t="s">
        <v>158</v>
      </c>
      <c r="BR69" s="64" t="s">
        <v>158</v>
      </c>
      <c r="BS69" s="64" t="s">
        <v>158</v>
      </c>
      <c r="BT69" s="64" t="s">
        <v>158</v>
      </c>
      <c r="BU69" s="64" t="s">
        <v>158</v>
      </c>
      <c r="BV69" s="64" t="s">
        <v>158</v>
      </c>
      <c r="BW69" s="64" t="s">
        <v>158</v>
      </c>
      <c r="BX69" s="64" t="s">
        <v>158</v>
      </c>
      <c r="BY69" s="64" t="s">
        <v>158</v>
      </c>
      <c r="BZ69" s="64" t="s">
        <v>158</v>
      </c>
      <c r="CA69" s="64" t="s">
        <v>158</v>
      </c>
      <c r="CB69" s="64" t="s">
        <v>158</v>
      </c>
      <c r="CC69" s="64" t="s">
        <v>158</v>
      </c>
      <c r="CD69" s="64" t="s">
        <v>158</v>
      </c>
      <c r="CE69" s="64" t="s">
        <v>158</v>
      </c>
      <c r="CF69" s="64" t="s">
        <v>158</v>
      </c>
      <c r="CG69" s="64" t="s">
        <v>158</v>
      </c>
      <c r="CH69" s="64" t="s">
        <v>158</v>
      </c>
      <c r="CI69" s="64" t="s">
        <v>158</v>
      </c>
      <c r="CJ69" s="64" t="s">
        <v>158</v>
      </c>
      <c r="CK69" s="64" t="s">
        <v>158</v>
      </c>
      <c r="CL69" s="64" t="s">
        <v>158</v>
      </c>
      <c r="CM69" s="64" t="s">
        <v>158</v>
      </c>
      <c r="CN69" s="64" t="s">
        <v>158</v>
      </c>
      <c r="CO69" s="64" t="s">
        <v>158</v>
      </c>
      <c r="CP69" s="64" t="s">
        <v>158</v>
      </c>
      <c r="CQ69" s="64" t="s">
        <v>158</v>
      </c>
      <c r="CR69" s="64" t="s">
        <v>158</v>
      </c>
      <c r="CS69" s="64" t="s">
        <v>158</v>
      </c>
      <c r="CT69" s="64" t="s">
        <v>158</v>
      </c>
      <c r="CU69" s="64" t="s">
        <v>158</v>
      </c>
      <c r="CV69" s="64" t="s">
        <v>158</v>
      </c>
      <c r="CW69" s="64" t="s">
        <v>158</v>
      </c>
      <c r="CX69" s="64" t="s">
        <v>158</v>
      </c>
      <c r="CY69" s="66" t="s">
        <v>158</v>
      </c>
    </row>
    <row r="70" spans="1:103" hidden="1" x14ac:dyDescent="0.2">
      <c r="A70" s="71" t="s">
        <v>22</v>
      </c>
      <c r="B70" s="71" t="s">
        <v>22</v>
      </c>
      <c r="C70" s="14" t="s">
        <v>20</v>
      </c>
      <c r="G70" s="74">
        <v>44103</v>
      </c>
      <c r="H70" s="16">
        <v>2020</v>
      </c>
      <c r="I70" s="135" t="s">
        <v>33</v>
      </c>
      <c r="J70" s="135">
        <v>10</v>
      </c>
      <c r="K70" s="141">
        <v>0.65979754157628701</v>
      </c>
      <c r="L70" s="5" t="s">
        <v>159</v>
      </c>
      <c r="M70" s="5">
        <v>0.45874618902439024</v>
      </c>
      <c r="N70" s="5">
        <v>0.93237423780487794</v>
      </c>
      <c r="O70" s="5">
        <v>3.1314119664634146</v>
      </c>
      <c r="P70" s="5">
        <v>3.0152629573170735</v>
      </c>
      <c r="Q70" s="5">
        <v>7.9381442316852437</v>
      </c>
      <c r="R70" s="5">
        <v>6.8494808040392492</v>
      </c>
      <c r="S70" s="5">
        <v>2.7946169969512193</v>
      </c>
      <c r="T70" s="5">
        <v>25.120037383285471</v>
      </c>
      <c r="U70" s="17">
        <f t="shared" si="7"/>
        <v>167.51179743076233</v>
      </c>
      <c r="V70" s="5">
        <v>1.4133504577920449E-2</v>
      </c>
      <c r="W70" s="5">
        <v>0.37347665254112311</v>
      </c>
      <c r="X70" s="5">
        <v>8.7080235970276074E-2</v>
      </c>
      <c r="Y70" s="5">
        <v>0.14503725218314784</v>
      </c>
      <c r="Z70" s="5">
        <v>1.0949848256614138E-2</v>
      </c>
      <c r="AA70" s="5">
        <v>4.171313339166112E-2</v>
      </c>
      <c r="AB70" s="5">
        <v>5.8813226814435189E-2</v>
      </c>
      <c r="AC70" s="5" t="s">
        <v>481</v>
      </c>
      <c r="AD70" s="5">
        <v>0.73120385373517804</v>
      </c>
      <c r="AE70" s="17">
        <f t="shared" si="11"/>
        <v>0.72025400547856377</v>
      </c>
      <c r="AF70" s="75">
        <v>1.5053353658536585E-2</v>
      </c>
      <c r="AG70" s="18">
        <f t="shared" si="10"/>
        <v>0.11407555128633416</v>
      </c>
      <c r="AH70" s="278">
        <v>10.870383897410928</v>
      </c>
      <c r="AI70" s="274">
        <v>-0.2</v>
      </c>
      <c r="AJ70" s="274" t="s">
        <v>158</v>
      </c>
      <c r="AK70" s="274" t="s">
        <v>158</v>
      </c>
      <c r="AL70" s="274">
        <v>-0.2</v>
      </c>
      <c r="AM70" s="274">
        <v>-0.3</v>
      </c>
      <c r="AN70" s="274">
        <v>0.73104861618375161</v>
      </c>
      <c r="AO70" s="274">
        <v>-0.3</v>
      </c>
      <c r="AP70" s="277" t="s">
        <v>158</v>
      </c>
      <c r="AQ70" s="274">
        <v>0.57972161350539753</v>
      </c>
      <c r="AR70" s="274">
        <v>0.17805170034899773</v>
      </c>
      <c r="AS70" s="99">
        <v>0.80959337716094493</v>
      </c>
      <c r="AT70" s="99">
        <v>0.52775748721694682</v>
      </c>
      <c r="AU70" s="99">
        <v>-0.51</v>
      </c>
      <c r="AV70" s="99">
        <v>0.11062413765116472</v>
      </c>
      <c r="AW70" s="97">
        <v>-0.3</v>
      </c>
      <c r="AX70" s="97"/>
      <c r="AY70" s="97"/>
      <c r="AZ70" s="97"/>
      <c r="BA70" s="97"/>
      <c r="BB70" s="97"/>
      <c r="BC70" s="5" t="s">
        <v>158</v>
      </c>
      <c r="BD70" s="5" t="s">
        <v>158</v>
      </c>
      <c r="BE70" s="5" t="s">
        <v>158</v>
      </c>
      <c r="BF70" s="5" t="s">
        <v>158</v>
      </c>
      <c r="BG70" s="5" t="s">
        <v>158</v>
      </c>
      <c r="BH70" s="5" t="s">
        <v>158</v>
      </c>
      <c r="BI70" s="5" t="s">
        <v>158</v>
      </c>
      <c r="BJ70" s="5" t="s">
        <v>158</v>
      </c>
      <c r="BK70" s="5" t="s">
        <v>158</v>
      </c>
      <c r="BL70" s="5" t="s">
        <v>158</v>
      </c>
      <c r="BM70" s="5" t="s">
        <v>158</v>
      </c>
      <c r="BN70" s="5">
        <v>150</v>
      </c>
      <c r="BO70" s="64" t="s">
        <v>158</v>
      </c>
      <c r="BP70" s="64" t="s">
        <v>158</v>
      </c>
      <c r="BQ70" s="64" t="s">
        <v>158</v>
      </c>
      <c r="BR70" s="64" t="s">
        <v>158</v>
      </c>
      <c r="BS70" s="64" t="s">
        <v>158</v>
      </c>
      <c r="BT70" s="64" t="s">
        <v>158</v>
      </c>
      <c r="BU70" s="64" t="s">
        <v>158</v>
      </c>
      <c r="BV70" s="64" t="s">
        <v>158</v>
      </c>
      <c r="BW70" s="64" t="s">
        <v>158</v>
      </c>
      <c r="BX70" s="64" t="s">
        <v>158</v>
      </c>
      <c r="BY70" s="64" t="s">
        <v>158</v>
      </c>
      <c r="BZ70" s="64" t="s">
        <v>158</v>
      </c>
      <c r="CA70" s="64" t="s">
        <v>158</v>
      </c>
      <c r="CB70" s="64" t="s">
        <v>158</v>
      </c>
      <c r="CC70" s="64" t="s">
        <v>158</v>
      </c>
      <c r="CD70" s="64" t="s">
        <v>158</v>
      </c>
      <c r="CE70" s="64" t="s">
        <v>158</v>
      </c>
      <c r="CF70" s="64" t="s">
        <v>158</v>
      </c>
      <c r="CG70" s="64" t="s">
        <v>158</v>
      </c>
      <c r="CH70" s="64" t="s">
        <v>158</v>
      </c>
      <c r="CI70" s="64" t="s">
        <v>158</v>
      </c>
      <c r="CJ70" s="64" t="s">
        <v>158</v>
      </c>
      <c r="CK70" s="64" t="s">
        <v>158</v>
      </c>
      <c r="CL70" s="64" t="s">
        <v>158</v>
      </c>
      <c r="CM70" s="64" t="s">
        <v>158</v>
      </c>
      <c r="CN70" s="64" t="s">
        <v>158</v>
      </c>
      <c r="CO70" s="64" t="s">
        <v>158</v>
      </c>
      <c r="CP70" s="64" t="s">
        <v>158</v>
      </c>
      <c r="CQ70" s="64" t="s">
        <v>158</v>
      </c>
      <c r="CR70" s="64" t="s">
        <v>158</v>
      </c>
      <c r="CS70" s="64" t="s">
        <v>158</v>
      </c>
      <c r="CT70" s="64" t="s">
        <v>158</v>
      </c>
      <c r="CU70" s="64" t="s">
        <v>158</v>
      </c>
      <c r="CV70" s="64" t="s">
        <v>158</v>
      </c>
      <c r="CW70" s="64" t="s">
        <v>158</v>
      </c>
      <c r="CX70" s="64" t="s">
        <v>158</v>
      </c>
      <c r="CY70" s="66" t="s">
        <v>158</v>
      </c>
    </row>
    <row r="71" spans="1:103" hidden="1" x14ac:dyDescent="0.2">
      <c r="A71" s="71" t="s">
        <v>81</v>
      </c>
      <c r="B71" s="71" t="s">
        <v>81</v>
      </c>
      <c r="C71" s="14" t="s">
        <v>20</v>
      </c>
      <c r="G71" s="74">
        <v>44049</v>
      </c>
      <c r="H71" s="16">
        <v>2020</v>
      </c>
      <c r="I71" s="135" t="s">
        <v>33</v>
      </c>
      <c r="J71" s="135">
        <v>10</v>
      </c>
      <c r="K71" s="141">
        <v>0.64485081809432299</v>
      </c>
      <c r="L71" s="5" t="s">
        <v>159</v>
      </c>
      <c r="M71" s="5">
        <v>3.3809662681053752E-2</v>
      </c>
      <c r="N71" s="5">
        <v>5.7135219208710016E-2</v>
      </c>
      <c r="O71" s="5">
        <v>0.21169437153689122</v>
      </c>
      <c r="P71" s="5">
        <v>0.14997569748225914</v>
      </c>
      <c r="Q71" s="5">
        <v>0.44368620589093022</v>
      </c>
      <c r="R71" s="5">
        <v>0.42281520365509861</v>
      </c>
      <c r="S71" s="5">
        <v>0.178973461650627</v>
      </c>
      <c r="T71" s="5">
        <v>1.4980898221055701</v>
      </c>
      <c r="U71" s="17">
        <f t="shared" si="7"/>
        <v>10.45291474241505</v>
      </c>
      <c r="V71" s="5" t="s">
        <v>445</v>
      </c>
      <c r="W71" s="5">
        <v>4.5224689706991783E-2</v>
      </c>
      <c r="X71" s="5">
        <v>2.2460421010083532E-2</v>
      </c>
      <c r="Y71" s="5">
        <v>4.6513003899128609E-2</v>
      </c>
      <c r="Z71" s="5" t="s">
        <v>445</v>
      </c>
      <c r="AA71" s="5">
        <v>1.5982388326980436E-2</v>
      </c>
      <c r="AB71" s="5">
        <v>1.4572535060113722E-2</v>
      </c>
      <c r="AC71" s="5">
        <v>0.33111939123632167</v>
      </c>
      <c r="AD71" s="5">
        <v>0.4758724292396197</v>
      </c>
      <c r="AE71" s="17">
        <f t="shared" si="11"/>
        <v>0.14475303800329806</v>
      </c>
      <c r="AF71" s="75">
        <v>5.084826988476808E-2</v>
      </c>
      <c r="AG71" s="18">
        <f t="shared" si="10"/>
        <v>0.39426382395726794</v>
      </c>
      <c r="AH71" s="278">
        <v>4.3348077743252302</v>
      </c>
      <c r="AI71" s="274">
        <v>-0.2</v>
      </c>
      <c r="AJ71" s="274" t="s">
        <v>158</v>
      </c>
      <c r="AK71" s="274" t="s">
        <v>158</v>
      </c>
      <c r="AL71" s="274">
        <v>-0.2</v>
      </c>
      <c r="AM71" s="274">
        <v>-0.3</v>
      </c>
      <c r="AN71" s="274">
        <v>0.4682751477487358</v>
      </c>
      <c r="AO71" s="274">
        <v>0.80752452324377033</v>
      </c>
      <c r="AP71" s="277" t="s">
        <v>158</v>
      </c>
      <c r="AQ71" s="274">
        <v>0.75027112654603045</v>
      </c>
      <c r="AR71" s="274">
        <v>-0.1</v>
      </c>
      <c r="AS71" s="101">
        <v>1.6304149150063973</v>
      </c>
      <c r="AT71" s="99">
        <v>0.55200146225552915</v>
      </c>
      <c r="AU71" s="99">
        <v>0.71650520928532258</v>
      </c>
      <c r="AV71" s="99">
        <v>-0.1</v>
      </c>
      <c r="AW71" s="97">
        <v>-0.3</v>
      </c>
      <c r="AX71" s="97"/>
      <c r="AY71" s="97"/>
      <c r="AZ71" s="97"/>
      <c r="BA71" s="97"/>
      <c r="BB71" s="97"/>
      <c r="BC71" s="5" t="s">
        <v>158</v>
      </c>
      <c r="BD71" s="5" t="s">
        <v>158</v>
      </c>
      <c r="BE71" s="5" t="s">
        <v>158</v>
      </c>
      <c r="BF71" s="5" t="s">
        <v>158</v>
      </c>
      <c r="BG71" s="5" t="s">
        <v>158</v>
      </c>
      <c r="BH71" s="5" t="s">
        <v>158</v>
      </c>
      <c r="BI71" s="5" t="s">
        <v>158</v>
      </c>
      <c r="BJ71" s="5" t="s">
        <v>158</v>
      </c>
      <c r="BK71" s="5" t="s">
        <v>158</v>
      </c>
      <c r="BL71" s="5" t="s">
        <v>158</v>
      </c>
      <c r="BM71" s="5" t="s">
        <v>158</v>
      </c>
      <c r="BN71" s="5">
        <v>29</v>
      </c>
      <c r="BO71" s="64" t="s">
        <v>158</v>
      </c>
      <c r="BP71" s="64" t="s">
        <v>158</v>
      </c>
      <c r="BQ71" s="64" t="s">
        <v>158</v>
      </c>
      <c r="BR71" s="64" t="s">
        <v>158</v>
      </c>
      <c r="BS71" s="64" t="s">
        <v>158</v>
      </c>
      <c r="BT71" s="64" t="s">
        <v>158</v>
      </c>
      <c r="BU71" s="64" t="s">
        <v>158</v>
      </c>
      <c r="BV71" s="64" t="s">
        <v>158</v>
      </c>
      <c r="BW71" s="64" t="s">
        <v>158</v>
      </c>
      <c r="BX71" s="64" t="s">
        <v>158</v>
      </c>
      <c r="BY71" s="64" t="s">
        <v>158</v>
      </c>
      <c r="BZ71" s="64" t="s">
        <v>158</v>
      </c>
      <c r="CA71" s="64" t="s">
        <v>158</v>
      </c>
      <c r="CB71" s="64" t="s">
        <v>158</v>
      </c>
      <c r="CC71" s="64" t="s">
        <v>158</v>
      </c>
      <c r="CD71" s="64" t="s">
        <v>158</v>
      </c>
      <c r="CE71" s="64" t="s">
        <v>158</v>
      </c>
      <c r="CF71" s="64" t="s">
        <v>158</v>
      </c>
      <c r="CG71" s="64" t="s">
        <v>158</v>
      </c>
      <c r="CH71" s="64" t="s">
        <v>158</v>
      </c>
      <c r="CI71" s="64" t="s">
        <v>158</v>
      </c>
      <c r="CJ71" s="64" t="s">
        <v>158</v>
      </c>
      <c r="CK71" s="64" t="s">
        <v>158</v>
      </c>
      <c r="CL71" s="64" t="s">
        <v>158</v>
      </c>
      <c r="CM71" s="64" t="s">
        <v>158</v>
      </c>
      <c r="CN71" s="64" t="s">
        <v>158</v>
      </c>
      <c r="CO71" s="64" t="s">
        <v>158</v>
      </c>
      <c r="CP71" s="64" t="s">
        <v>158</v>
      </c>
      <c r="CQ71" s="64" t="s">
        <v>158</v>
      </c>
      <c r="CR71" s="64" t="s">
        <v>158</v>
      </c>
      <c r="CS71" s="64" t="s">
        <v>158</v>
      </c>
      <c r="CT71" s="64" t="s">
        <v>158</v>
      </c>
      <c r="CU71" s="64" t="s">
        <v>158</v>
      </c>
      <c r="CV71" s="64" t="s">
        <v>158</v>
      </c>
      <c r="CW71" s="64" t="s">
        <v>158</v>
      </c>
      <c r="CX71" s="64" t="s">
        <v>158</v>
      </c>
      <c r="CY71" s="66" t="s">
        <v>158</v>
      </c>
    </row>
    <row r="72" spans="1:103" hidden="1" x14ac:dyDescent="0.2">
      <c r="A72" s="71" t="s">
        <v>26</v>
      </c>
      <c r="B72" s="71" t="s">
        <v>26</v>
      </c>
      <c r="C72" s="14" t="s">
        <v>20</v>
      </c>
      <c r="G72" s="74">
        <v>44047</v>
      </c>
      <c r="H72" s="16">
        <v>2020</v>
      </c>
      <c r="I72" s="135" t="s">
        <v>33</v>
      </c>
      <c r="J72" s="135">
        <v>10</v>
      </c>
      <c r="K72" s="141">
        <v>0.62780269058296567</v>
      </c>
      <c r="L72" s="5" t="s">
        <v>159</v>
      </c>
      <c r="M72" s="5">
        <v>1.6077537058152794E-2</v>
      </c>
      <c r="N72" s="5" t="s">
        <v>482</v>
      </c>
      <c r="O72" s="5">
        <v>9.5819080197643486E-2</v>
      </c>
      <c r="P72" s="5">
        <v>9.879323451159254E-2</v>
      </c>
      <c r="Q72" s="5">
        <v>0.26313188901558349</v>
      </c>
      <c r="R72" s="5">
        <v>0.25109274040288865</v>
      </c>
      <c r="S72" s="5">
        <v>9.771949828962373E-2</v>
      </c>
      <c r="T72" s="5">
        <v>0.82263397947548467</v>
      </c>
      <c r="U72" s="17">
        <f t="shared" si="7"/>
        <v>5.7648745045338003</v>
      </c>
      <c r="V72" s="5" t="s">
        <v>445</v>
      </c>
      <c r="W72" s="5">
        <v>7.0000000000000001E-3</v>
      </c>
      <c r="X72" s="5" t="s">
        <v>473</v>
      </c>
      <c r="Y72" s="5">
        <v>8.0000000000000002E-3</v>
      </c>
      <c r="Z72" s="5" t="s">
        <v>445</v>
      </c>
      <c r="AA72" s="5" t="s">
        <v>445</v>
      </c>
      <c r="AB72" s="5" t="s">
        <v>445</v>
      </c>
      <c r="AC72" s="5" t="s">
        <v>481</v>
      </c>
      <c r="AD72" s="5">
        <v>1.5085729940355272E-2</v>
      </c>
      <c r="AE72" s="17">
        <f t="shared" si="11"/>
        <v>1.4999999999999999E-2</v>
      </c>
      <c r="AF72" s="75">
        <v>-5.0000000000000001E-3</v>
      </c>
      <c r="AG72" s="18" t="s">
        <v>158</v>
      </c>
      <c r="AH72" s="278">
        <v>2.0705039652084936</v>
      </c>
      <c r="AI72" s="274">
        <v>-0.2</v>
      </c>
      <c r="AJ72" s="274" t="s">
        <v>158</v>
      </c>
      <c r="AK72" s="274" t="s">
        <v>158</v>
      </c>
      <c r="AL72" s="274">
        <v>-0.2</v>
      </c>
      <c r="AM72" s="274">
        <v>-0.3</v>
      </c>
      <c r="AN72" s="274">
        <v>0.26244563827065748</v>
      </c>
      <c r="AO72" s="274">
        <v>-0.3</v>
      </c>
      <c r="AP72" s="277" t="s">
        <v>158</v>
      </c>
      <c r="AQ72" s="274">
        <v>-0.2</v>
      </c>
      <c r="AR72" s="274">
        <v>-0.1</v>
      </c>
      <c r="AS72" s="99">
        <v>-0.51</v>
      </c>
      <c r="AT72" s="99">
        <v>-0.51</v>
      </c>
      <c r="AU72" s="99">
        <v>-0.51</v>
      </c>
      <c r="AV72" s="99">
        <v>-0.1</v>
      </c>
      <c r="AW72" s="97">
        <v>-0.3</v>
      </c>
      <c r="AX72" s="97"/>
      <c r="AY72" s="97"/>
      <c r="AZ72" s="97"/>
      <c r="BA72" s="97"/>
      <c r="BB72" s="97"/>
      <c r="BC72" s="5" t="s">
        <v>158</v>
      </c>
      <c r="BD72" s="5" t="s">
        <v>158</v>
      </c>
      <c r="BE72" s="5" t="s">
        <v>158</v>
      </c>
      <c r="BF72" s="5" t="s">
        <v>158</v>
      </c>
      <c r="BG72" s="5" t="s">
        <v>158</v>
      </c>
      <c r="BH72" s="5" t="s">
        <v>158</v>
      </c>
      <c r="BI72" s="5" t="s">
        <v>158</v>
      </c>
      <c r="BJ72" s="5" t="s">
        <v>158</v>
      </c>
      <c r="BK72" s="5" t="s">
        <v>158</v>
      </c>
      <c r="BL72" s="5" t="s">
        <v>158</v>
      </c>
      <c r="BM72" s="5" t="s">
        <v>158</v>
      </c>
      <c r="BN72" s="5">
        <v>45</v>
      </c>
      <c r="BO72" s="64" t="s">
        <v>158</v>
      </c>
      <c r="BP72" s="64" t="s">
        <v>158</v>
      </c>
      <c r="BQ72" s="64" t="s">
        <v>158</v>
      </c>
      <c r="BR72" s="64" t="s">
        <v>158</v>
      </c>
      <c r="BS72" s="64" t="s">
        <v>158</v>
      </c>
      <c r="BT72" s="64" t="s">
        <v>158</v>
      </c>
      <c r="BU72" s="64" t="s">
        <v>158</v>
      </c>
      <c r="BV72" s="64" t="s">
        <v>158</v>
      </c>
      <c r="BW72" s="64" t="s">
        <v>158</v>
      </c>
      <c r="BX72" s="64" t="s">
        <v>158</v>
      </c>
      <c r="BY72" s="64" t="s">
        <v>158</v>
      </c>
      <c r="BZ72" s="64" t="s">
        <v>158</v>
      </c>
      <c r="CA72" s="64" t="s">
        <v>158</v>
      </c>
      <c r="CB72" s="64" t="s">
        <v>158</v>
      </c>
      <c r="CC72" s="64" t="s">
        <v>158</v>
      </c>
      <c r="CD72" s="64" t="s">
        <v>158</v>
      </c>
      <c r="CE72" s="64" t="s">
        <v>158</v>
      </c>
      <c r="CF72" s="64" t="s">
        <v>158</v>
      </c>
      <c r="CG72" s="64" t="s">
        <v>158</v>
      </c>
      <c r="CH72" s="64" t="s">
        <v>158</v>
      </c>
      <c r="CI72" s="64" t="s">
        <v>158</v>
      </c>
      <c r="CJ72" s="64" t="s">
        <v>158</v>
      </c>
      <c r="CK72" s="64" t="s">
        <v>158</v>
      </c>
      <c r="CL72" s="64" t="s">
        <v>158</v>
      </c>
      <c r="CM72" s="64" t="s">
        <v>158</v>
      </c>
      <c r="CN72" s="64" t="s">
        <v>158</v>
      </c>
      <c r="CO72" s="64" t="s">
        <v>158</v>
      </c>
      <c r="CP72" s="64" t="s">
        <v>158</v>
      </c>
      <c r="CQ72" s="64" t="s">
        <v>158</v>
      </c>
      <c r="CR72" s="64" t="s">
        <v>158</v>
      </c>
      <c r="CS72" s="64" t="s">
        <v>158</v>
      </c>
      <c r="CT72" s="64" t="s">
        <v>158</v>
      </c>
      <c r="CU72" s="64" t="s">
        <v>158</v>
      </c>
      <c r="CV72" s="64" t="s">
        <v>158</v>
      </c>
      <c r="CW72" s="64" t="s">
        <v>158</v>
      </c>
      <c r="CX72" s="64" t="s">
        <v>158</v>
      </c>
      <c r="CY72" s="66" t="s">
        <v>158</v>
      </c>
    </row>
    <row r="73" spans="1:103" hidden="1" x14ac:dyDescent="0.2">
      <c r="A73" s="72" t="s">
        <v>4</v>
      </c>
      <c r="B73" s="72" t="s">
        <v>4</v>
      </c>
      <c r="C73" s="14" t="s">
        <v>20</v>
      </c>
      <c r="G73" s="74">
        <v>44102</v>
      </c>
      <c r="H73" s="16">
        <v>2020</v>
      </c>
      <c r="I73" s="135" t="s">
        <v>33</v>
      </c>
      <c r="J73" s="135">
        <v>10</v>
      </c>
      <c r="K73" s="141">
        <v>0.71698864767975456</v>
      </c>
      <c r="L73" s="5" t="s">
        <v>159</v>
      </c>
      <c r="M73" s="5">
        <v>0.24733352832212149</v>
      </c>
      <c r="N73" s="5">
        <v>0.512513405479185</v>
      </c>
      <c r="O73" s="5">
        <v>1.2569172272594327</v>
      </c>
      <c r="P73" s="5">
        <v>1.0798089109876181</v>
      </c>
      <c r="Q73" s="5">
        <v>2.3114068441064641</v>
      </c>
      <c r="R73" s="5">
        <v>2.2461245978356246</v>
      </c>
      <c r="S73" s="5">
        <v>0.63068148581456562</v>
      </c>
      <c r="T73" s="5">
        <v>8.2847859998050115</v>
      </c>
      <c r="U73" s="17">
        <f t="shared" si="7"/>
        <v>50.244708281877294</v>
      </c>
      <c r="V73" s="5">
        <v>8.9999999999999993E-3</v>
      </c>
      <c r="W73" s="5">
        <v>6.0955815946042491E-2</v>
      </c>
      <c r="X73" s="5">
        <v>1.881897450017796E-2</v>
      </c>
      <c r="Y73" s="5">
        <v>3.7590215393507022E-2</v>
      </c>
      <c r="Z73" s="5" t="s">
        <v>445</v>
      </c>
      <c r="AA73" s="5">
        <v>1.0047924241692987E-2</v>
      </c>
      <c r="AB73" s="5">
        <v>1.5501488824179559E-2</v>
      </c>
      <c r="AC73" s="5" t="s">
        <v>481</v>
      </c>
      <c r="AD73" s="5">
        <v>0.15150646813840163</v>
      </c>
      <c r="AE73" s="17">
        <f t="shared" si="11"/>
        <v>0.15191441890560003</v>
      </c>
      <c r="AF73" s="75">
        <v>2.0473822755191579E-2</v>
      </c>
      <c r="AG73" s="18">
        <f t="shared" si="10"/>
        <v>0.14277647785252162</v>
      </c>
      <c r="AH73" s="276">
        <v>10.3680036829162</v>
      </c>
      <c r="AI73" s="274">
        <v>-0.2</v>
      </c>
      <c r="AJ73" s="274" t="s">
        <v>158</v>
      </c>
      <c r="AK73" s="274" t="s">
        <v>158</v>
      </c>
      <c r="AL73" s="274">
        <v>-0.2</v>
      </c>
      <c r="AM73" s="274">
        <v>-0.3</v>
      </c>
      <c r="AN73" s="274">
        <v>0.65612384359481168</v>
      </c>
      <c r="AO73" s="274">
        <v>-0.3</v>
      </c>
      <c r="AP73" s="277" t="s">
        <v>158</v>
      </c>
      <c r="AQ73" s="274">
        <v>0.6652210221206496</v>
      </c>
      <c r="AR73" s="274">
        <v>0.13098934915972257</v>
      </c>
      <c r="AS73" s="99">
        <v>0.87687052395961151</v>
      </c>
      <c r="AT73" s="99">
        <v>0.52935511149704451</v>
      </c>
      <c r="AU73" s="99">
        <v>-0.51</v>
      </c>
      <c r="AV73" s="99">
        <v>-0.1</v>
      </c>
      <c r="AW73" s="97">
        <v>-0.3</v>
      </c>
      <c r="AX73" s="97"/>
      <c r="AY73" s="97"/>
      <c r="AZ73" s="97"/>
      <c r="BA73" s="97"/>
      <c r="BB73" s="97"/>
      <c r="BC73" s="5" t="s">
        <v>158</v>
      </c>
      <c r="BD73" s="5" t="s">
        <v>158</v>
      </c>
      <c r="BE73" s="5" t="s">
        <v>158</v>
      </c>
      <c r="BF73" s="5" t="s">
        <v>158</v>
      </c>
      <c r="BG73" s="5" t="s">
        <v>158</v>
      </c>
      <c r="BH73" s="5" t="s">
        <v>158</v>
      </c>
      <c r="BI73" s="5" t="s">
        <v>158</v>
      </c>
      <c r="BJ73" s="5" t="s">
        <v>158</v>
      </c>
      <c r="BK73" s="5" t="s">
        <v>158</v>
      </c>
      <c r="BL73" s="5" t="s">
        <v>158</v>
      </c>
      <c r="BM73" s="5" t="s">
        <v>158</v>
      </c>
      <c r="BN73" s="5">
        <v>87</v>
      </c>
      <c r="BO73" s="64" t="s">
        <v>158</v>
      </c>
      <c r="BP73" s="64" t="s">
        <v>158</v>
      </c>
      <c r="BQ73" s="64" t="s">
        <v>158</v>
      </c>
      <c r="BR73" s="64" t="s">
        <v>158</v>
      </c>
      <c r="BS73" s="64" t="s">
        <v>158</v>
      </c>
      <c r="BT73" s="64" t="s">
        <v>158</v>
      </c>
      <c r="BU73" s="64" t="s">
        <v>158</v>
      </c>
      <c r="BV73" s="64" t="s">
        <v>158</v>
      </c>
      <c r="BW73" s="64" t="s">
        <v>158</v>
      </c>
      <c r="BX73" s="64" t="s">
        <v>158</v>
      </c>
      <c r="BY73" s="64" t="s">
        <v>158</v>
      </c>
      <c r="BZ73" s="64" t="s">
        <v>158</v>
      </c>
      <c r="CA73" s="64" t="s">
        <v>158</v>
      </c>
      <c r="CB73" s="64" t="s">
        <v>158</v>
      </c>
      <c r="CC73" s="64" t="s">
        <v>158</v>
      </c>
      <c r="CD73" s="64" t="s">
        <v>158</v>
      </c>
      <c r="CE73" s="64" t="s">
        <v>158</v>
      </c>
      <c r="CF73" s="64" t="s">
        <v>158</v>
      </c>
      <c r="CG73" s="64" t="s">
        <v>158</v>
      </c>
      <c r="CH73" s="64" t="s">
        <v>158</v>
      </c>
      <c r="CI73" s="64" t="s">
        <v>158</v>
      </c>
      <c r="CJ73" s="64" t="s">
        <v>158</v>
      </c>
      <c r="CK73" s="64" t="s">
        <v>158</v>
      </c>
      <c r="CL73" s="64" t="s">
        <v>158</v>
      </c>
      <c r="CM73" s="64" t="s">
        <v>158</v>
      </c>
      <c r="CN73" s="64" t="s">
        <v>158</v>
      </c>
      <c r="CO73" s="64" t="s">
        <v>158</v>
      </c>
      <c r="CP73" s="64" t="s">
        <v>158</v>
      </c>
      <c r="CQ73" s="64" t="s">
        <v>158</v>
      </c>
      <c r="CR73" s="64" t="s">
        <v>158</v>
      </c>
      <c r="CS73" s="64" t="s">
        <v>158</v>
      </c>
      <c r="CT73" s="64" t="s">
        <v>158</v>
      </c>
      <c r="CU73" s="64" t="s">
        <v>158</v>
      </c>
      <c r="CV73" s="64" t="s">
        <v>158</v>
      </c>
      <c r="CW73" s="64" t="s">
        <v>158</v>
      </c>
      <c r="CX73" s="64" t="s">
        <v>158</v>
      </c>
      <c r="CY73" s="66" t="s">
        <v>158</v>
      </c>
    </row>
    <row r="74" spans="1:103" hidden="1" x14ac:dyDescent="0.2">
      <c r="A74" s="72" t="s">
        <v>112</v>
      </c>
      <c r="B74" s="72" t="s">
        <v>24</v>
      </c>
      <c r="C74" s="14" t="s">
        <v>20</v>
      </c>
      <c r="G74" s="74">
        <v>44074</v>
      </c>
      <c r="H74" s="16">
        <v>2020</v>
      </c>
      <c r="I74" s="135" t="s">
        <v>33</v>
      </c>
      <c r="J74" s="135">
        <v>10</v>
      </c>
      <c r="K74" s="141">
        <v>0.75224697147323127</v>
      </c>
      <c r="L74" s="5" t="s">
        <v>159</v>
      </c>
      <c r="M74" s="5">
        <v>0.4051540399147453</v>
      </c>
      <c r="N74" s="5">
        <v>1.0740602596396047</v>
      </c>
      <c r="O74" s="5">
        <v>4.8238325905832209</v>
      </c>
      <c r="P74" s="5">
        <v>4.1870567719434213</v>
      </c>
      <c r="Q74" s="5">
        <v>9.8106665374927342</v>
      </c>
      <c r="R74" s="5">
        <v>8.7509688044952529</v>
      </c>
      <c r="S74" s="5">
        <v>3.4272718465413683</v>
      </c>
      <c r="T74" s="5">
        <v>32.479010850610344</v>
      </c>
      <c r="U74" s="17">
        <f t="shared" si="7"/>
        <v>188.04963762937331</v>
      </c>
      <c r="V74" s="5">
        <v>5.7587019219389739E-2</v>
      </c>
      <c r="W74" s="5">
        <v>0.15397039633290222</v>
      </c>
      <c r="X74" s="5">
        <v>4.563446321850561E-2</v>
      </c>
      <c r="Y74" s="5">
        <v>6.417081484162615E-2</v>
      </c>
      <c r="Z74" s="5">
        <v>1.1669989665165831E-2</v>
      </c>
      <c r="AA74" s="5">
        <v>2.2280355571388032E-2</v>
      </c>
      <c r="AB74" s="5">
        <v>5.9211775649769968E-2</v>
      </c>
      <c r="AC74" s="5" t="s">
        <v>481</v>
      </c>
      <c r="AD74" s="5">
        <v>0.41452481449874762</v>
      </c>
      <c r="AE74" s="17">
        <f t="shared" si="11"/>
        <v>0.40285482483358176</v>
      </c>
      <c r="AF74" s="75">
        <v>3.5264483627204031E-2</v>
      </c>
      <c r="AG74" s="18">
        <f t="shared" si="10"/>
        <v>0.23439432104419525</v>
      </c>
      <c r="AH74" s="278">
        <v>6.2167265304520178</v>
      </c>
      <c r="AI74" s="274">
        <v>-0.2</v>
      </c>
      <c r="AJ74" s="274" t="s">
        <v>158</v>
      </c>
      <c r="AK74" s="274" t="s">
        <v>158</v>
      </c>
      <c r="AL74" s="274">
        <v>-0.2</v>
      </c>
      <c r="AM74" s="274">
        <v>-0.3</v>
      </c>
      <c r="AN74" s="274">
        <v>0.2331547233508017</v>
      </c>
      <c r="AO74" s="274">
        <v>-0.3</v>
      </c>
      <c r="AP74" s="277" t="s">
        <v>158</v>
      </c>
      <c r="AQ74" s="274">
        <v>0.34173389075349847</v>
      </c>
      <c r="AR74" s="274">
        <v>-0.1</v>
      </c>
      <c r="AS74" s="99">
        <v>-0.51</v>
      </c>
      <c r="AT74" s="99">
        <v>-0.51</v>
      </c>
      <c r="AU74" s="99">
        <v>-0.51</v>
      </c>
      <c r="AV74" s="99">
        <v>0.28718914993424788</v>
      </c>
      <c r="AW74" s="97">
        <v>-0.3</v>
      </c>
      <c r="AX74" s="97"/>
      <c r="AY74" s="97"/>
      <c r="AZ74" s="97"/>
      <c r="BA74" s="97"/>
      <c r="BB74" s="97"/>
      <c r="BC74" s="5" t="s">
        <v>158</v>
      </c>
      <c r="BD74" s="5" t="s">
        <v>158</v>
      </c>
      <c r="BE74" s="5" t="s">
        <v>158</v>
      </c>
      <c r="BF74" s="5" t="s">
        <v>158</v>
      </c>
      <c r="BG74" s="5" t="s">
        <v>158</v>
      </c>
      <c r="BH74" s="5" t="s">
        <v>158</v>
      </c>
      <c r="BI74" s="5" t="s">
        <v>158</v>
      </c>
      <c r="BJ74" s="5" t="s">
        <v>158</v>
      </c>
      <c r="BK74" s="5" t="s">
        <v>158</v>
      </c>
      <c r="BL74" s="5" t="s">
        <v>158</v>
      </c>
      <c r="BM74" s="5" t="s">
        <v>158</v>
      </c>
      <c r="BN74" s="5">
        <v>260</v>
      </c>
      <c r="BO74" s="64" t="s">
        <v>158</v>
      </c>
      <c r="BP74" s="64" t="s">
        <v>158</v>
      </c>
      <c r="BQ74" s="64" t="s">
        <v>158</v>
      </c>
      <c r="BR74" s="64" t="s">
        <v>158</v>
      </c>
      <c r="BS74" s="64" t="s">
        <v>158</v>
      </c>
      <c r="BT74" s="64" t="s">
        <v>158</v>
      </c>
      <c r="BU74" s="64" t="s">
        <v>158</v>
      </c>
      <c r="BV74" s="64" t="s">
        <v>158</v>
      </c>
      <c r="BW74" s="64" t="s">
        <v>158</v>
      </c>
      <c r="BX74" s="64" t="s">
        <v>158</v>
      </c>
      <c r="BY74" s="64" t="s">
        <v>158</v>
      </c>
      <c r="BZ74" s="64" t="s">
        <v>158</v>
      </c>
      <c r="CA74" s="64" t="s">
        <v>158</v>
      </c>
      <c r="CB74" s="64" t="s">
        <v>158</v>
      </c>
      <c r="CC74" s="64" t="s">
        <v>158</v>
      </c>
      <c r="CD74" s="64" t="s">
        <v>158</v>
      </c>
      <c r="CE74" s="64" t="s">
        <v>158</v>
      </c>
      <c r="CF74" s="64" t="s">
        <v>158</v>
      </c>
      <c r="CG74" s="64" t="s">
        <v>158</v>
      </c>
      <c r="CH74" s="16" t="s">
        <v>158</v>
      </c>
      <c r="CI74" s="16" t="s">
        <v>158</v>
      </c>
      <c r="CJ74" s="16" t="s">
        <v>158</v>
      </c>
      <c r="CK74" s="16" t="s">
        <v>158</v>
      </c>
      <c r="CL74" s="16" t="s">
        <v>158</v>
      </c>
      <c r="CM74" s="16" t="s">
        <v>158</v>
      </c>
      <c r="CN74" s="16" t="s">
        <v>158</v>
      </c>
      <c r="CO74" s="16" t="s">
        <v>158</v>
      </c>
      <c r="CP74" s="16" t="s">
        <v>158</v>
      </c>
      <c r="CQ74" s="16" t="s">
        <v>158</v>
      </c>
      <c r="CR74" s="16" t="s">
        <v>158</v>
      </c>
      <c r="CS74" s="16" t="s">
        <v>158</v>
      </c>
      <c r="CT74" s="16" t="s">
        <v>158</v>
      </c>
      <c r="CU74" s="16" t="s">
        <v>158</v>
      </c>
      <c r="CV74" s="16" t="s">
        <v>158</v>
      </c>
      <c r="CW74" s="16" t="s">
        <v>158</v>
      </c>
      <c r="CX74" s="16" t="s">
        <v>158</v>
      </c>
      <c r="CY74" s="110" t="s">
        <v>158</v>
      </c>
    </row>
    <row r="75" spans="1:103" hidden="1" x14ac:dyDescent="0.2">
      <c r="A75" s="72" t="s">
        <v>23</v>
      </c>
      <c r="B75" s="72" t="s">
        <v>23</v>
      </c>
      <c r="C75" s="14" t="s">
        <v>20</v>
      </c>
      <c r="G75" s="74">
        <v>44075</v>
      </c>
      <c r="H75" s="16">
        <v>2020</v>
      </c>
      <c r="I75" s="135" t="s">
        <v>33</v>
      </c>
      <c r="J75" s="135">
        <v>10</v>
      </c>
      <c r="K75" s="141">
        <v>0.74007400740073848</v>
      </c>
      <c r="L75" s="5" t="s">
        <v>159</v>
      </c>
      <c r="M75" s="5">
        <v>0.12027608517499169</v>
      </c>
      <c r="N75" s="5">
        <v>0.71962922551022945</v>
      </c>
      <c r="O75" s="5">
        <v>2.7601247041799404</v>
      </c>
      <c r="P75" s="5">
        <v>2.1810097672893844</v>
      </c>
      <c r="Q75" s="5">
        <v>4.5397986577181211</v>
      </c>
      <c r="R75" s="5">
        <v>4.2994726749760304</v>
      </c>
      <c r="S75" s="5">
        <v>1.4090816119284386</v>
      </c>
      <c r="T75" s="5">
        <v>16.029392726777136</v>
      </c>
      <c r="U75" s="17">
        <f t="shared" si="7"/>
        <v>93.560798116161038</v>
      </c>
      <c r="V75" s="5">
        <v>3.1367494810090484E-2</v>
      </c>
      <c r="W75" s="5">
        <v>4.419965177785478E-2</v>
      </c>
      <c r="X75" s="5">
        <v>1.3319303667466453E-2</v>
      </c>
      <c r="Y75" s="5">
        <v>2.9145630594375742E-2</v>
      </c>
      <c r="Z75" s="5">
        <v>9.6122360990012132E-3</v>
      </c>
      <c r="AA75" s="5">
        <v>1.0907333422599599E-2</v>
      </c>
      <c r="AB75" s="5">
        <v>1.2653932565434229E-2</v>
      </c>
      <c r="AC75" s="5" t="s">
        <v>481</v>
      </c>
      <c r="AD75" s="5">
        <v>0.15120558293682251</v>
      </c>
      <c r="AE75" s="17">
        <f t="shared" si="11"/>
        <v>0.14159334683782127</v>
      </c>
      <c r="AF75" s="75">
        <v>1.8603759110088224E-2</v>
      </c>
      <c r="AG75" s="18">
        <f t="shared" si="10"/>
        <v>0.12568850496065714</v>
      </c>
      <c r="AH75" s="278">
        <v>31.004514573745347</v>
      </c>
      <c r="AI75" s="274">
        <v>-0.2</v>
      </c>
      <c r="AJ75" s="274" t="s">
        <v>158</v>
      </c>
      <c r="AK75" s="274" t="s">
        <v>158</v>
      </c>
      <c r="AL75" s="274">
        <v>-0.2</v>
      </c>
      <c r="AM75" s="274">
        <v>-0.3</v>
      </c>
      <c r="AN75" s="276">
        <v>1.3287091825553365</v>
      </c>
      <c r="AO75" s="274">
        <v>0.31820074512382207</v>
      </c>
      <c r="AP75" s="277" t="s">
        <v>158</v>
      </c>
      <c r="AQ75" s="276">
        <v>1.5597413982029369</v>
      </c>
      <c r="AR75" s="274">
        <v>-0.1</v>
      </c>
      <c r="AS75" s="101">
        <v>2.1564760026298488</v>
      </c>
      <c r="AT75" s="101">
        <v>1.4464168310322156</v>
      </c>
      <c r="AU75" s="101">
        <v>1.3412228796844183</v>
      </c>
      <c r="AV75" s="99">
        <v>0.19574841113302655</v>
      </c>
      <c r="AW75" s="97">
        <v>-0.3</v>
      </c>
      <c r="AX75" s="97"/>
      <c r="AY75" s="97"/>
      <c r="AZ75" s="97"/>
      <c r="BA75" s="97"/>
      <c r="BB75" s="97"/>
      <c r="BC75" s="5" t="s">
        <v>158</v>
      </c>
      <c r="BD75" s="5" t="s">
        <v>158</v>
      </c>
      <c r="BE75" s="5" t="s">
        <v>158</v>
      </c>
      <c r="BF75" s="5" t="s">
        <v>158</v>
      </c>
      <c r="BG75" s="5" t="s">
        <v>158</v>
      </c>
      <c r="BH75" s="5" t="s">
        <v>158</v>
      </c>
      <c r="BI75" s="5" t="s">
        <v>158</v>
      </c>
      <c r="BJ75" s="5" t="s">
        <v>158</v>
      </c>
      <c r="BK75" s="5" t="s">
        <v>158</v>
      </c>
      <c r="BL75" s="5" t="s">
        <v>158</v>
      </c>
      <c r="BM75" s="5" t="s">
        <v>158</v>
      </c>
      <c r="BN75" s="5">
        <v>590</v>
      </c>
      <c r="BO75" s="64" t="s">
        <v>158</v>
      </c>
      <c r="BP75" s="64" t="s">
        <v>158</v>
      </c>
      <c r="BQ75" s="64" t="s">
        <v>158</v>
      </c>
      <c r="BR75" s="64" t="s">
        <v>158</v>
      </c>
      <c r="BS75" s="64" t="s">
        <v>158</v>
      </c>
      <c r="BT75" s="64" t="s">
        <v>158</v>
      </c>
      <c r="BU75" s="64" t="s">
        <v>158</v>
      </c>
      <c r="BV75" s="64" t="s">
        <v>158</v>
      </c>
      <c r="BW75" s="64" t="s">
        <v>158</v>
      </c>
      <c r="BX75" s="64" t="s">
        <v>158</v>
      </c>
      <c r="BY75" s="64" t="s">
        <v>158</v>
      </c>
      <c r="BZ75" s="64" t="s">
        <v>158</v>
      </c>
      <c r="CA75" s="64" t="s">
        <v>158</v>
      </c>
      <c r="CB75" s="64" t="s">
        <v>158</v>
      </c>
      <c r="CC75" s="64" t="s">
        <v>158</v>
      </c>
      <c r="CD75" s="64" t="s">
        <v>158</v>
      </c>
      <c r="CE75" s="64" t="s">
        <v>158</v>
      </c>
      <c r="CF75" s="64" t="s">
        <v>158</v>
      </c>
      <c r="CG75" s="64" t="s">
        <v>158</v>
      </c>
      <c r="CH75" s="16" t="s">
        <v>158</v>
      </c>
      <c r="CI75" s="16" t="s">
        <v>158</v>
      </c>
      <c r="CJ75" s="16" t="s">
        <v>158</v>
      </c>
      <c r="CK75" s="16" t="s">
        <v>158</v>
      </c>
      <c r="CL75" s="16" t="s">
        <v>158</v>
      </c>
      <c r="CM75" s="16" t="s">
        <v>158</v>
      </c>
      <c r="CN75" s="16" t="s">
        <v>158</v>
      </c>
      <c r="CO75" s="16" t="s">
        <v>158</v>
      </c>
      <c r="CP75" s="16" t="s">
        <v>158</v>
      </c>
      <c r="CQ75" s="16" t="s">
        <v>158</v>
      </c>
      <c r="CR75" s="16" t="s">
        <v>158</v>
      </c>
      <c r="CS75" s="16" t="s">
        <v>158</v>
      </c>
      <c r="CT75" s="16" t="s">
        <v>158</v>
      </c>
      <c r="CU75" s="16" t="s">
        <v>158</v>
      </c>
      <c r="CV75" s="16" t="s">
        <v>158</v>
      </c>
      <c r="CW75" s="16" t="s">
        <v>158</v>
      </c>
      <c r="CX75" s="16" t="s">
        <v>158</v>
      </c>
      <c r="CY75" s="110" t="s">
        <v>158</v>
      </c>
    </row>
    <row r="76" spans="1:103" hidden="1" x14ac:dyDescent="0.2">
      <c r="A76" s="72" t="s">
        <v>32</v>
      </c>
      <c r="B76" s="72" t="s">
        <v>32</v>
      </c>
      <c r="C76" s="14" t="s">
        <v>127</v>
      </c>
      <c r="G76" s="74" t="s">
        <v>127</v>
      </c>
      <c r="H76" s="16">
        <v>2020</v>
      </c>
      <c r="I76" s="135" t="s">
        <v>3</v>
      </c>
      <c r="J76" s="135" t="s">
        <v>159</v>
      </c>
      <c r="K76" s="136" t="s">
        <v>158</v>
      </c>
      <c r="L76" s="5" t="s">
        <v>158</v>
      </c>
      <c r="M76" s="5" t="s">
        <v>158</v>
      </c>
      <c r="N76" s="5" t="s">
        <v>158</v>
      </c>
      <c r="O76" s="5" t="s">
        <v>158</v>
      </c>
      <c r="P76" s="5" t="s">
        <v>158</v>
      </c>
      <c r="Q76" s="5" t="s">
        <v>158</v>
      </c>
      <c r="R76" s="5" t="s">
        <v>158</v>
      </c>
      <c r="S76" s="5" t="s">
        <v>158</v>
      </c>
      <c r="T76" s="5" t="s">
        <v>159</v>
      </c>
      <c r="U76" s="17" t="s">
        <v>158</v>
      </c>
      <c r="V76" s="5" t="s">
        <v>445</v>
      </c>
      <c r="X76" s="5" t="s">
        <v>473</v>
      </c>
      <c r="Z76" s="5" t="s">
        <v>445</v>
      </c>
      <c r="AA76" s="5" t="s">
        <v>445</v>
      </c>
      <c r="AB76" s="5" t="s">
        <v>445</v>
      </c>
      <c r="AC76" s="5" t="s">
        <v>481</v>
      </c>
      <c r="AD76" s="5" t="s">
        <v>159</v>
      </c>
      <c r="AE76" s="17" t="s">
        <v>159</v>
      </c>
      <c r="AF76" s="5" t="s">
        <v>158</v>
      </c>
      <c r="AG76" s="18" t="s">
        <v>158</v>
      </c>
      <c r="AH76" s="278"/>
      <c r="AI76" s="274">
        <v>-0.2</v>
      </c>
      <c r="AJ76" s="274" t="s">
        <v>158</v>
      </c>
      <c r="AK76" s="274" t="s">
        <v>158</v>
      </c>
      <c r="AL76" s="274">
        <v>-0.2</v>
      </c>
      <c r="AM76" s="274">
        <v>-0.3</v>
      </c>
      <c r="AN76" s="274">
        <v>-0.2</v>
      </c>
      <c r="AO76" s="274">
        <v>-0.3</v>
      </c>
      <c r="AP76" s="277" t="s">
        <v>158</v>
      </c>
      <c r="AQ76" s="274">
        <v>-0.2</v>
      </c>
      <c r="AR76" s="274">
        <v>-0.1</v>
      </c>
      <c r="AS76" s="99">
        <v>-0.51</v>
      </c>
      <c r="AT76" s="99">
        <v>-0.51</v>
      </c>
      <c r="AU76" s="99">
        <v>-0.51</v>
      </c>
      <c r="AV76" s="99">
        <v>-0.1</v>
      </c>
      <c r="AW76" s="97">
        <v>-0.3</v>
      </c>
      <c r="AX76" s="97"/>
      <c r="AY76" s="97"/>
      <c r="AZ76" s="97"/>
      <c r="BA76" s="97"/>
      <c r="BB76" s="97"/>
      <c r="BC76" s="5" t="s">
        <v>158</v>
      </c>
      <c r="BD76" s="5" t="s">
        <v>158</v>
      </c>
      <c r="BE76" s="5" t="s">
        <v>158</v>
      </c>
      <c r="BF76" s="5" t="s">
        <v>158</v>
      </c>
      <c r="BG76" s="5" t="s">
        <v>158</v>
      </c>
      <c r="BH76" s="5" t="s">
        <v>158</v>
      </c>
      <c r="BI76" s="5" t="s">
        <v>158</v>
      </c>
      <c r="BJ76" s="5" t="s">
        <v>158</v>
      </c>
      <c r="BK76" s="5" t="s">
        <v>158</v>
      </c>
      <c r="BL76" s="5" t="s">
        <v>158</v>
      </c>
      <c r="BM76" s="5" t="s">
        <v>158</v>
      </c>
      <c r="BO76" s="64" t="s">
        <v>158</v>
      </c>
      <c r="BP76" s="64" t="s">
        <v>158</v>
      </c>
      <c r="BQ76" s="64" t="s">
        <v>158</v>
      </c>
      <c r="BR76" s="64" t="s">
        <v>158</v>
      </c>
      <c r="BS76" s="64" t="s">
        <v>158</v>
      </c>
      <c r="BT76" s="64" t="s">
        <v>158</v>
      </c>
      <c r="BU76" s="64" t="s">
        <v>158</v>
      </c>
      <c r="BV76" s="64" t="s">
        <v>158</v>
      </c>
      <c r="BW76" s="64" t="s">
        <v>158</v>
      </c>
      <c r="BX76" s="64" t="s">
        <v>158</v>
      </c>
      <c r="BY76" s="64" t="s">
        <v>158</v>
      </c>
      <c r="BZ76" s="64" t="s">
        <v>158</v>
      </c>
      <c r="CA76" s="64" t="s">
        <v>158</v>
      </c>
      <c r="CB76" s="64" t="s">
        <v>158</v>
      </c>
      <c r="CC76" s="64" t="s">
        <v>158</v>
      </c>
      <c r="CD76" s="64" t="s">
        <v>158</v>
      </c>
      <c r="CE76" s="64" t="s">
        <v>158</v>
      </c>
      <c r="CF76" s="64" t="s">
        <v>158</v>
      </c>
      <c r="CG76" s="64" t="s">
        <v>158</v>
      </c>
      <c r="CH76" s="16" t="s">
        <v>158</v>
      </c>
      <c r="CI76" s="16" t="s">
        <v>158</v>
      </c>
      <c r="CJ76" s="16" t="s">
        <v>158</v>
      </c>
      <c r="CK76" s="16" t="s">
        <v>158</v>
      </c>
      <c r="CL76" s="16" t="s">
        <v>158</v>
      </c>
      <c r="CM76" s="16" t="s">
        <v>158</v>
      </c>
      <c r="CN76" s="16" t="s">
        <v>158</v>
      </c>
      <c r="CO76" s="16" t="s">
        <v>158</v>
      </c>
      <c r="CP76" s="16" t="s">
        <v>158</v>
      </c>
      <c r="CQ76" s="16" t="s">
        <v>158</v>
      </c>
      <c r="CR76" s="16" t="s">
        <v>158</v>
      </c>
      <c r="CS76" s="16" t="s">
        <v>158</v>
      </c>
      <c r="CT76" s="16" t="s">
        <v>158</v>
      </c>
      <c r="CU76" s="16" t="s">
        <v>158</v>
      </c>
      <c r="CV76" s="16" t="s">
        <v>158</v>
      </c>
      <c r="CW76" s="16" t="s">
        <v>158</v>
      </c>
      <c r="CX76" s="16" t="s">
        <v>158</v>
      </c>
      <c r="CY76" s="110" t="s">
        <v>158</v>
      </c>
    </row>
    <row r="77" spans="1:103" s="294" customFormat="1" x14ac:dyDescent="0.2">
      <c r="A77" s="293" t="s">
        <v>32</v>
      </c>
      <c r="B77" s="294" t="s">
        <v>32</v>
      </c>
      <c r="C77" s="294" t="s">
        <v>31</v>
      </c>
      <c r="E77" s="295"/>
      <c r="F77" s="295"/>
      <c r="G77" s="296" t="s">
        <v>31</v>
      </c>
      <c r="H77" s="296">
        <v>2019</v>
      </c>
      <c r="I77" s="297" t="s">
        <v>3</v>
      </c>
      <c r="J77" s="297" t="s">
        <v>159</v>
      </c>
      <c r="K77" s="298" t="s">
        <v>158</v>
      </c>
      <c r="L77" s="299" t="s">
        <v>158</v>
      </c>
      <c r="M77" s="299">
        <v>1.4999999999999999E-2</v>
      </c>
      <c r="N77" s="299">
        <v>2.3E-2</v>
      </c>
      <c r="O77" s="299">
        <v>0.01</v>
      </c>
      <c r="P77" s="299">
        <v>0.01</v>
      </c>
      <c r="Q77" s="299">
        <v>5.0000000000000001E-3</v>
      </c>
      <c r="R77" s="299">
        <v>0.01</v>
      </c>
      <c r="S77" s="299">
        <v>5.0000000000000001E-3</v>
      </c>
      <c r="T77" s="299" t="s">
        <v>158</v>
      </c>
      <c r="U77" s="301" t="s">
        <v>158</v>
      </c>
      <c r="V77" s="299">
        <v>1.2999999999999999E-2</v>
      </c>
      <c r="W77" s="299">
        <v>0.01</v>
      </c>
      <c r="X77" s="299">
        <v>1.2999999999999999E-2</v>
      </c>
      <c r="Y77" s="299">
        <v>1.4999999999999999E-2</v>
      </c>
      <c r="Z77" s="299">
        <v>0.01</v>
      </c>
      <c r="AA77" s="299">
        <v>0.02</v>
      </c>
      <c r="AB77" s="299">
        <v>1.2999999999999999E-2</v>
      </c>
      <c r="AC77" s="299">
        <v>0.1</v>
      </c>
      <c r="AD77" s="299" t="s">
        <v>159</v>
      </c>
      <c r="AE77" s="301" t="s">
        <v>158</v>
      </c>
      <c r="AF77" s="299">
        <v>0.01</v>
      </c>
      <c r="AG77" s="303" t="s">
        <v>158</v>
      </c>
      <c r="AH77" s="303">
        <v>0.2</v>
      </c>
      <c r="AI77" s="299">
        <v>0.2</v>
      </c>
      <c r="AJ77" s="299">
        <v>0.2</v>
      </c>
      <c r="AK77" s="299">
        <v>0.02</v>
      </c>
      <c r="AL77" s="299">
        <v>0.1</v>
      </c>
      <c r="AM77" s="299">
        <v>0.1</v>
      </c>
      <c r="AN77" s="299">
        <v>0.1</v>
      </c>
      <c r="AO77" s="299">
        <v>0.02</v>
      </c>
      <c r="AP77" s="299">
        <v>0.05</v>
      </c>
      <c r="AQ77" s="299">
        <v>0.1</v>
      </c>
      <c r="AR77" s="299">
        <v>0.05</v>
      </c>
      <c r="AS77" s="299" t="s">
        <v>158</v>
      </c>
      <c r="AT77" s="299" t="s">
        <v>158</v>
      </c>
      <c r="AU77" s="299" t="s">
        <v>158</v>
      </c>
      <c r="AV77" s="299" t="s">
        <v>158</v>
      </c>
      <c r="AW77" s="299" t="s">
        <v>158</v>
      </c>
      <c r="AX77" s="299"/>
      <c r="AY77" s="299"/>
      <c r="AZ77" s="299"/>
      <c r="BA77" s="299"/>
      <c r="BB77" s="299"/>
      <c r="BC77" s="299">
        <v>0.2</v>
      </c>
      <c r="BD77" s="299">
        <v>0.2</v>
      </c>
      <c r="BE77" s="299">
        <v>0.21</v>
      </c>
      <c r="BF77" s="299">
        <v>0.02</v>
      </c>
      <c r="BG77" s="299">
        <v>0.2</v>
      </c>
      <c r="BH77" s="299">
        <v>0.05</v>
      </c>
      <c r="BI77" s="299">
        <v>0.1</v>
      </c>
      <c r="BJ77" s="299">
        <v>0.1</v>
      </c>
      <c r="BK77" s="299">
        <v>0.05</v>
      </c>
      <c r="BL77" s="299">
        <v>0.1</v>
      </c>
      <c r="BM77" s="299">
        <v>0.05</v>
      </c>
      <c r="BN77" s="301">
        <v>0.03</v>
      </c>
      <c r="BO77" s="299">
        <v>0.04</v>
      </c>
      <c r="BP77" s="299">
        <v>0.4</v>
      </c>
      <c r="BQ77" s="299">
        <v>0.1</v>
      </c>
      <c r="BR77" s="299">
        <v>2.2999999999999998</v>
      </c>
      <c r="BS77" s="299">
        <v>0.2</v>
      </c>
      <c r="BT77" s="299">
        <v>1.7</v>
      </c>
      <c r="BU77" s="299">
        <v>2.5</v>
      </c>
      <c r="BV77" s="299">
        <v>0.2</v>
      </c>
      <c r="BW77" s="299">
        <v>0.2</v>
      </c>
      <c r="BX77" s="299">
        <v>0.2</v>
      </c>
      <c r="BY77" s="299">
        <v>0.2</v>
      </c>
      <c r="BZ77" s="299">
        <v>0.2</v>
      </c>
      <c r="CA77" s="299">
        <v>0.2</v>
      </c>
      <c r="CB77" s="299">
        <v>0.2</v>
      </c>
      <c r="CC77" s="299">
        <v>0.2</v>
      </c>
      <c r="CD77" s="299">
        <v>0.5</v>
      </c>
      <c r="CE77" s="299">
        <v>0.2</v>
      </c>
      <c r="CF77" s="299">
        <v>0.2</v>
      </c>
      <c r="CG77" s="299">
        <v>0.2</v>
      </c>
      <c r="CH77" s="299">
        <v>0.2</v>
      </c>
      <c r="CI77" s="296" t="s">
        <v>158</v>
      </c>
      <c r="CJ77" s="296" t="s">
        <v>158</v>
      </c>
      <c r="CK77" s="296" t="s">
        <v>158</v>
      </c>
      <c r="CL77" s="296" t="s">
        <v>158</v>
      </c>
      <c r="CM77" s="296" t="s">
        <v>158</v>
      </c>
      <c r="CN77" s="296" t="s">
        <v>158</v>
      </c>
      <c r="CO77" s="296" t="s">
        <v>158</v>
      </c>
      <c r="CP77" s="296" t="s">
        <v>158</v>
      </c>
      <c r="CQ77" s="296" t="s">
        <v>158</v>
      </c>
      <c r="CR77" s="296" t="s">
        <v>158</v>
      </c>
      <c r="CS77" s="296" t="s">
        <v>158</v>
      </c>
      <c r="CT77" s="296" t="s">
        <v>158</v>
      </c>
      <c r="CU77" s="296" t="s">
        <v>158</v>
      </c>
      <c r="CV77" s="296" t="s">
        <v>158</v>
      </c>
      <c r="CW77" s="296" t="s">
        <v>158</v>
      </c>
      <c r="CX77" s="296" t="s">
        <v>158</v>
      </c>
      <c r="CY77" s="306" t="s">
        <v>158</v>
      </c>
    </row>
    <row r="78" spans="1:103" hidden="1" x14ac:dyDescent="0.2">
      <c r="A78" s="32" t="s">
        <v>4</v>
      </c>
      <c r="B78" s="14" t="s">
        <v>4</v>
      </c>
      <c r="C78" s="14" t="s">
        <v>20</v>
      </c>
      <c r="G78" s="28">
        <v>43686</v>
      </c>
      <c r="H78" s="16">
        <v>2019</v>
      </c>
      <c r="I78" s="135" t="s">
        <v>33</v>
      </c>
      <c r="J78" s="135">
        <v>10</v>
      </c>
      <c r="K78" s="136">
        <v>0.83021199366720599</v>
      </c>
      <c r="L78" s="5" t="s">
        <v>158</v>
      </c>
      <c r="M78" s="5">
        <v>0.22497125335377538</v>
      </c>
      <c r="N78" s="5">
        <v>0.60348792640858562</v>
      </c>
      <c r="O78" s="5">
        <v>2.3395362207742432</v>
      </c>
      <c r="P78" s="5">
        <v>2.2395458029896513</v>
      </c>
      <c r="Q78" s="5">
        <v>4.890216558068226</v>
      </c>
      <c r="R78" s="5">
        <v>4.691452663855884</v>
      </c>
      <c r="S78" s="5">
        <v>1.4649961671138367</v>
      </c>
      <c r="T78" s="5">
        <v>16.454206592564201</v>
      </c>
      <c r="U78" s="17">
        <f t="shared" si="7"/>
        <v>85.608621038981028</v>
      </c>
      <c r="V78" s="5" t="s">
        <v>483</v>
      </c>
      <c r="W78" s="5">
        <v>0.18322506491193266</v>
      </c>
      <c r="X78" s="5">
        <v>4.4396591060852995E-2</v>
      </c>
      <c r="Y78" s="5">
        <v>0.14642286984086617</v>
      </c>
      <c r="Z78" s="5" t="s">
        <v>484</v>
      </c>
      <c r="AA78" s="5" t="s">
        <v>482</v>
      </c>
      <c r="AB78" s="5">
        <v>2.6063594316000794E-2</v>
      </c>
      <c r="AC78" s="5" t="s">
        <v>438</v>
      </c>
      <c r="AD78" s="5">
        <v>0.40010812012965263</v>
      </c>
      <c r="AE78" s="17">
        <f>SUM(V78,W78,Y78,X78,AB78,AA78)</f>
        <v>0.40010812012965263</v>
      </c>
      <c r="AF78" s="5">
        <v>-0.01</v>
      </c>
      <c r="AG78" s="18" t="s">
        <v>158</v>
      </c>
      <c r="AH78" s="279">
        <v>10.804367457515804</v>
      </c>
      <c r="AI78" s="280">
        <v>-0.2</v>
      </c>
      <c r="AJ78" s="280">
        <v>-0.1</v>
      </c>
      <c r="AK78" s="280">
        <v>-0.2</v>
      </c>
      <c r="AL78" s="280">
        <v>-0.2</v>
      </c>
      <c r="AM78" s="280">
        <v>-0.3</v>
      </c>
      <c r="AN78" s="280">
        <v>0.95706428043674574</v>
      </c>
      <c r="AO78" s="280">
        <v>-0.3</v>
      </c>
      <c r="AP78" s="280">
        <v>-0.2</v>
      </c>
      <c r="AQ78" s="280">
        <v>0.59111184084503188</v>
      </c>
      <c r="AR78" s="280">
        <v>-0.1</v>
      </c>
      <c r="AS78" s="5" t="s">
        <v>158</v>
      </c>
      <c r="AT78" s="5" t="s">
        <v>158</v>
      </c>
      <c r="AU78" s="5" t="s">
        <v>158</v>
      </c>
      <c r="AV78" s="5" t="s">
        <v>158</v>
      </c>
      <c r="AW78" s="5" t="s">
        <v>158</v>
      </c>
      <c r="BC78" s="17" t="s">
        <v>158</v>
      </c>
      <c r="BD78" s="17" t="s">
        <v>158</v>
      </c>
      <c r="BE78" s="17" t="s">
        <v>158</v>
      </c>
      <c r="BF78" s="17" t="s">
        <v>158</v>
      </c>
      <c r="BG78" s="17" t="s">
        <v>158</v>
      </c>
      <c r="BH78" s="17" t="s">
        <v>158</v>
      </c>
      <c r="BI78" s="17" t="s">
        <v>158</v>
      </c>
      <c r="BJ78" s="17" t="s">
        <v>158</v>
      </c>
      <c r="BK78" s="17" t="s">
        <v>158</v>
      </c>
      <c r="BL78" s="17" t="s">
        <v>158</v>
      </c>
      <c r="BM78" s="17" t="s">
        <v>158</v>
      </c>
      <c r="BN78" s="17">
        <v>130</v>
      </c>
      <c r="BO78" s="17" t="s">
        <v>158</v>
      </c>
      <c r="BP78" s="17" t="s">
        <v>158</v>
      </c>
      <c r="BQ78" s="17" t="s">
        <v>158</v>
      </c>
      <c r="BR78" s="17" t="s">
        <v>158</v>
      </c>
      <c r="BS78" s="17" t="s">
        <v>158</v>
      </c>
      <c r="BT78" s="17" t="s">
        <v>158</v>
      </c>
      <c r="BU78" s="17" t="s">
        <v>158</v>
      </c>
      <c r="BV78" s="17" t="s">
        <v>158</v>
      </c>
      <c r="BW78" s="17" t="s">
        <v>158</v>
      </c>
      <c r="BX78" s="17" t="s">
        <v>158</v>
      </c>
      <c r="BY78" s="17" t="s">
        <v>158</v>
      </c>
      <c r="BZ78" s="17" t="s">
        <v>158</v>
      </c>
      <c r="CA78" s="17" t="s">
        <v>158</v>
      </c>
      <c r="CB78" s="17" t="s">
        <v>158</v>
      </c>
      <c r="CC78" s="17" t="s">
        <v>158</v>
      </c>
      <c r="CD78" s="17" t="s">
        <v>158</v>
      </c>
      <c r="CE78" s="17" t="s">
        <v>158</v>
      </c>
      <c r="CF78" s="17" t="s">
        <v>158</v>
      </c>
      <c r="CG78" s="17" t="s">
        <v>158</v>
      </c>
      <c r="CH78" s="17" t="s">
        <v>158</v>
      </c>
      <c r="CI78" s="16" t="s">
        <v>158</v>
      </c>
      <c r="CJ78" s="16" t="s">
        <v>158</v>
      </c>
      <c r="CK78" s="16" t="s">
        <v>158</v>
      </c>
      <c r="CL78" s="16" t="s">
        <v>158</v>
      </c>
      <c r="CM78" s="16" t="s">
        <v>158</v>
      </c>
      <c r="CN78" s="16" t="s">
        <v>158</v>
      </c>
      <c r="CO78" s="16" t="s">
        <v>158</v>
      </c>
      <c r="CP78" s="16" t="s">
        <v>158</v>
      </c>
      <c r="CQ78" s="16" t="s">
        <v>158</v>
      </c>
      <c r="CR78" s="16" t="s">
        <v>158</v>
      </c>
      <c r="CS78" s="16" t="s">
        <v>158</v>
      </c>
      <c r="CT78" s="16" t="s">
        <v>158</v>
      </c>
      <c r="CU78" s="16" t="s">
        <v>158</v>
      </c>
      <c r="CV78" s="16" t="s">
        <v>158</v>
      </c>
      <c r="CW78" s="16" t="s">
        <v>158</v>
      </c>
      <c r="CX78" s="16" t="s">
        <v>158</v>
      </c>
      <c r="CY78" s="110" t="s">
        <v>158</v>
      </c>
    </row>
    <row r="79" spans="1:103" hidden="1" x14ac:dyDescent="0.2">
      <c r="A79" s="32" t="s">
        <v>79</v>
      </c>
      <c r="B79" s="14" t="s">
        <v>79</v>
      </c>
      <c r="C79" s="14" t="s">
        <v>20</v>
      </c>
      <c r="G79" s="28">
        <v>43686</v>
      </c>
      <c r="H79" s="16">
        <v>2019</v>
      </c>
      <c r="I79" s="135" t="s">
        <v>33</v>
      </c>
      <c r="J79" s="135">
        <v>10</v>
      </c>
      <c r="K79" s="136">
        <v>0.39822331138003603</v>
      </c>
      <c r="L79" s="5" t="s">
        <v>158</v>
      </c>
      <c r="M79" s="5">
        <v>0.29939006099390064</v>
      </c>
      <c r="N79" s="5">
        <v>0.81861813818618134</v>
      </c>
      <c r="O79" s="5">
        <v>3.2868413158684131</v>
      </c>
      <c r="P79" s="5">
        <v>2.5366363363663633</v>
      </c>
      <c r="Q79" s="5">
        <v>5.7010198980101991</v>
      </c>
      <c r="R79" s="5">
        <v>5.0114988501149886</v>
      </c>
      <c r="S79" s="5">
        <v>1.8338466153384663</v>
      </c>
      <c r="T79" s="5">
        <v>19.487851214878514</v>
      </c>
      <c r="U79" s="17">
        <f t="shared" si="7"/>
        <v>212.83554219575956</v>
      </c>
      <c r="V79" s="5" t="s">
        <v>483</v>
      </c>
      <c r="W79" s="5">
        <v>0.11255435827323754</v>
      </c>
      <c r="X79" s="5" t="s">
        <v>483</v>
      </c>
      <c r="Y79" s="5">
        <v>2.1196652857728832E-2</v>
      </c>
      <c r="Z79" s="5" t="s">
        <v>484</v>
      </c>
      <c r="AA79" s="5" t="s">
        <v>482</v>
      </c>
      <c r="AB79" s="5">
        <v>4.5162868376585445E-2</v>
      </c>
      <c r="AC79" s="5" t="s">
        <v>438</v>
      </c>
      <c r="AD79" s="5">
        <v>0.17891387950755183</v>
      </c>
      <c r="AE79" s="17">
        <f t="shared" ref="AE79:AE100" si="12">SUM(V79,W79,Y79,X79,AB79,AA79)</f>
        <v>0.17891387950755183</v>
      </c>
      <c r="AF79" s="5">
        <v>-0.01</v>
      </c>
      <c r="AG79" s="18" t="s">
        <v>158</v>
      </c>
      <c r="AH79" s="279">
        <v>5.7153647386205524</v>
      </c>
      <c r="AI79" s="280">
        <v>-0.2</v>
      </c>
      <c r="AJ79" s="280">
        <v>-0.1</v>
      </c>
      <c r="AK79" s="280">
        <v>-0.2</v>
      </c>
      <c r="AL79" s="280">
        <v>-0.2</v>
      </c>
      <c r="AM79" s="280">
        <v>-0.3</v>
      </c>
      <c r="AN79" s="280">
        <v>0.44404690916318829</v>
      </c>
      <c r="AO79" s="280">
        <v>-0.3</v>
      </c>
      <c r="AP79" s="280">
        <v>-0.2</v>
      </c>
      <c r="AQ79" s="280">
        <v>0.30116610349168493</v>
      </c>
      <c r="AR79" s="280">
        <v>-0.1</v>
      </c>
      <c r="AS79" s="5" t="s">
        <v>158</v>
      </c>
      <c r="AT79" s="5" t="s">
        <v>158</v>
      </c>
      <c r="AU79" s="5" t="s">
        <v>158</v>
      </c>
      <c r="AV79" s="5" t="s">
        <v>158</v>
      </c>
      <c r="AW79" s="5" t="s">
        <v>158</v>
      </c>
      <c r="BC79" s="17" t="s">
        <v>158</v>
      </c>
      <c r="BD79" s="17" t="s">
        <v>158</v>
      </c>
      <c r="BE79" s="17" t="s">
        <v>158</v>
      </c>
      <c r="BF79" s="17" t="s">
        <v>158</v>
      </c>
      <c r="BG79" s="17" t="s">
        <v>158</v>
      </c>
      <c r="BH79" s="17" t="s">
        <v>158</v>
      </c>
      <c r="BI79" s="17" t="s">
        <v>158</v>
      </c>
      <c r="BJ79" s="17" t="s">
        <v>158</v>
      </c>
      <c r="BK79" s="17" t="s">
        <v>158</v>
      </c>
      <c r="BL79" s="17" t="s">
        <v>158</v>
      </c>
      <c r="BM79" s="17" t="s">
        <v>158</v>
      </c>
      <c r="BN79" s="17">
        <v>100</v>
      </c>
      <c r="BO79" s="17" t="s">
        <v>158</v>
      </c>
      <c r="BP79" s="17" t="s">
        <v>158</v>
      </c>
      <c r="BQ79" s="17" t="s">
        <v>158</v>
      </c>
      <c r="BR79" s="17" t="s">
        <v>158</v>
      </c>
      <c r="BS79" s="17" t="s">
        <v>158</v>
      </c>
      <c r="BT79" s="17" t="s">
        <v>158</v>
      </c>
      <c r="BU79" s="17" t="s">
        <v>158</v>
      </c>
      <c r="BV79" s="17" t="s">
        <v>158</v>
      </c>
      <c r="BW79" s="17" t="s">
        <v>158</v>
      </c>
      <c r="BX79" s="17" t="s">
        <v>158</v>
      </c>
      <c r="BY79" s="17" t="s">
        <v>158</v>
      </c>
      <c r="BZ79" s="17" t="s">
        <v>158</v>
      </c>
      <c r="CA79" s="17" t="s">
        <v>158</v>
      </c>
      <c r="CB79" s="17" t="s">
        <v>158</v>
      </c>
      <c r="CC79" s="17" t="s">
        <v>158</v>
      </c>
      <c r="CD79" s="17" t="s">
        <v>158</v>
      </c>
      <c r="CE79" s="17" t="s">
        <v>158</v>
      </c>
      <c r="CF79" s="17" t="s">
        <v>158</v>
      </c>
      <c r="CG79" s="17" t="s">
        <v>158</v>
      </c>
      <c r="CH79" s="17" t="s">
        <v>158</v>
      </c>
      <c r="CI79" s="17" t="s">
        <v>158</v>
      </c>
      <c r="CJ79" s="17" t="s">
        <v>158</v>
      </c>
      <c r="CK79" s="17" t="s">
        <v>158</v>
      </c>
      <c r="CL79" s="17" t="s">
        <v>158</v>
      </c>
      <c r="CM79" s="17" t="s">
        <v>158</v>
      </c>
      <c r="CN79" s="17" t="s">
        <v>158</v>
      </c>
      <c r="CO79" s="17" t="s">
        <v>158</v>
      </c>
      <c r="CP79" s="17" t="s">
        <v>158</v>
      </c>
      <c r="CQ79" s="17" t="s">
        <v>158</v>
      </c>
      <c r="CR79" s="17" t="s">
        <v>158</v>
      </c>
      <c r="CS79" s="17" t="s">
        <v>158</v>
      </c>
      <c r="CT79" s="17" t="s">
        <v>158</v>
      </c>
      <c r="CU79" s="17" t="s">
        <v>158</v>
      </c>
      <c r="CV79" s="17" t="s">
        <v>158</v>
      </c>
      <c r="CW79" s="17" t="s">
        <v>158</v>
      </c>
      <c r="CX79" s="17" t="s">
        <v>158</v>
      </c>
      <c r="CY79" s="67" t="s">
        <v>158</v>
      </c>
    </row>
    <row r="80" spans="1:103" hidden="1" x14ac:dyDescent="0.2">
      <c r="A80" s="32" t="s">
        <v>112</v>
      </c>
      <c r="B80" s="14" t="s">
        <v>24</v>
      </c>
      <c r="C80" s="14" t="s">
        <v>20</v>
      </c>
      <c r="G80" s="28">
        <v>43685</v>
      </c>
      <c r="H80" s="16">
        <v>2019</v>
      </c>
      <c r="I80" s="135" t="s">
        <v>33</v>
      </c>
      <c r="J80" s="135">
        <v>10</v>
      </c>
      <c r="K80" s="136">
        <v>0.44901881074688993</v>
      </c>
      <c r="L80" s="5" t="s">
        <v>158</v>
      </c>
      <c r="M80" s="5">
        <v>0.10026748184944594</v>
      </c>
      <c r="N80" s="5">
        <v>0.79701948796331668</v>
      </c>
      <c r="O80" s="5">
        <v>2.4854508979747805</v>
      </c>
      <c r="P80" s="5">
        <v>1.0611004967520061</v>
      </c>
      <c r="Q80" s="5">
        <v>4.2180550248376001</v>
      </c>
      <c r="R80" s="5">
        <v>2.264807030951471</v>
      </c>
      <c r="S80" s="5">
        <v>1.3653515475735576</v>
      </c>
      <c r="T80" s="5">
        <v>12.292051967902175</v>
      </c>
      <c r="U80" s="17">
        <f t="shared" si="7"/>
        <v>125.0610353324486</v>
      </c>
      <c r="V80" s="5" t="s">
        <v>483</v>
      </c>
      <c r="W80" s="5">
        <v>7.3880672388570948E-2</v>
      </c>
      <c r="X80" s="5" t="s">
        <v>483</v>
      </c>
      <c r="Y80" s="5">
        <v>2.7128343796613136E-2</v>
      </c>
      <c r="Z80" s="5" t="s">
        <v>484</v>
      </c>
      <c r="AA80" s="5" t="s">
        <v>482</v>
      </c>
      <c r="AB80" s="5" t="s">
        <v>483</v>
      </c>
      <c r="AC80" s="5" t="s">
        <v>438</v>
      </c>
      <c r="AD80" s="5">
        <v>0.10100901618518408</v>
      </c>
      <c r="AE80" s="17">
        <f t="shared" si="12"/>
        <v>0.10100901618518408</v>
      </c>
      <c r="AF80" s="5">
        <v>9.6484524264424925E-3</v>
      </c>
      <c r="AG80" s="18">
        <f>AF80*(5/K80)</f>
        <v>0.1074392897971627</v>
      </c>
      <c r="AH80" s="279">
        <v>3.3044948136765266</v>
      </c>
      <c r="AI80" s="280">
        <v>-0.2</v>
      </c>
      <c r="AJ80" s="280">
        <v>-0.1</v>
      </c>
      <c r="AK80" s="280">
        <v>-0.2</v>
      </c>
      <c r="AL80" s="280">
        <v>-0.2</v>
      </c>
      <c r="AM80" s="280">
        <v>-0.3</v>
      </c>
      <c r="AN80" s="280">
        <v>0.34560122935074916</v>
      </c>
      <c r="AO80" s="280">
        <v>-0.3</v>
      </c>
      <c r="AP80" s="280">
        <v>-0.2</v>
      </c>
      <c r="AQ80" s="280">
        <v>0.22130874631835062</v>
      </c>
      <c r="AR80" s="280">
        <v>-0.1</v>
      </c>
      <c r="AS80" s="5" t="s">
        <v>158</v>
      </c>
      <c r="AT80" s="5" t="s">
        <v>158</v>
      </c>
      <c r="AU80" s="5" t="s">
        <v>158</v>
      </c>
      <c r="AV80" s="5" t="s">
        <v>158</v>
      </c>
      <c r="AW80" s="5" t="s">
        <v>158</v>
      </c>
      <c r="BC80" s="17" t="s">
        <v>158</v>
      </c>
      <c r="BD80" s="17" t="s">
        <v>158</v>
      </c>
      <c r="BE80" s="17" t="s">
        <v>158</v>
      </c>
      <c r="BF80" s="17" t="s">
        <v>158</v>
      </c>
      <c r="BG80" s="17" t="s">
        <v>158</v>
      </c>
      <c r="BH80" s="17" t="s">
        <v>158</v>
      </c>
      <c r="BI80" s="17" t="s">
        <v>158</v>
      </c>
      <c r="BJ80" s="17" t="s">
        <v>158</v>
      </c>
      <c r="BK80" s="17" t="s">
        <v>158</v>
      </c>
      <c r="BL80" s="17" t="s">
        <v>158</v>
      </c>
      <c r="BM80" s="17" t="s">
        <v>158</v>
      </c>
      <c r="BN80" s="17">
        <v>190</v>
      </c>
      <c r="BO80" s="17" t="s">
        <v>158</v>
      </c>
      <c r="BP80" s="17" t="s">
        <v>158</v>
      </c>
      <c r="BQ80" s="17" t="s">
        <v>158</v>
      </c>
      <c r="BR80" s="17" t="s">
        <v>158</v>
      </c>
      <c r="BS80" s="17" t="s">
        <v>158</v>
      </c>
      <c r="BT80" s="17" t="s">
        <v>158</v>
      </c>
      <c r="BU80" s="17" t="s">
        <v>158</v>
      </c>
      <c r="BV80" s="17" t="s">
        <v>158</v>
      </c>
      <c r="BW80" s="17" t="s">
        <v>158</v>
      </c>
      <c r="BX80" s="17" t="s">
        <v>158</v>
      </c>
      <c r="BY80" s="17" t="s">
        <v>158</v>
      </c>
      <c r="BZ80" s="17" t="s">
        <v>158</v>
      </c>
      <c r="CA80" s="17" t="s">
        <v>158</v>
      </c>
      <c r="CB80" s="17" t="s">
        <v>158</v>
      </c>
      <c r="CC80" s="17" t="s">
        <v>158</v>
      </c>
      <c r="CD80" s="17" t="s">
        <v>158</v>
      </c>
      <c r="CE80" s="17" t="s">
        <v>158</v>
      </c>
      <c r="CF80" s="17" t="s">
        <v>158</v>
      </c>
      <c r="CG80" s="17" t="s">
        <v>158</v>
      </c>
      <c r="CH80" s="17" t="s">
        <v>158</v>
      </c>
      <c r="CI80" s="17" t="s">
        <v>158</v>
      </c>
      <c r="CJ80" s="17" t="s">
        <v>158</v>
      </c>
      <c r="CK80" s="17" t="s">
        <v>158</v>
      </c>
      <c r="CL80" s="17" t="s">
        <v>158</v>
      </c>
      <c r="CM80" s="17" t="s">
        <v>158</v>
      </c>
      <c r="CN80" s="17" t="s">
        <v>158</v>
      </c>
      <c r="CO80" s="17" t="s">
        <v>158</v>
      </c>
      <c r="CP80" s="17" t="s">
        <v>158</v>
      </c>
      <c r="CQ80" s="17" t="s">
        <v>158</v>
      </c>
      <c r="CR80" s="17" t="s">
        <v>158</v>
      </c>
      <c r="CS80" s="17" t="s">
        <v>158</v>
      </c>
      <c r="CT80" s="17" t="s">
        <v>158</v>
      </c>
      <c r="CU80" s="17" t="s">
        <v>158</v>
      </c>
      <c r="CV80" s="17" t="s">
        <v>158</v>
      </c>
      <c r="CW80" s="17" t="s">
        <v>158</v>
      </c>
      <c r="CX80" s="17" t="s">
        <v>158</v>
      </c>
      <c r="CY80" s="67" t="s">
        <v>158</v>
      </c>
    </row>
    <row r="81" spans="1:103" hidden="1" x14ac:dyDescent="0.2">
      <c r="A81" s="32" t="s">
        <v>21</v>
      </c>
      <c r="B81" s="14" t="s">
        <v>21</v>
      </c>
      <c r="C81" s="14" t="s">
        <v>20</v>
      </c>
      <c r="G81" s="28">
        <v>43683</v>
      </c>
      <c r="H81" s="16">
        <v>2019</v>
      </c>
      <c r="I81" s="135" t="s">
        <v>33</v>
      </c>
      <c r="J81" s="135">
        <v>10</v>
      </c>
      <c r="K81" s="136">
        <v>0.42139323137124202</v>
      </c>
      <c r="L81" s="5" t="s">
        <v>158</v>
      </c>
      <c r="M81" s="5" t="s">
        <v>485</v>
      </c>
      <c r="N81" s="5">
        <v>5.2946111330438216E-2</v>
      </c>
      <c r="O81" s="5">
        <v>0.34262238452427951</v>
      </c>
      <c r="P81" s="5">
        <v>0.28961705487564149</v>
      </c>
      <c r="Q81" s="5">
        <v>1.2236971969996053</v>
      </c>
      <c r="R81" s="5">
        <v>1.0693347808922229</v>
      </c>
      <c r="S81" s="5">
        <v>0.4278819581523885</v>
      </c>
      <c r="T81" s="5">
        <v>3.4060994867745764</v>
      </c>
      <c r="U81" s="17">
        <f t="shared" si="7"/>
        <v>36.978316212598983</v>
      </c>
      <c r="V81" s="5" t="s">
        <v>483</v>
      </c>
      <c r="W81" s="5">
        <v>7.6371243932805144E-2</v>
      </c>
      <c r="X81" s="5" t="s">
        <v>483</v>
      </c>
      <c r="Y81" s="5">
        <v>3.8112142408476872E-2</v>
      </c>
      <c r="Z81" s="5" t="s">
        <v>484</v>
      </c>
      <c r="AA81" s="5" t="s">
        <v>482</v>
      </c>
      <c r="AB81" s="5" t="s">
        <v>483</v>
      </c>
      <c r="AC81" s="5" t="s">
        <v>438</v>
      </c>
      <c r="AD81" s="5">
        <v>0.11448338634128202</v>
      </c>
      <c r="AE81" s="17">
        <f t="shared" si="12"/>
        <v>0.11448338634128202</v>
      </c>
      <c r="AF81" s="5">
        <v>-0.01</v>
      </c>
      <c r="AG81" s="18" t="s">
        <v>158</v>
      </c>
      <c r="AH81" s="279">
        <v>18.356820163271774</v>
      </c>
      <c r="AI81" s="280">
        <v>-0.2</v>
      </c>
      <c r="AJ81" s="280">
        <v>-0.1</v>
      </c>
      <c r="AK81" s="280">
        <v>-0.2</v>
      </c>
      <c r="AL81" s="280">
        <v>-0.2</v>
      </c>
      <c r="AM81" s="280">
        <v>-0.3</v>
      </c>
      <c r="AN81" s="280">
        <v>0.93191725449789964</v>
      </c>
      <c r="AO81" s="280">
        <v>0.41272885789014818</v>
      </c>
      <c r="AP81" s="280">
        <v>-0.2</v>
      </c>
      <c r="AQ81" s="280">
        <v>0.4708197934004385</v>
      </c>
      <c r="AR81" s="280">
        <v>-0.1</v>
      </c>
      <c r="AS81" s="5" t="s">
        <v>158</v>
      </c>
      <c r="AT81" s="5" t="s">
        <v>158</v>
      </c>
      <c r="AU81" s="5" t="s">
        <v>158</v>
      </c>
      <c r="AV81" s="5" t="s">
        <v>158</v>
      </c>
      <c r="AW81" s="5" t="s">
        <v>158</v>
      </c>
      <c r="BC81" s="17" t="s">
        <v>158</v>
      </c>
      <c r="BD81" s="17" t="s">
        <v>158</v>
      </c>
      <c r="BE81" s="17" t="s">
        <v>158</v>
      </c>
      <c r="BF81" s="17" t="s">
        <v>158</v>
      </c>
      <c r="BG81" s="17" t="s">
        <v>158</v>
      </c>
      <c r="BH81" s="17" t="s">
        <v>158</v>
      </c>
      <c r="BI81" s="17" t="s">
        <v>158</v>
      </c>
      <c r="BJ81" s="17" t="s">
        <v>158</v>
      </c>
      <c r="BK81" s="17" t="s">
        <v>158</v>
      </c>
      <c r="BL81" s="17" t="s">
        <v>158</v>
      </c>
      <c r="BM81" s="17" t="s">
        <v>158</v>
      </c>
      <c r="BN81" s="17">
        <v>120</v>
      </c>
      <c r="BO81" s="17" t="s">
        <v>158</v>
      </c>
      <c r="BP81" s="17" t="s">
        <v>158</v>
      </c>
      <c r="BQ81" s="17" t="s">
        <v>158</v>
      </c>
      <c r="BR81" s="17" t="s">
        <v>158</v>
      </c>
      <c r="BS81" s="17" t="s">
        <v>158</v>
      </c>
      <c r="BT81" s="17" t="s">
        <v>158</v>
      </c>
      <c r="BU81" s="17" t="s">
        <v>158</v>
      </c>
      <c r="BV81" s="17" t="s">
        <v>158</v>
      </c>
      <c r="BW81" s="17" t="s">
        <v>158</v>
      </c>
      <c r="BX81" s="17" t="s">
        <v>158</v>
      </c>
      <c r="BY81" s="17" t="s">
        <v>158</v>
      </c>
      <c r="BZ81" s="17" t="s">
        <v>158</v>
      </c>
      <c r="CA81" s="17" t="s">
        <v>158</v>
      </c>
      <c r="CB81" s="17" t="s">
        <v>158</v>
      </c>
      <c r="CC81" s="17" t="s">
        <v>158</v>
      </c>
      <c r="CD81" s="17" t="s">
        <v>158</v>
      </c>
      <c r="CE81" s="17" t="s">
        <v>158</v>
      </c>
      <c r="CF81" s="17" t="s">
        <v>158</v>
      </c>
      <c r="CG81" s="17" t="s">
        <v>158</v>
      </c>
      <c r="CH81" s="17" t="s">
        <v>158</v>
      </c>
      <c r="CI81" s="17" t="s">
        <v>158</v>
      </c>
      <c r="CJ81" s="17" t="s">
        <v>158</v>
      </c>
      <c r="CK81" s="17" t="s">
        <v>158</v>
      </c>
      <c r="CL81" s="17" t="s">
        <v>158</v>
      </c>
      <c r="CM81" s="17" t="s">
        <v>158</v>
      </c>
      <c r="CN81" s="17" t="s">
        <v>158</v>
      </c>
      <c r="CO81" s="17" t="s">
        <v>158</v>
      </c>
      <c r="CP81" s="17" t="s">
        <v>158</v>
      </c>
      <c r="CQ81" s="17" t="s">
        <v>158</v>
      </c>
      <c r="CR81" s="17" t="s">
        <v>158</v>
      </c>
      <c r="CS81" s="17" t="s">
        <v>158</v>
      </c>
      <c r="CT81" s="17" t="s">
        <v>158</v>
      </c>
      <c r="CU81" s="17" t="s">
        <v>158</v>
      </c>
      <c r="CV81" s="17" t="s">
        <v>158</v>
      </c>
      <c r="CW81" s="17" t="s">
        <v>158</v>
      </c>
      <c r="CX81" s="17" t="s">
        <v>158</v>
      </c>
      <c r="CY81" s="67" t="s">
        <v>158</v>
      </c>
    </row>
    <row r="82" spans="1:103" hidden="1" x14ac:dyDescent="0.2">
      <c r="A82" s="32" t="s">
        <v>22</v>
      </c>
      <c r="B82" s="14" t="s">
        <v>22</v>
      </c>
      <c r="C82" s="14" t="s">
        <v>20</v>
      </c>
      <c r="G82" s="28">
        <v>43682</v>
      </c>
      <c r="H82" s="16">
        <v>2019</v>
      </c>
      <c r="I82" s="135" t="s">
        <v>33</v>
      </c>
      <c r="J82" s="135">
        <v>10</v>
      </c>
      <c r="K82" s="136">
        <v>0.42921450256481003</v>
      </c>
      <c r="L82" s="5" t="s">
        <v>158</v>
      </c>
      <c r="M82" s="5">
        <v>0.5265076414704668</v>
      </c>
      <c r="N82" s="5">
        <v>1.4337773647253202</v>
      </c>
      <c r="O82" s="5">
        <v>4.7160161090458494</v>
      </c>
      <c r="P82" s="5">
        <v>3.8272614622057004</v>
      </c>
      <c r="Q82" s="5">
        <v>9.4286555142503108</v>
      </c>
      <c r="R82" s="5">
        <v>8.7030152829409335</v>
      </c>
      <c r="S82" s="5">
        <v>3.287691036761669</v>
      </c>
      <c r="T82" s="5">
        <v>31.922924411400249</v>
      </c>
      <c r="U82" s="17">
        <f t="shared" si="7"/>
        <v>327.2916313557252</v>
      </c>
      <c r="V82" s="5" t="s">
        <v>483</v>
      </c>
      <c r="W82" s="5">
        <v>0.23090447638088935</v>
      </c>
      <c r="X82" s="5">
        <v>5.892150149744016E-2</v>
      </c>
      <c r="Y82" s="5">
        <v>0.20270318682371069</v>
      </c>
      <c r="Z82" s="5" t="s">
        <v>484</v>
      </c>
      <c r="AA82" s="5" t="s">
        <v>482</v>
      </c>
      <c r="AB82" s="5">
        <v>3.752608816913406E-2</v>
      </c>
      <c r="AC82" s="5" t="s">
        <v>438</v>
      </c>
      <c r="AD82" s="5">
        <v>0.53005525287117428</v>
      </c>
      <c r="AE82" s="17">
        <f t="shared" si="12"/>
        <v>0.53005525287117428</v>
      </c>
      <c r="AF82" s="5">
        <v>-0.01</v>
      </c>
      <c r="AG82" s="18" t="s">
        <v>158</v>
      </c>
      <c r="AH82" s="279">
        <v>11.539823008849558</v>
      </c>
      <c r="AI82" s="280">
        <v>-0.2</v>
      </c>
      <c r="AJ82" s="280">
        <v>-0.1</v>
      </c>
      <c r="AK82" s="280">
        <v>-0.2</v>
      </c>
      <c r="AL82" s="280">
        <v>-0.2</v>
      </c>
      <c r="AM82" s="280">
        <v>-0.3</v>
      </c>
      <c r="AN82" s="280">
        <v>0.61305832346177958</v>
      </c>
      <c r="AO82" s="280">
        <v>-0.3</v>
      </c>
      <c r="AP82" s="280">
        <v>-0.2</v>
      </c>
      <c r="AQ82" s="280">
        <v>0.48012914314914168</v>
      </c>
      <c r="AR82" s="280">
        <v>-0.1</v>
      </c>
      <c r="AS82" s="5" t="s">
        <v>158</v>
      </c>
      <c r="AT82" s="5" t="s">
        <v>158</v>
      </c>
      <c r="AU82" s="5" t="s">
        <v>158</v>
      </c>
      <c r="AV82" s="5" t="s">
        <v>158</v>
      </c>
      <c r="AW82" s="5" t="s">
        <v>158</v>
      </c>
      <c r="BC82" s="17" t="s">
        <v>158</v>
      </c>
      <c r="BD82" s="17" t="s">
        <v>158</v>
      </c>
      <c r="BE82" s="17" t="s">
        <v>158</v>
      </c>
      <c r="BF82" s="17" t="s">
        <v>158</v>
      </c>
      <c r="BG82" s="17" t="s">
        <v>158</v>
      </c>
      <c r="BH82" s="17" t="s">
        <v>158</v>
      </c>
      <c r="BI82" s="17" t="s">
        <v>158</v>
      </c>
      <c r="BJ82" s="17" t="s">
        <v>158</v>
      </c>
      <c r="BK82" s="17" t="s">
        <v>158</v>
      </c>
      <c r="BL82" s="17" t="s">
        <v>158</v>
      </c>
      <c r="BM82" s="17" t="s">
        <v>158</v>
      </c>
      <c r="BN82" s="17">
        <v>99</v>
      </c>
      <c r="BO82" s="17" t="s">
        <v>158</v>
      </c>
      <c r="BP82" s="17" t="s">
        <v>158</v>
      </c>
      <c r="BQ82" s="17" t="s">
        <v>158</v>
      </c>
      <c r="BR82" s="17" t="s">
        <v>158</v>
      </c>
      <c r="BS82" s="17" t="s">
        <v>158</v>
      </c>
      <c r="BT82" s="17" t="s">
        <v>158</v>
      </c>
      <c r="BU82" s="17" t="s">
        <v>158</v>
      </c>
      <c r="BV82" s="17" t="s">
        <v>158</v>
      </c>
      <c r="BW82" s="17" t="s">
        <v>158</v>
      </c>
      <c r="BX82" s="17" t="s">
        <v>158</v>
      </c>
      <c r="BY82" s="17" t="s">
        <v>158</v>
      </c>
      <c r="BZ82" s="17" t="s">
        <v>158</v>
      </c>
      <c r="CA82" s="17" t="s">
        <v>158</v>
      </c>
      <c r="CB82" s="17" t="s">
        <v>158</v>
      </c>
      <c r="CC82" s="17" t="s">
        <v>158</v>
      </c>
      <c r="CD82" s="17" t="s">
        <v>158</v>
      </c>
      <c r="CE82" s="17" t="s">
        <v>158</v>
      </c>
      <c r="CF82" s="17" t="s">
        <v>158</v>
      </c>
      <c r="CG82" s="17" t="s">
        <v>158</v>
      </c>
      <c r="CH82" s="17" t="s">
        <v>158</v>
      </c>
      <c r="CI82" s="17" t="s">
        <v>158</v>
      </c>
      <c r="CJ82" s="17" t="s">
        <v>158</v>
      </c>
      <c r="CK82" s="17" t="s">
        <v>158</v>
      </c>
      <c r="CL82" s="17" t="s">
        <v>158</v>
      </c>
      <c r="CM82" s="17" t="s">
        <v>158</v>
      </c>
      <c r="CN82" s="17" t="s">
        <v>158</v>
      </c>
      <c r="CO82" s="17" t="s">
        <v>158</v>
      </c>
      <c r="CP82" s="17" t="s">
        <v>158</v>
      </c>
      <c r="CQ82" s="17" t="s">
        <v>158</v>
      </c>
      <c r="CR82" s="17" t="s">
        <v>158</v>
      </c>
      <c r="CS82" s="17" t="s">
        <v>158</v>
      </c>
      <c r="CT82" s="17" t="s">
        <v>158</v>
      </c>
      <c r="CU82" s="17" t="s">
        <v>158</v>
      </c>
      <c r="CV82" s="17" t="s">
        <v>158</v>
      </c>
      <c r="CW82" s="17" t="s">
        <v>158</v>
      </c>
      <c r="CX82" s="17" t="s">
        <v>158</v>
      </c>
      <c r="CY82" s="67" t="s">
        <v>158</v>
      </c>
    </row>
    <row r="83" spans="1:103" hidden="1" x14ac:dyDescent="0.2">
      <c r="A83" s="32" t="s">
        <v>25</v>
      </c>
      <c r="B83" s="14" t="s">
        <v>25</v>
      </c>
      <c r="C83" s="14" t="s">
        <v>20</v>
      </c>
      <c r="G83" s="28">
        <v>43689</v>
      </c>
      <c r="H83" s="16">
        <v>2019</v>
      </c>
      <c r="I83" s="135" t="s">
        <v>33</v>
      </c>
      <c r="J83" s="135">
        <v>10</v>
      </c>
      <c r="K83" s="136">
        <v>0.50511247443761298</v>
      </c>
      <c r="L83" s="5" t="s">
        <v>158</v>
      </c>
      <c r="M83" s="5">
        <v>3.566775244299674E-2</v>
      </c>
      <c r="N83" s="5">
        <v>0.19841205211726384</v>
      </c>
      <c r="O83" s="5">
        <v>0.39800488599348538</v>
      </c>
      <c r="P83" s="5">
        <v>0.15790920195439739</v>
      </c>
      <c r="Q83" s="5">
        <v>1.2810769543973941</v>
      </c>
      <c r="R83" s="5">
        <v>0.598941368078176</v>
      </c>
      <c r="S83" s="5">
        <v>0.48549470684039087</v>
      </c>
      <c r="T83" s="5">
        <v>3.1555069218241041</v>
      </c>
      <c r="U83" s="17">
        <f t="shared" si="7"/>
        <v>29.672576619763756</v>
      </c>
      <c r="V83" s="5" t="s">
        <v>483</v>
      </c>
      <c r="W83" s="5">
        <v>7.3744422439835769E-2</v>
      </c>
      <c r="X83" s="5" t="s">
        <v>483</v>
      </c>
      <c r="Y83" s="5">
        <v>3.6014941627662521E-2</v>
      </c>
      <c r="Z83" s="5" t="s">
        <v>484</v>
      </c>
      <c r="AA83" s="5" t="s">
        <v>482</v>
      </c>
      <c r="AB83" s="5">
        <v>1.3835271693699887E-2</v>
      </c>
      <c r="AC83" s="5" t="s">
        <v>438</v>
      </c>
      <c r="AD83" s="5">
        <v>0.12359463576119817</v>
      </c>
      <c r="AE83" s="17">
        <f t="shared" si="12"/>
        <v>0.12359463576119817</v>
      </c>
      <c r="AF83" s="5">
        <v>-0.01</v>
      </c>
      <c r="AG83" s="18" t="s">
        <v>158</v>
      </c>
      <c r="AH83" s="279">
        <v>72.154009048031583</v>
      </c>
      <c r="AI83" s="280">
        <v>-0.2</v>
      </c>
      <c r="AJ83" s="280">
        <v>-0.1</v>
      </c>
      <c r="AK83" s="280">
        <v>-0.2</v>
      </c>
      <c r="AL83" s="280">
        <v>-0.2</v>
      </c>
      <c r="AM83" s="280">
        <v>-0.3</v>
      </c>
      <c r="AN83" s="280">
        <v>3.5285398017133511</v>
      </c>
      <c r="AO83" s="280">
        <v>0.98348252959861404</v>
      </c>
      <c r="AP83" s="280">
        <v>-0.2</v>
      </c>
      <c r="AQ83" s="280">
        <v>0.88077132864889141</v>
      </c>
      <c r="AR83" s="280">
        <v>-0.1</v>
      </c>
      <c r="AS83" s="5" t="s">
        <v>158</v>
      </c>
      <c r="AT83" s="5" t="s">
        <v>158</v>
      </c>
      <c r="AU83" s="5" t="s">
        <v>158</v>
      </c>
      <c r="AV83" s="5" t="s">
        <v>158</v>
      </c>
      <c r="AW83" s="5" t="s">
        <v>158</v>
      </c>
      <c r="BC83" s="17" t="s">
        <v>158</v>
      </c>
      <c r="BD83" s="17" t="s">
        <v>158</v>
      </c>
      <c r="BE83" s="17" t="s">
        <v>158</v>
      </c>
      <c r="BF83" s="17" t="s">
        <v>158</v>
      </c>
      <c r="BG83" s="17" t="s">
        <v>158</v>
      </c>
      <c r="BH83" s="17" t="s">
        <v>158</v>
      </c>
      <c r="BI83" s="17" t="s">
        <v>158</v>
      </c>
      <c r="BJ83" s="17" t="s">
        <v>158</v>
      </c>
      <c r="BK83" s="17" t="s">
        <v>158</v>
      </c>
      <c r="BL83" s="17" t="s">
        <v>158</v>
      </c>
      <c r="BM83" s="17" t="s">
        <v>158</v>
      </c>
      <c r="BN83" s="17">
        <v>120</v>
      </c>
      <c r="BO83" s="17" t="s">
        <v>158</v>
      </c>
      <c r="BP83" s="17" t="s">
        <v>158</v>
      </c>
      <c r="BQ83" s="17" t="s">
        <v>158</v>
      </c>
      <c r="BR83" s="17" t="s">
        <v>158</v>
      </c>
      <c r="BS83" s="17" t="s">
        <v>158</v>
      </c>
      <c r="BT83" s="17" t="s">
        <v>158</v>
      </c>
      <c r="BU83" s="17" t="s">
        <v>158</v>
      </c>
      <c r="BV83" s="17" t="s">
        <v>158</v>
      </c>
      <c r="BW83" s="17" t="s">
        <v>158</v>
      </c>
      <c r="BX83" s="17" t="s">
        <v>158</v>
      </c>
      <c r="BY83" s="17" t="s">
        <v>158</v>
      </c>
      <c r="BZ83" s="17" t="s">
        <v>158</v>
      </c>
      <c r="CA83" s="17" t="s">
        <v>158</v>
      </c>
      <c r="CB83" s="17" t="s">
        <v>158</v>
      </c>
      <c r="CC83" s="17" t="s">
        <v>158</v>
      </c>
      <c r="CD83" s="17" t="s">
        <v>158</v>
      </c>
      <c r="CE83" s="17" t="s">
        <v>158</v>
      </c>
      <c r="CF83" s="17" t="s">
        <v>158</v>
      </c>
      <c r="CG83" s="17" t="s">
        <v>158</v>
      </c>
      <c r="CH83" s="17" t="s">
        <v>158</v>
      </c>
      <c r="CI83" s="17" t="s">
        <v>158</v>
      </c>
      <c r="CJ83" s="17" t="s">
        <v>158</v>
      </c>
      <c r="CK83" s="17" t="s">
        <v>158</v>
      </c>
      <c r="CL83" s="17" t="s">
        <v>158</v>
      </c>
      <c r="CM83" s="17" t="s">
        <v>158</v>
      </c>
      <c r="CN83" s="17" t="s">
        <v>158</v>
      </c>
      <c r="CO83" s="17" t="s">
        <v>158</v>
      </c>
      <c r="CP83" s="17" t="s">
        <v>158</v>
      </c>
      <c r="CQ83" s="17" t="s">
        <v>158</v>
      </c>
      <c r="CR83" s="17" t="s">
        <v>158</v>
      </c>
      <c r="CS83" s="17" t="s">
        <v>158</v>
      </c>
      <c r="CT83" s="17" t="s">
        <v>158</v>
      </c>
      <c r="CU83" s="17" t="s">
        <v>158</v>
      </c>
      <c r="CV83" s="17" t="s">
        <v>158</v>
      </c>
      <c r="CW83" s="17" t="s">
        <v>158</v>
      </c>
      <c r="CX83" s="17" t="s">
        <v>158</v>
      </c>
      <c r="CY83" s="67" t="s">
        <v>158</v>
      </c>
    </row>
    <row r="84" spans="1:103" hidden="1" x14ac:dyDescent="0.2">
      <c r="A84" s="32" t="s">
        <v>5</v>
      </c>
      <c r="B84" s="14" t="s">
        <v>5</v>
      </c>
      <c r="C84" s="14" t="s">
        <v>20</v>
      </c>
      <c r="G84" s="28">
        <v>43679</v>
      </c>
      <c r="H84" s="16">
        <v>2019</v>
      </c>
      <c r="I84" s="135" t="s">
        <v>33</v>
      </c>
      <c r="J84" s="135">
        <v>10</v>
      </c>
      <c r="K84" s="136">
        <v>0.45077533357372096</v>
      </c>
      <c r="L84" s="5" t="s">
        <v>158</v>
      </c>
      <c r="M84" s="5">
        <v>0.62387479541734869</v>
      </c>
      <c r="N84" s="5">
        <v>1.460464402618658</v>
      </c>
      <c r="O84" s="5">
        <v>4.8424713584288055</v>
      </c>
      <c r="P84" s="5">
        <v>4.4062909165302777</v>
      </c>
      <c r="Q84" s="5">
        <v>7.4108428805237327</v>
      </c>
      <c r="R84" s="5">
        <v>7.3866612111292964</v>
      </c>
      <c r="S84" s="5">
        <v>2.0762888707037641</v>
      </c>
      <c r="T84" s="5">
        <v>28.206894435351881</v>
      </c>
      <c r="U84" s="17">
        <f t="shared" si="7"/>
        <v>263.99629423078437</v>
      </c>
      <c r="V84" s="5" t="s">
        <v>483</v>
      </c>
      <c r="W84" s="5">
        <v>0.15482420007269895</v>
      </c>
      <c r="X84" s="5">
        <v>5.8237615584640981E-2</v>
      </c>
      <c r="Y84" s="5">
        <v>0.14996252521865158</v>
      </c>
      <c r="Z84" s="5" t="s">
        <v>484</v>
      </c>
      <c r="AA84" s="5" t="s">
        <v>482</v>
      </c>
      <c r="AB84" s="5">
        <v>3.4858472450930454E-2</v>
      </c>
      <c r="AC84" s="5" t="s">
        <v>438</v>
      </c>
      <c r="AD84" s="5">
        <v>0.39788281332692199</v>
      </c>
      <c r="AE84" s="17">
        <f t="shared" si="12"/>
        <v>0.39788281332692194</v>
      </c>
      <c r="AF84" s="5">
        <v>-0.01</v>
      </c>
      <c r="AG84" s="18" t="s">
        <v>158</v>
      </c>
      <c r="AH84" s="279">
        <v>15.728358208955221</v>
      </c>
      <c r="AI84" s="280">
        <v>-0.2</v>
      </c>
      <c r="AJ84" s="280">
        <v>-0.1</v>
      </c>
      <c r="AK84" s="280">
        <v>-0.2</v>
      </c>
      <c r="AL84" s="280">
        <v>-0.2</v>
      </c>
      <c r="AM84" s="280">
        <v>-0.3</v>
      </c>
      <c r="AN84" s="280">
        <v>0.77686567164179099</v>
      </c>
      <c r="AO84" s="280">
        <v>-0.3</v>
      </c>
      <c r="AP84" s="280">
        <v>-0.2</v>
      </c>
      <c r="AQ84" s="280">
        <v>0.45338930348258705</v>
      </c>
      <c r="AR84" s="280">
        <v>-0.1</v>
      </c>
      <c r="AS84" s="5" t="s">
        <v>158</v>
      </c>
      <c r="AT84" s="5" t="s">
        <v>158</v>
      </c>
      <c r="AU84" s="5" t="s">
        <v>158</v>
      </c>
      <c r="AV84" s="5" t="s">
        <v>158</v>
      </c>
      <c r="AW84" s="5" t="s">
        <v>158</v>
      </c>
      <c r="BC84" s="17" t="s">
        <v>158</v>
      </c>
      <c r="BD84" s="17" t="s">
        <v>158</v>
      </c>
      <c r="BE84" s="17" t="s">
        <v>158</v>
      </c>
      <c r="BF84" s="17" t="s">
        <v>158</v>
      </c>
      <c r="BG84" s="17" t="s">
        <v>158</v>
      </c>
      <c r="BH84" s="17" t="s">
        <v>158</v>
      </c>
      <c r="BI84" s="17" t="s">
        <v>158</v>
      </c>
      <c r="BJ84" s="17" t="s">
        <v>158</v>
      </c>
      <c r="BK84" s="17" t="s">
        <v>158</v>
      </c>
      <c r="BL84" s="17" t="s">
        <v>158</v>
      </c>
      <c r="BM84" s="17" t="s">
        <v>158</v>
      </c>
      <c r="BN84" s="17">
        <v>100</v>
      </c>
      <c r="BO84" s="17" t="s">
        <v>158</v>
      </c>
      <c r="BP84" s="17" t="s">
        <v>158</v>
      </c>
      <c r="BQ84" s="17" t="s">
        <v>158</v>
      </c>
      <c r="BR84" s="17" t="s">
        <v>158</v>
      </c>
      <c r="BS84" s="17" t="s">
        <v>158</v>
      </c>
      <c r="BT84" s="17" t="s">
        <v>158</v>
      </c>
      <c r="BU84" s="17" t="s">
        <v>158</v>
      </c>
      <c r="BV84" s="17" t="s">
        <v>158</v>
      </c>
      <c r="BW84" s="17" t="s">
        <v>158</v>
      </c>
      <c r="BX84" s="17" t="s">
        <v>158</v>
      </c>
      <c r="BY84" s="17" t="s">
        <v>158</v>
      </c>
      <c r="BZ84" s="17" t="s">
        <v>158</v>
      </c>
      <c r="CA84" s="17" t="s">
        <v>158</v>
      </c>
      <c r="CB84" s="17" t="s">
        <v>158</v>
      </c>
      <c r="CC84" s="17" t="s">
        <v>158</v>
      </c>
      <c r="CD84" s="17" t="s">
        <v>158</v>
      </c>
      <c r="CE84" s="17" t="s">
        <v>158</v>
      </c>
      <c r="CF84" s="17" t="s">
        <v>158</v>
      </c>
      <c r="CG84" s="17" t="s">
        <v>158</v>
      </c>
      <c r="CH84" s="17" t="s">
        <v>158</v>
      </c>
      <c r="CI84" s="17" t="s">
        <v>158</v>
      </c>
      <c r="CJ84" s="17" t="s">
        <v>158</v>
      </c>
      <c r="CK84" s="17" t="s">
        <v>158</v>
      </c>
      <c r="CL84" s="17" t="s">
        <v>158</v>
      </c>
      <c r="CM84" s="17" t="s">
        <v>158</v>
      </c>
      <c r="CN84" s="17" t="s">
        <v>158</v>
      </c>
      <c r="CO84" s="17" t="s">
        <v>158</v>
      </c>
      <c r="CP84" s="17" t="s">
        <v>158</v>
      </c>
      <c r="CQ84" s="17" t="s">
        <v>158</v>
      </c>
      <c r="CR84" s="17" t="s">
        <v>158</v>
      </c>
      <c r="CS84" s="17" t="s">
        <v>158</v>
      </c>
      <c r="CT84" s="17" t="s">
        <v>158</v>
      </c>
      <c r="CU84" s="17" t="s">
        <v>158</v>
      </c>
      <c r="CV84" s="17" t="s">
        <v>158</v>
      </c>
      <c r="CW84" s="17" t="s">
        <v>158</v>
      </c>
      <c r="CX84" s="17" t="s">
        <v>158</v>
      </c>
      <c r="CY84" s="67" t="s">
        <v>158</v>
      </c>
    </row>
    <row r="85" spans="1:103" hidden="1" x14ac:dyDescent="0.2">
      <c r="A85" s="32" t="s">
        <v>23</v>
      </c>
      <c r="B85" s="14" t="s">
        <v>23</v>
      </c>
      <c r="C85" s="14" t="s">
        <v>20</v>
      </c>
      <c r="G85" s="28">
        <v>43678</v>
      </c>
      <c r="H85" s="16">
        <v>2019</v>
      </c>
      <c r="I85" s="135" t="s">
        <v>33</v>
      </c>
      <c r="J85" s="135">
        <v>10</v>
      </c>
      <c r="K85" s="136">
        <v>0.46467104082329602</v>
      </c>
      <c r="L85" s="5" t="s">
        <v>158</v>
      </c>
      <c r="M85" s="5">
        <v>0.31191842590694818</v>
      </c>
      <c r="N85" s="5">
        <v>1.9880610780897727</v>
      </c>
      <c r="O85" s="5">
        <v>8.9203217872514866</v>
      </c>
      <c r="P85" s="5">
        <v>7.0067021930723508</v>
      </c>
      <c r="Q85" s="5">
        <v>14.893195326911254</v>
      </c>
      <c r="R85" s="5">
        <v>13.510043041606886</v>
      </c>
      <c r="S85" s="5">
        <v>4.9397417503586807</v>
      </c>
      <c r="T85" s="5">
        <v>51.569983603197379</v>
      </c>
      <c r="U85" s="17">
        <f t="shared" si="7"/>
        <v>479.51429608318801</v>
      </c>
      <c r="V85" s="5" t="s">
        <v>483</v>
      </c>
      <c r="W85" s="5">
        <v>0.15767696190726829</v>
      </c>
      <c r="X85" s="5">
        <v>2.1890892758594325E-2</v>
      </c>
      <c r="Y85" s="5">
        <v>4.8405398615509541E-2</v>
      </c>
      <c r="Z85" s="5" t="s">
        <v>484</v>
      </c>
      <c r="AA85" s="5">
        <v>2.0825950649652775E-2</v>
      </c>
      <c r="AB85" s="5">
        <v>3.2412519504941152E-2</v>
      </c>
      <c r="AC85" s="5" t="s">
        <v>438</v>
      </c>
      <c r="AD85" s="5">
        <v>0.28121172343596612</v>
      </c>
      <c r="AE85" s="17">
        <f t="shared" si="12"/>
        <v>0.28121172343596607</v>
      </c>
      <c r="AF85" s="5">
        <v>-0.01</v>
      </c>
      <c r="AG85" s="18" t="s">
        <v>158</v>
      </c>
      <c r="AH85" s="279">
        <v>6.9633767846058339</v>
      </c>
      <c r="AI85" s="280">
        <v>-0.2</v>
      </c>
      <c r="AJ85" s="280">
        <v>-0.1</v>
      </c>
      <c r="AK85" s="280">
        <v>-0.2</v>
      </c>
      <c r="AL85" s="280">
        <v>-0.2</v>
      </c>
      <c r="AM85" s="280">
        <v>-0.3</v>
      </c>
      <c r="AN85" s="280">
        <v>0.48396441133871304</v>
      </c>
      <c r="AO85" s="280">
        <v>-0.3</v>
      </c>
      <c r="AP85" s="280">
        <v>-0.2</v>
      </c>
      <c r="AQ85" s="280">
        <v>0.34143734050624175</v>
      </c>
      <c r="AR85" s="280">
        <v>-0.1</v>
      </c>
      <c r="AS85" s="5" t="s">
        <v>158</v>
      </c>
      <c r="AT85" s="5" t="s">
        <v>158</v>
      </c>
      <c r="AU85" s="5" t="s">
        <v>158</v>
      </c>
      <c r="AV85" s="5" t="s">
        <v>158</v>
      </c>
      <c r="AW85" s="5" t="s">
        <v>158</v>
      </c>
      <c r="BC85" s="17" t="s">
        <v>158</v>
      </c>
      <c r="BD85" s="17" t="s">
        <v>158</v>
      </c>
      <c r="BE85" s="17" t="s">
        <v>158</v>
      </c>
      <c r="BF85" s="17" t="s">
        <v>158</v>
      </c>
      <c r="BG85" s="17" t="s">
        <v>158</v>
      </c>
      <c r="BH85" s="17" t="s">
        <v>158</v>
      </c>
      <c r="BI85" s="17" t="s">
        <v>158</v>
      </c>
      <c r="BJ85" s="17" t="s">
        <v>158</v>
      </c>
      <c r="BK85" s="17" t="s">
        <v>158</v>
      </c>
      <c r="BL85" s="17" t="s">
        <v>158</v>
      </c>
      <c r="BM85" s="17" t="s">
        <v>158</v>
      </c>
      <c r="BN85" s="17">
        <v>300</v>
      </c>
      <c r="BO85" s="17" t="s">
        <v>158</v>
      </c>
      <c r="BP85" s="17" t="s">
        <v>158</v>
      </c>
      <c r="BQ85" s="17" t="s">
        <v>158</v>
      </c>
      <c r="BR85" s="17" t="s">
        <v>158</v>
      </c>
      <c r="BS85" s="17" t="s">
        <v>158</v>
      </c>
      <c r="BT85" s="17" t="s">
        <v>158</v>
      </c>
      <c r="BU85" s="17" t="s">
        <v>158</v>
      </c>
      <c r="BV85" s="17" t="s">
        <v>158</v>
      </c>
      <c r="BW85" s="17" t="s">
        <v>158</v>
      </c>
      <c r="BX85" s="17" t="s">
        <v>158</v>
      </c>
      <c r="BY85" s="17" t="s">
        <v>158</v>
      </c>
      <c r="BZ85" s="17" t="s">
        <v>158</v>
      </c>
      <c r="CA85" s="17" t="s">
        <v>158</v>
      </c>
      <c r="CB85" s="17" t="s">
        <v>158</v>
      </c>
      <c r="CC85" s="17" t="s">
        <v>158</v>
      </c>
      <c r="CD85" s="17" t="s">
        <v>158</v>
      </c>
      <c r="CE85" s="17" t="s">
        <v>158</v>
      </c>
      <c r="CF85" s="17" t="s">
        <v>158</v>
      </c>
      <c r="CG85" s="17" t="s">
        <v>158</v>
      </c>
      <c r="CH85" s="17" t="s">
        <v>158</v>
      </c>
      <c r="CI85" s="17" t="s">
        <v>158</v>
      </c>
      <c r="CJ85" s="17" t="s">
        <v>158</v>
      </c>
      <c r="CK85" s="17" t="s">
        <v>158</v>
      </c>
      <c r="CL85" s="17" t="s">
        <v>158</v>
      </c>
      <c r="CM85" s="17" t="s">
        <v>158</v>
      </c>
      <c r="CN85" s="17" t="s">
        <v>158</v>
      </c>
      <c r="CO85" s="17" t="s">
        <v>158</v>
      </c>
      <c r="CP85" s="17" t="s">
        <v>158</v>
      </c>
      <c r="CQ85" s="17" t="s">
        <v>158</v>
      </c>
      <c r="CR85" s="17" t="s">
        <v>158</v>
      </c>
      <c r="CS85" s="17" t="s">
        <v>158</v>
      </c>
      <c r="CT85" s="17" t="s">
        <v>158</v>
      </c>
      <c r="CU85" s="17" t="s">
        <v>158</v>
      </c>
      <c r="CV85" s="17" t="s">
        <v>158</v>
      </c>
      <c r="CW85" s="17" t="s">
        <v>158</v>
      </c>
      <c r="CX85" s="17" t="s">
        <v>158</v>
      </c>
      <c r="CY85" s="67" t="s">
        <v>158</v>
      </c>
    </row>
    <row r="86" spans="1:103" hidden="1" x14ac:dyDescent="0.2">
      <c r="A86" s="32" t="s">
        <v>6</v>
      </c>
      <c r="B86" s="14" t="s">
        <v>6</v>
      </c>
      <c r="C86" s="14" t="s">
        <v>20</v>
      </c>
      <c r="G86" s="28">
        <v>43686</v>
      </c>
      <c r="H86" s="16">
        <v>2019</v>
      </c>
      <c r="I86" s="135" t="s">
        <v>33</v>
      </c>
      <c r="J86" s="135">
        <v>10</v>
      </c>
      <c r="K86" s="136">
        <v>0.36286225748701401</v>
      </c>
      <c r="L86" s="5" t="s">
        <v>158</v>
      </c>
      <c r="M86" s="5">
        <v>5.2229475039073277E-2</v>
      </c>
      <c r="N86" s="5">
        <v>0.25123655419692925</v>
      </c>
      <c r="O86" s="5">
        <v>1.1696331709110968</v>
      </c>
      <c r="P86" s="5">
        <v>0.86850234439643281</v>
      </c>
      <c r="Q86" s="5">
        <v>2.5151696239771995</v>
      </c>
      <c r="R86" s="5">
        <v>2.1407557230854093</v>
      </c>
      <c r="S86" s="5">
        <v>0.84689712236830006</v>
      </c>
      <c r="T86" s="5">
        <v>7.8444240139744403</v>
      </c>
      <c r="U86" s="17">
        <f t="shared" si="7"/>
        <v>96.123549992350192</v>
      </c>
      <c r="V86" s="5" t="s">
        <v>483</v>
      </c>
      <c r="W86" s="5">
        <v>8.4790038995946462E-2</v>
      </c>
      <c r="X86" s="5">
        <v>2.3180954800777261E-2</v>
      </c>
      <c r="Y86" s="5">
        <v>6.2134026043462673E-2</v>
      </c>
      <c r="Z86" s="5" t="s">
        <v>484</v>
      </c>
      <c r="AA86" s="5" t="s">
        <v>482</v>
      </c>
      <c r="AB86" s="5" t="s">
        <v>483</v>
      </c>
      <c r="AC86" s="5" t="s">
        <v>438</v>
      </c>
      <c r="AD86" s="5">
        <v>0.17010501984018639</v>
      </c>
      <c r="AE86" s="17">
        <f t="shared" si="12"/>
        <v>0.17010501984018639</v>
      </c>
      <c r="AF86" s="5">
        <v>1.5077686862186265E-2</v>
      </c>
      <c r="AG86" s="18">
        <f>AF86*(5/K86)</f>
        <v>0.20776047316971041</v>
      </c>
      <c r="AH86" s="279">
        <v>9.2348142868456495</v>
      </c>
      <c r="AI86" s="280">
        <v>-0.2</v>
      </c>
      <c r="AJ86" s="280">
        <v>-0.1</v>
      </c>
      <c r="AK86" s="280">
        <v>-0.2</v>
      </c>
      <c r="AL86" s="280">
        <v>-0.2</v>
      </c>
      <c r="AM86" s="280">
        <v>-0.3</v>
      </c>
      <c r="AN86" s="280">
        <v>0.85198384414350192</v>
      </c>
      <c r="AO86" s="280">
        <v>-0.3</v>
      </c>
      <c r="AP86" s="280">
        <v>-0.2</v>
      </c>
      <c r="AQ86" s="280">
        <v>0.3896676434096249</v>
      </c>
      <c r="AR86" s="280">
        <v>-0.1</v>
      </c>
      <c r="AS86" s="5" t="s">
        <v>158</v>
      </c>
      <c r="AT86" s="5" t="s">
        <v>158</v>
      </c>
      <c r="AU86" s="5" t="s">
        <v>158</v>
      </c>
      <c r="AV86" s="5" t="s">
        <v>158</v>
      </c>
      <c r="AW86" s="5" t="s">
        <v>158</v>
      </c>
      <c r="BC86" s="17" t="s">
        <v>158</v>
      </c>
      <c r="BD86" s="17" t="s">
        <v>158</v>
      </c>
      <c r="BE86" s="17" t="s">
        <v>158</v>
      </c>
      <c r="BF86" s="17" t="s">
        <v>158</v>
      </c>
      <c r="BG86" s="17" t="s">
        <v>158</v>
      </c>
      <c r="BH86" s="17" t="s">
        <v>158</v>
      </c>
      <c r="BI86" s="17" t="s">
        <v>158</v>
      </c>
      <c r="BJ86" s="17" t="s">
        <v>158</v>
      </c>
      <c r="BK86" s="17" t="s">
        <v>158</v>
      </c>
      <c r="BL86" s="17" t="s">
        <v>158</v>
      </c>
      <c r="BM86" s="17" t="s">
        <v>158</v>
      </c>
      <c r="BN86" s="17">
        <v>42</v>
      </c>
      <c r="BO86" s="17" t="s">
        <v>158</v>
      </c>
      <c r="BP86" s="17" t="s">
        <v>158</v>
      </c>
      <c r="BQ86" s="17" t="s">
        <v>158</v>
      </c>
      <c r="BR86" s="17" t="s">
        <v>158</v>
      </c>
      <c r="BS86" s="17" t="s">
        <v>158</v>
      </c>
      <c r="BT86" s="17" t="s">
        <v>158</v>
      </c>
      <c r="BU86" s="17" t="s">
        <v>158</v>
      </c>
      <c r="BV86" s="17" t="s">
        <v>158</v>
      </c>
      <c r="BW86" s="17" t="s">
        <v>158</v>
      </c>
      <c r="BX86" s="17" t="s">
        <v>158</v>
      </c>
      <c r="BY86" s="17" t="s">
        <v>158</v>
      </c>
      <c r="BZ86" s="17" t="s">
        <v>158</v>
      </c>
      <c r="CA86" s="17" t="s">
        <v>158</v>
      </c>
      <c r="CB86" s="17" t="s">
        <v>158</v>
      </c>
      <c r="CC86" s="17" t="s">
        <v>158</v>
      </c>
      <c r="CD86" s="17" t="s">
        <v>158</v>
      </c>
      <c r="CE86" s="17" t="s">
        <v>158</v>
      </c>
      <c r="CF86" s="17" t="s">
        <v>158</v>
      </c>
      <c r="CG86" s="17" t="s">
        <v>158</v>
      </c>
      <c r="CH86" s="17" t="s">
        <v>158</v>
      </c>
      <c r="CI86" s="17" t="s">
        <v>158</v>
      </c>
      <c r="CJ86" s="17" t="s">
        <v>158</v>
      </c>
      <c r="CK86" s="17" t="s">
        <v>158</v>
      </c>
      <c r="CL86" s="17" t="s">
        <v>158</v>
      </c>
      <c r="CM86" s="17" t="s">
        <v>158</v>
      </c>
      <c r="CN86" s="17" t="s">
        <v>158</v>
      </c>
      <c r="CO86" s="17" t="s">
        <v>158</v>
      </c>
      <c r="CP86" s="17" t="s">
        <v>158</v>
      </c>
      <c r="CQ86" s="17" t="s">
        <v>158</v>
      </c>
      <c r="CR86" s="17" t="s">
        <v>158</v>
      </c>
      <c r="CS86" s="17" t="s">
        <v>158</v>
      </c>
      <c r="CT86" s="17" t="s">
        <v>158</v>
      </c>
      <c r="CU86" s="17" t="s">
        <v>158</v>
      </c>
      <c r="CV86" s="17" t="s">
        <v>158</v>
      </c>
      <c r="CW86" s="17" t="s">
        <v>158</v>
      </c>
      <c r="CX86" s="17" t="s">
        <v>158</v>
      </c>
      <c r="CY86" s="67" t="s">
        <v>158</v>
      </c>
    </row>
    <row r="87" spans="1:103" hidden="1" x14ac:dyDescent="0.2">
      <c r="A87" s="32" t="s">
        <v>81</v>
      </c>
      <c r="B87" s="14" t="s">
        <v>81</v>
      </c>
      <c r="C87" s="14" t="s">
        <v>20</v>
      </c>
      <c r="G87" s="28">
        <v>43692</v>
      </c>
      <c r="H87" s="16">
        <v>2019</v>
      </c>
      <c r="I87" s="135" t="s">
        <v>33</v>
      </c>
      <c r="J87" s="135">
        <v>10</v>
      </c>
      <c r="K87" s="136">
        <v>0.48309178743959896</v>
      </c>
      <c r="L87" s="5" t="s">
        <v>158</v>
      </c>
      <c r="M87" s="5">
        <v>3.4749022432137462E-2</v>
      </c>
      <c r="N87" s="5">
        <v>9.8759325314898644E-2</v>
      </c>
      <c r="O87" s="5">
        <v>0.28674506619572965</v>
      </c>
      <c r="P87" s="5">
        <v>0.22383029048924669</v>
      </c>
      <c r="Q87" s="5">
        <v>0.55442585086243878</v>
      </c>
      <c r="R87" s="5">
        <v>0.53012666363741601</v>
      </c>
      <c r="S87" s="5">
        <v>0.23471806766413206</v>
      </c>
      <c r="T87" s="5">
        <v>1.9633542865959994</v>
      </c>
      <c r="U87" s="17">
        <f t="shared" si="7"/>
        <v>18.004073359705433</v>
      </c>
      <c r="V87" s="5" t="s">
        <v>483</v>
      </c>
      <c r="W87" s="5">
        <v>4.8472958549214989E-2</v>
      </c>
      <c r="X87" s="5">
        <v>1.4226669877088073E-2</v>
      </c>
      <c r="Y87" s="5">
        <v>5.1943418290425321E-2</v>
      </c>
      <c r="Z87" s="5">
        <v>1.7209770388279467E-2</v>
      </c>
      <c r="AA87" s="5" t="s">
        <v>482</v>
      </c>
      <c r="AB87" s="5" t="s">
        <v>483</v>
      </c>
      <c r="AC87" s="5" t="s">
        <v>438</v>
      </c>
      <c r="AD87" s="5">
        <v>0.13185281710500785</v>
      </c>
      <c r="AE87" s="17">
        <f t="shared" si="12"/>
        <v>0.11464304671672837</v>
      </c>
      <c r="AF87" s="5">
        <v>-0.01</v>
      </c>
      <c r="AG87" s="18" t="s">
        <v>158</v>
      </c>
      <c r="AH87" s="279">
        <v>8.5221736414740796</v>
      </c>
      <c r="AI87" s="280">
        <v>-0.2</v>
      </c>
      <c r="AJ87" s="280">
        <v>-0.1</v>
      </c>
      <c r="AK87" s="280">
        <v>-0.2</v>
      </c>
      <c r="AL87" s="280">
        <v>-0.2</v>
      </c>
      <c r="AM87" s="280">
        <v>-0.3</v>
      </c>
      <c r="AN87" s="280">
        <v>1.1651646292495761</v>
      </c>
      <c r="AO87" s="280">
        <v>1.6701525832069242</v>
      </c>
      <c r="AP87" s="280">
        <v>-0.2</v>
      </c>
      <c r="AQ87" s="280">
        <v>1.2679872698610988</v>
      </c>
      <c r="AR87" s="280">
        <v>0.36716932869337615</v>
      </c>
      <c r="AS87" s="5" t="s">
        <v>158</v>
      </c>
      <c r="AT87" s="5" t="s">
        <v>158</v>
      </c>
      <c r="AU87" s="5" t="s">
        <v>158</v>
      </c>
      <c r="AV87" s="5" t="s">
        <v>158</v>
      </c>
      <c r="AW87" s="5" t="s">
        <v>158</v>
      </c>
      <c r="BC87" s="17" t="s">
        <v>158</v>
      </c>
      <c r="BD87" s="17" t="s">
        <v>158</v>
      </c>
      <c r="BE87" s="17" t="s">
        <v>158</v>
      </c>
      <c r="BF87" s="17" t="s">
        <v>158</v>
      </c>
      <c r="BG87" s="17" t="s">
        <v>158</v>
      </c>
      <c r="BH87" s="17" t="s">
        <v>158</v>
      </c>
      <c r="BI87" s="17" t="s">
        <v>158</v>
      </c>
      <c r="BJ87" s="17" t="s">
        <v>158</v>
      </c>
      <c r="BK87" s="17" t="s">
        <v>158</v>
      </c>
      <c r="BL87" s="17" t="s">
        <v>158</v>
      </c>
      <c r="BM87" s="17" t="s">
        <v>158</v>
      </c>
      <c r="BN87" s="17">
        <v>16</v>
      </c>
      <c r="BO87" s="17" t="s">
        <v>158</v>
      </c>
      <c r="BP87" s="17" t="s">
        <v>158</v>
      </c>
      <c r="BQ87" s="17" t="s">
        <v>158</v>
      </c>
      <c r="BR87" s="17" t="s">
        <v>158</v>
      </c>
      <c r="BS87" s="17" t="s">
        <v>158</v>
      </c>
      <c r="BT87" s="17" t="s">
        <v>158</v>
      </c>
      <c r="BU87" s="17" t="s">
        <v>158</v>
      </c>
      <c r="BV87" s="17" t="s">
        <v>158</v>
      </c>
      <c r="BW87" s="17" t="s">
        <v>158</v>
      </c>
      <c r="BX87" s="17" t="s">
        <v>158</v>
      </c>
      <c r="BY87" s="17" t="s">
        <v>158</v>
      </c>
      <c r="BZ87" s="17" t="s">
        <v>158</v>
      </c>
      <c r="CA87" s="17" t="s">
        <v>158</v>
      </c>
      <c r="CB87" s="17" t="s">
        <v>158</v>
      </c>
      <c r="CC87" s="17" t="s">
        <v>158</v>
      </c>
      <c r="CD87" s="17" t="s">
        <v>158</v>
      </c>
      <c r="CE87" s="17" t="s">
        <v>158</v>
      </c>
      <c r="CF87" s="17" t="s">
        <v>158</v>
      </c>
      <c r="CG87" s="17" t="s">
        <v>158</v>
      </c>
      <c r="CH87" s="17" t="s">
        <v>158</v>
      </c>
      <c r="CI87" s="17" t="s">
        <v>158</v>
      </c>
      <c r="CJ87" s="17" t="s">
        <v>158</v>
      </c>
      <c r="CK87" s="17" t="s">
        <v>158</v>
      </c>
      <c r="CL87" s="17" t="s">
        <v>158</v>
      </c>
      <c r="CM87" s="17" t="s">
        <v>158</v>
      </c>
      <c r="CN87" s="17" t="s">
        <v>158</v>
      </c>
      <c r="CO87" s="17" t="s">
        <v>158</v>
      </c>
      <c r="CP87" s="17" t="s">
        <v>158</v>
      </c>
      <c r="CQ87" s="17" t="s">
        <v>158</v>
      </c>
      <c r="CR87" s="17" t="s">
        <v>158</v>
      </c>
      <c r="CS87" s="17" t="s">
        <v>158</v>
      </c>
      <c r="CT87" s="17" t="s">
        <v>158</v>
      </c>
      <c r="CU87" s="17" t="s">
        <v>158</v>
      </c>
      <c r="CV87" s="17" t="s">
        <v>158</v>
      </c>
      <c r="CW87" s="17" t="s">
        <v>158</v>
      </c>
      <c r="CX87" s="17" t="s">
        <v>158</v>
      </c>
      <c r="CY87" s="67" t="s">
        <v>158</v>
      </c>
    </row>
    <row r="88" spans="1:103" hidden="1" x14ac:dyDescent="0.2">
      <c r="A88" s="32" t="s">
        <v>26</v>
      </c>
      <c r="B88" s="14" t="s">
        <v>26</v>
      </c>
      <c r="C88" s="14" t="s">
        <v>20</v>
      </c>
      <c r="G88" s="28">
        <v>43692</v>
      </c>
      <c r="H88" s="16">
        <v>2019</v>
      </c>
      <c r="I88" s="135" t="s">
        <v>33</v>
      </c>
      <c r="J88" s="135">
        <v>10</v>
      </c>
      <c r="K88" s="136">
        <v>0.39299937120102102</v>
      </c>
      <c r="L88" s="5" t="s">
        <v>158</v>
      </c>
      <c r="M88" s="5">
        <v>2.7408847836655328E-2</v>
      </c>
      <c r="N88" s="5">
        <v>2.8522119591638306E-2</v>
      </c>
      <c r="O88" s="5">
        <v>0.14955760816723385</v>
      </c>
      <c r="P88" s="5">
        <v>0.16347107438016528</v>
      </c>
      <c r="Q88" s="5">
        <v>0.41700534759358288</v>
      </c>
      <c r="R88" s="5">
        <v>0.40359747204666985</v>
      </c>
      <c r="S88" s="5">
        <v>0.15572192513368982</v>
      </c>
      <c r="T88" s="5">
        <v>1.3452843947496353</v>
      </c>
      <c r="U88" s="17">
        <f t="shared" si="7"/>
        <v>15.035816937286741</v>
      </c>
      <c r="V88" s="5" t="s">
        <v>483</v>
      </c>
      <c r="W88" s="5" t="s">
        <v>484</v>
      </c>
      <c r="X88" s="5" t="s">
        <v>483</v>
      </c>
      <c r="Y88" s="5" t="s">
        <v>485</v>
      </c>
      <c r="Z88" s="5">
        <v>1.8104621981435177E-2</v>
      </c>
      <c r="AA88" s="5" t="s">
        <v>482</v>
      </c>
      <c r="AB88" s="5" t="s">
        <v>483</v>
      </c>
      <c r="AC88" s="5" t="s">
        <v>438</v>
      </c>
      <c r="AD88" s="5">
        <v>1.8104621981435177E-2</v>
      </c>
      <c r="AE88" s="17">
        <f t="shared" si="12"/>
        <v>0</v>
      </c>
      <c r="AF88" s="5">
        <v>-0.01</v>
      </c>
      <c r="AG88" s="18" t="s">
        <v>158</v>
      </c>
      <c r="AH88" s="279">
        <v>1.9319727891156462</v>
      </c>
      <c r="AI88" s="280">
        <v>-0.2</v>
      </c>
      <c r="AJ88" s="280">
        <v>-0.1</v>
      </c>
      <c r="AK88" s="280">
        <v>-0.2</v>
      </c>
      <c r="AL88" s="280">
        <v>-0.2</v>
      </c>
      <c r="AM88" s="280">
        <v>-0.3</v>
      </c>
      <c r="AN88" s="280">
        <v>0.24526239067055391</v>
      </c>
      <c r="AO88" s="280">
        <v>-0.3</v>
      </c>
      <c r="AP88" s="280">
        <v>-0.2</v>
      </c>
      <c r="AQ88" s="280">
        <v>-0.2</v>
      </c>
      <c r="AR88" s="280">
        <v>-0.1</v>
      </c>
      <c r="AS88" s="5" t="s">
        <v>158</v>
      </c>
      <c r="AT88" s="5" t="s">
        <v>158</v>
      </c>
      <c r="AU88" s="5" t="s">
        <v>158</v>
      </c>
      <c r="AV88" s="5" t="s">
        <v>158</v>
      </c>
      <c r="AW88" s="5" t="s">
        <v>158</v>
      </c>
      <c r="BC88" s="17" t="s">
        <v>158</v>
      </c>
      <c r="BD88" s="17" t="s">
        <v>158</v>
      </c>
      <c r="BE88" s="17" t="s">
        <v>158</v>
      </c>
      <c r="BF88" s="17" t="s">
        <v>158</v>
      </c>
      <c r="BG88" s="17" t="s">
        <v>158</v>
      </c>
      <c r="BH88" s="17" t="s">
        <v>158</v>
      </c>
      <c r="BI88" s="17" t="s">
        <v>158</v>
      </c>
      <c r="BJ88" s="17" t="s">
        <v>158</v>
      </c>
      <c r="BK88" s="17" t="s">
        <v>158</v>
      </c>
      <c r="BL88" s="17" t="s">
        <v>158</v>
      </c>
      <c r="BM88" s="17" t="s">
        <v>158</v>
      </c>
      <c r="BN88" s="17">
        <v>37</v>
      </c>
      <c r="BO88" s="17" t="s">
        <v>158</v>
      </c>
      <c r="BP88" s="17" t="s">
        <v>158</v>
      </c>
      <c r="BQ88" s="17" t="s">
        <v>158</v>
      </c>
      <c r="BR88" s="17" t="s">
        <v>158</v>
      </c>
      <c r="BS88" s="17" t="s">
        <v>158</v>
      </c>
      <c r="BT88" s="17" t="s">
        <v>158</v>
      </c>
      <c r="BU88" s="17" t="s">
        <v>158</v>
      </c>
      <c r="BV88" s="17" t="s">
        <v>158</v>
      </c>
      <c r="BW88" s="17" t="s">
        <v>158</v>
      </c>
      <c r="BX88" s="17" t="s">
        <v>158</v>
      </c>
      <c r="BY88" s="17" t="s">
        <v>158</v>
      </c>
      <c r="BZ88" s="17" t="s">
        <v>158</v>
      </c>
      <c r="CA88" s="17" t="s">
        <v>158</v>
      </c>
      <c r="CB88" s="17" t="s">
        <v>158</v>
      </c>
      <c r="CC88" s="17" t="s">
        <v>158</v>
      </c>
      <c r="CD88" s="17" t="s">
        <v>158</v>
      </c>
      <c r="CE88" s="17" t="s">
        <v>158</v>
      </c>
      <c r="CF88" s="17" t="s">
        <v>158</v>
      </c>
      <c r="CG88" s="17" t="s">
        <v>158</v>
      </c>
      <c r="CH88" s="17" t="s">
        <v>158</v>
      </c>
      <c r="CI88" s="17" t="s">
        <v>158</v>
      </c>
      <c r="CJ88" s="17" t="s">
        <v>158</v>
      </c>
      <c r="CK88" s="17" t="s">
        <v>158</v>
      </c>
      <c r="CL88" s="17" t="s">
        <v>158</v>
      </c>
      <c r="CM88" s="17" t="s">
        <v>158</v>
      </c>
      <c r="CN88" s="17" t="s">
        <v>158</v>
      </c>
      <c r="CO88" s="17" t="s">
        <v>158</v>
      </c>
      <c r="CP88" s="17" t="s">
        <v>158</v>
      </c>
      <c r="CQ88" s="17" t="s">
        <v>158</v>
      </c>
      <c r="CR88" s="17" t="s">
        <v>158</v>
      </c>
      <c r="CS88" s="17" t="s">
        <v>158</v>
      </c>
      <c r="CT88" s="17" t="s">
        <v>158</v>
      </c>
      <c r="CU88" s="17" t="s">
        <v>158</v>
      </c>
      <c r="CV88" s="17" t="s">
        <v>158</v>
      </c>
      <c r="CW88" s="17" t="s">
        <v>158</v>
      </c>
      <c r="CX88" s="17" t="s">
        <v>158</v>
      </c>
      <c r="CY88" s="67" t="s">
        <v>158</v>
      </c>
    </row>
    <row r="89" spans="1:103" hidden="1" x14ac:dyDescent="0.2">
      <c r="A89" s="32" t="s">
        <v>7</v>
      </c>
      <c r="B89" s="14" t="s">
        <v>7</v>
      </c>
      <c r="C89" s="14" t="s">
        <v>20</v>
      </c>
      <c r="G89" s="28">
        <v>43691</v>
      </c>
      <c r="H89" s="16">
        <v>2019</v>
      </c>
      <c r="I89" s="135" t="s">
        <v>33</v>
      </c>
      <c r="J89" s="135">
        <v>10</v>
      </c>
      <c r="K89" s="136">
        <v>0.41477587729210202</v>
      </c>
      <c r="L89" s="5" t="s">
        <v>158</v>
      </c>
      <c r="M89" s="5">
        <v>3.9912120102526552E-2</v>
      </c>
      <c r="N89" s="5">
        <v>0.21645917246429877</v>
      </c>
      <c r="O89" s="5">
        <v>0.91005126327352626</v>
      </c>
      <c r="P89" s="5">
        <v>0.90675576711827177</v>
      </c>
      <c r="Q89" s="5">
        <v>2.3846759428780668</v>
      </c>
      <c r="R89" s="5">
        <v>2.0504393994873675</v>
      </c>
      <c r="S89" s="5">
        <v>0.86931526913218604</v>
      </c>
      <c r="T89" s="5">
        <v>7.3776089344562443</v>
      </c>
      <c r="U89" s="17">
        <f t="shared" si="7"/>
        <v>78.004212896654707</v>
      </c>
      <c r="V89" s="5" t="s">
        <v>483</v>
      </c>
      <c r="W89" s="5">
        <v>6.9075613465190408E-2</v>
      </c>
      <c r="X89" s="5">
        <v>2.1512760275296073E-2</v>
      </c>
      <c r="Y89" s="5">
        <v>2.9993879133061476E-2</v>
      </c>
      <c r="Z89" s="5">
        <v>2.6511740130806316E-2</v>
      </c>
      <c r="AA89" s="5" t="s">
        <v>482</v>
      </c>
      <c r="AB89" s="5" t="s">
        <v>483</v>
      </c>
      <c r="AC89" s="5" t="s">
        <v>438</v>
      </c>
      <c r="AD89" s="5">
        <v>0.14709399300435427</v>
      </c>
      <c r="AE89" s="17">
        <f t="shared" si="12"/>
        <v>0.12058225287354796</v>
      </c>
      <c r="AF89" s="5">
        <v>1.6477480776272427E-2</v>
      </c>
      <c r="AG89" s="18">
        <f>AF89*(5/K89)</f>
        <v>0.19863113645671726</v>
      </c>
      <c r="AH89" s="279">
        <v>5.1242751229538275</v>
      </c>
      <c r="AI89" s="280">
        <v>-0.2</v>
      </c>
      <c r="AJ89" s="280">
        <v>-0.1</v>
      </c>
      <c r="AK89" s="280">
        <v>-0.2</v>
      </c>
      <c r="AL89" s="280">
        <v>-0.2</v>
      </c>
      <c r="AM89" s="280">
        <v>-0.3</v>
      </c>
      <c r="AN89" s="280">
        <v>1.1640607795639726</v>
      </c>
      <c r="AO89" s="280">
        <v>0.542274095280041</v>
      </c>
      <c r="AP89" s="280">
        <v>-0.2</v>
      </c>
      <c r="AQ89" s="280">
        <v>0.72747069906285933</v>
      </c>
      <c r="AR89" s="280">
        <v>-0.1</v>
      </c>
      <c r="AS89" s="5" t="s">
        <v>158</v>
      </c>
      <c r="AT89" s="5" t="s">
        <v>158</v>
      </c>
      <c r="AU89" s="5" t="s">
        <v>158</v>
      </c>
      <c r="AV89" s="5" t="s">
        <v>158</v>
      </c>
      <c r="AW89" s="5" t="s">
        <v>158</v>
      </c>
      <c r="BC89" s="17" t="s">
        <v>158</v>
      </c>
      <c r="BD89" s="17" t="s">
        <v>158</v>
      </c>
      <c r="BE89" s="17" t="s">
        <v>158</v>
      </c>
      <c r="BF89" s="17" t="s">
        <v>158</v>
      </c>
      <c r="BG89" s="17" t="s">
        <v>158</v>
      </c>
      <c r="BH89" s="17" t="s">
        <v>158</v>
      </c>
      <c r="BI89" s="17" t="s">
        <v>158</v>
      </c>
      <c r="BJ89" s="17" t="s">
        <v>158</v>
      </c>
      <c r="BK89" s="17" t="s">
        <v>158</v>
      </c>
      <c r="BL89" s="17" t="s">
        <v>158</v>
      </c>
      <c r="BM89" s="17" t="s">
        <v>158</v>
      </c>
      <c r="BN89" s="17">
        <v>140</v>
      </c>
      <c r="BO89" s="17" t="s">
        <v>158</v>
      </c>
      <c r="BP89" s="17" t="s">
        <v>158</v>
      </c>
      <c r="BQ89" s="17" t="s">
        <v>158</v>
      </c>
      <c r="BR89" s="17" t="s">
        <v>158</v>
      </c>
      <c r="BS89" s="17" t="s">
        <v>158</v>
      </c>
      <c r="BT89" s="17" t="s">
        <v>158</v>
      </c>
      <c r="BU89" s="17" t="s">
        <v>158</v>
      </c>
      <c r="BV89" s="17" t="s">
        <v>158</v>
      </c>
      <c r="BW89" s="17" t="s">
        <v>158</v>
      </c>
      <c r="BX89" s="17" t="s">
        <v>158</v>
      </c>
      <c r="BY89" s="17" t="s">
        <v>158</v>
      </c>
      <c r="BZ89" s="17" t="s">
        <v>158</v>
      </c>
      <c r="CA89" s="17" t="s">
        <v>158</v>
      </c>
      <c r="CB89" s="17" t="s">
        <v>158</v>
      </c>
      <c r="CC89" s="17" t="s">
        <v>158</v>
      </c>
      <c r="CD89" s="17" t="s">
        <v>158</v>
      </c>
      <c r="CE89" s="17" t="s">
        <v>158</v>
      </c>
      <c r="CF89" s="17" t="s">
        <v>158</v>
      </c>
      <c r="CG89" s="17" t="s">
        <v>158</v>
      </c>
      <c r="CH89" s="17" t="s">
        <v>158</v>
      </c>
      <c r="CI89" s="17" t="s">
        <v>158</v>
      </c>
      <c r="CJ89" s="17" t="s">
        <v>158</v>
      </c>
      <c r="CK89" s="17" t="s">
        <v>158</v>
      </c>
      <c r="CL89" s="17" t="s">
        <v>158</v>
      </c>
      <c r="CM89" s="17" t="s">
        <v>158</v>
      </c>
      <c r="CN89" s="17" t="s">
        <v>158</v>
      </c>
      <c r="CO89" s="17" t="s">
        <v>158</v>
      </c>
      <c r="CP89" s="17" t="s">
        <v>158</v>
      </c>
      <c r="CQ89" s="17" t="s">
        <v>158</v>
      </c>
      <c r="CR89" s="17" t="s">
        <v>158</v>
      </c>
      <c r="CS89" s="17" t="s">
        <v>158</v>
      </c>
      <c r="CT89" s="17" t="s">
        <v>158</v>
      </c>
      <c r="CU89" s="17" t="s">
        <v>158</v>
      </c>
      <c r="CV89" s="17" t="s">
        <v>158</v>
      </c>
      <c r="CW89" s="17" t="s">
        <v>158</v>
      </c>
      <c r="CX89" s="17" t="s">
        <v>158</v>
      </c>
      <c r="CY89" s="67" t="s">
        <v>158</v>
      </c>
    </row>
    <row r="90" spans="1:103" hidden="1" x14ac:dyDescent="0.2">
      <c r="A90" s="32" t="s">
        <v>8</v>
      </c>
      <c r="B90" s="14" t="s">
        <v>8</v>
      </c>
      <c r="C90" s="14" t="s">
        <v>20</v>
      </c>
      <c r="G90" s="28">
        <v>43712</v>
      </c>
      <c r="H90" s="16">
        <v>2019</v>
      </c>
      <c r="I90" s="135" t="s">
        <v>33</v>
      </c>
      <c r="J90" s="135">
        <v>10</v>
      </c>
      <c r="K90" s="136">
        <v>0.42815814850533396</v>
      </c>
      <c r="L90" s="5" t="s">
        <v>158</v>
      </c>
      <c r="M90" s="5" t="s">
        <v>485</v>
      </c>
      <c r="N90" s="5">
        <v>5.5020698950611339E-2</v>
      </c>
      <c r="O90" s="5">
        <v>0.42993164532588812</v>
      </c>
      <c r="P90" s="5">
        <v>0.38628092808318087</v>
      </c>
      <c r="Q90" s="5">
        <v>1.9109078656012319</v>
      </c>
      <c r="R90" s="5">
        <v>1.453643978049485</v>
      </c>
      <c r="S90" s="5">
        <v>0.82737075190141518</v>
      </c>
      <c r="T90" s="5">
        <v>5.0631558679118127</v>
      </c>
      <c r="U90" s="17">
        <f t="shared" si="7"/>
        <v>54.61620847524717</v>
      </c>
      <c r="V90" s="5" t="s">
        <v>483</v>
      </c>
      <c r="W90" s="5">
        <v>4.1963125618521668E-2</v>
      </c>
      <c r="X90" s="5">
        <v>1.8856955595146985E-2</v>
      </c>
      <c r="Y90" s="5">
        <v>3.8942599699661018E-2</v>
      </c>
      <c r="Z90" s="5" t="s">
        <v>484</v>
      </c>
      <c r="AA90" s="5" t="s">
        <v>482</v>
      </c>
      <c r="AB90" s="5" t="s">
        <v>483</v>
      </c>
      <c r="AC90" s="5" t="s">
        <v>438</v>
      </c>
      <c r="AD90" s="5">
        <v>9.9762680913329668E-2</v>
      </c>
      <c r="AE90" s="17">
        <f t="shared" si="12"/>
        <v>9.9762680913329668E-2</v>
      </c>
      <c r="AF90" s="5">
        <v>-0.01</v>
      </c>
      <c r="AG90" s="18" t="s">
        <v>158</v>
      </c>
      <c r="AH90" s="279">
        <v>14.363227170428972</v>
      </c>
      <c r="AI90" s="280">
        <v>-0.2</v>
      </c>
      <c r="AJ90" s="280">
        <v>-0.1</v>
      </c>
      <c r="AK90" s="280">
        <v>-0.2</v>
      </c>
      <c r="AL90" s="280">
        <v>-0.2</v>
      </c>
      <c r="AM90" s="280">
        <v>-0.3</v>
      </c>
      <c r="AN90" s="280">
        <v>2.4795744390643115</v>
      </c>
      <c r="AO90" s="280">
        <v>0.37764441110277569</v>
      </c>
      <c r="AP90" s="280">
        <v>-0.2</v>
      </c>
      <c r="AQ90" s="280">
        <v>0.88047011752938253</v>
      </c>
      <c r="AR90" s="280">
        <v>-0.1</v>
      </c>
      <c r="AS90" s="5" t="s">
        <v>158</v>
      </c>
      <c r="AT90" s="5" t="s">
        <v>158</v>
      </c>
      <c r="AU90" s="5" t="s">
        <v>158</v>
      </c>
      <c r="AV90" s="5" t="s">
        <v>158</v>
      </c>
      <c r="AW90" s="5" t="s">
        <v>158</v>
      </c>
      <c r="BC90" s="17" t="s">
        <v>158</v>
      </c>
      <c r="BD90" s="17" t="s">
        <v>158</v>
      </c>
      <c r="BE90" s="17" t="s">
        <v>158</v>
      </c>
      <c r="BF90" s="17" t="s">
        <v>158</v>
      </c>
      <c r="BG90" s="17" t="s">
        <v>158</v>
      </c>
      <c r="BH90" s="17" t="s">
        <v>158</v>
      </c>
      <c r="BI90" s="17" t="s">
        <v>158</v>
      </c>
      <c r="BJ90" s="17" t="s">
        <v>158</v>
      </c>
      <c r="BK90" s="17" t="s">
        <v>158</v>
      </c>
      <c r="BL90" s="17" t="s">
        <v>158</v>
      </c>
      <c r="BM90" s="17" t="s">
        <v>158</v>
      </c>
      <c r="BN90" s="17">
        <v>120</v>
      </c>
      <c r="BO90" s="17" t="s">
        <v>158</v>
      </c>
      <c r="BP90" s="17" t="s">
        <v>158</v>
      </c>
      <c r="BQ90" s="17" t="s">
        <v>158</v>
      </c>
      <c r="BR90" s="17" t="s">
        <v>158</v>
      </c>
      <c r="BS90" s="17" t="s">
        <v>158</v>
      </c>
      <c r="BT90" s="17" t="s">
        <v>158</v>
      </c>
      <c r="BU90" s="17" t="s">
        <v>158</v>
      </c>
      <c r="BV90" s="17" t="s">
        <v>158</v>
      </c>
      <c r="BW90" s="17" t="s">
        <v>158</v>
      </c>
      <c r="BX90" s="17" t="s">
        <v>158</v>
      </c>
      <c r="BY90" s="17" t="s">
        <v>158</v>
      </c>
      <c r="BZ90" s="17" t="s">
        <v>158</v>
      </c>
      <c r="CA90" s="17" t="s">
        <v>158</v>
      </c>
      <c r="CB90" s="17" t="s">
        <v>158</v>
      </c>
      <c r="CC90" s="17" t="s">
        <v>158</v>
      </c>
      <c r="CD90" s="17" t="s">
        <v>158</v>
      </c>
      <c r="CE90" s="17" t="s">
        <v>158</v>
      </c>
      <c r="CF90" s="17" t="s">
        <v>158</v>
      </c>
      <c r="CG90" s="17" t="s">
        <v>158</v>
      </c>
      <c r="CH90" s="17" t="s">
        <v>158</v>
      </c>
      <c r="CI90" s="17" t="s">
        <v>158</v>
      </c>
      <c r="CJ90" s="17" t="s">
        <v>158</v>
      </c>
      <c r="CK90" s="17" t="s">
        <v>158</v>
      </c>
      <c r="CL90" s="17" t="s">
        <v>158</v>
      </c>
      <c r="CM90" s="17" t="s">
        <v>158</v>
      </c>
      <c r="CN90" s="17" t="s">
        <v>158</v>
      </c>
      <c r="CO90" s="17" t="s">
        <v>158</v>
      </c>
      <c r="CP90" s="17" t="s">
        <v>158</v>
      </c>
      <c r="CQ90" s="17" t="s">
        <v>158</v>
      </c>
      <c r="CR90" s="17" t="s">
        <v>158</v>
      </c>
      <c r="CS90" s="17" t="s">
        <v>158</v>
      </c>
      <c r="CT90" s="17" t="s">
        <v>158</v>
      </c>
      <c r="CU90" s="17" t="s">
        <v>158</v>
      </c>
      <c r="CV90" s="17" t="s">
        <v>158</v>
      </c>
      <c r="CW90" s="17" t="s">
        <v>158</v>
      </c>
      <c r="CX90" s="17" t="s">
        <v>158</v>
      </c>
      <c r="CY90" s="67" t="s">
        <v>158</v>
      </c>
    </row>
    <row r="91" spans="1:103" hidden="1" x14ac:dyDescent="0.2">
      <c r="A91" s="32" t="s">
        <v>29</v>
      </c>
      <c r="B91" s="14" t="s">
        <v>29</v>
      </c>
      <c r="C91" s="14" t="s">
        <v>20</v>
      </c>
      <c r="G91" s="28">
        <v>43703</v>
      </c>
      <c r="H91" s="16">
        <v>2019</v>
      </c>
      <c r="I91" s="135" t="s">
        <v>33</v>
      </c>
      <c r="J91" s="135">
        <v>10</v>
      </c>
      <c r="K91" s="136">
        <v>0.25776381066721099</v>
      </c>
      <c r="L91" s="5" t="s">
        <v>158</v>
      </c>
      <c r="M91" s="5">
        <v>1.8235294117647058E-2</v>
      </c>
      <c r="N91" s="5">
        <v>5.033088235294117E-2</v>
      </c>
      <c r="O91" s="5">
        <v>0.31844669117647056</v>
      </c>
      <c r="P91" s="5">
        <v>0.35080882352941178</v>
      </c>
      <c r="Q91" s="5">
        <v>1.0370863970588236</v>
      </c>
      <c r="R91" s="5">
        <v>0.78079044117647045</v>
      </c>
      <c r="S91" s="5">
        <v>0.3138786764705882</v>
      </c>
      <c r="T91" s="5">
        <v>2.869577205882353</v>
      </c>
      <c r="U91" s="17">
        <f t="shared" si="7"/>
        <v>48.858068474259689</v>
      </c>
      <c r="V91" s="5" t="s">
        <v>483</v>
      </c>
      <c r="W91" s="5">
        <v>3.6886673667901416E-2</v>
      </c>
      <c r="X91" s="5" t="s">
        <v>483</v>
      </c>
      <c r="Y91" s="5">
        <v>2.4130546386092033E-2</v>
      </c>
      <c r="Z91" s="5" t="s">
        <v>484</v>
      </c>
      <c r="AA91" s="5" t="s">
        <v>482</v>
      </c>
      <c r="AB91" s="5" t="s">
        <v>483</v>
      </c>
      <c r="AC91" s="5" t="s">
        <v>438</v>
      </c>
      <c r="AD91" s="5">
        <v>6.1017220053993446E-2</v>
      </c>
      <c r="AE91" s="17">
        <f t="shared" si="12"/>
        <v>6.1017220053993446E-2</v>
      </c>
      <c r="AF91" s="5">
        <v>3.4742647058823524E-2</v>
      </c>
      <c r="AG91" s="18">
        <f>AF91*(5/K91)</f>
        <v>0.67392406577350039</v>
      </c>
      <c r="AH91" s="279">
        <v>23.714265821903503</v>
      </c>
      <c r="AI91" s="280">
        <v>-0.2</v>
      </c>
      <c r="AJ91" s="280">
        <v>-0.1</v>
      </c>
      <c r="AK91" s="280">
        <v>-0.2</v>
      </c>
      <c r="AL91" s="280">
        <v>-0.2</v>
      </c>
      <c r="AM91" s="280">
        <v>-0.3</v>
      </c>
      <c r="AN91" s="280">
        <v>2.5174406461045744</v>
      </c>
      <c r="AO91" s="280">
        <v>0.4015456380978904</v>
      </c>
      <c r="AP91" s="280">
        <v>-0.2</v>
      </c>
      <c r="AQ91" s="280">
        <v>0.7874631576504445</v>
      </c>
      <c r="AR91" s="280">
        <v>0.10547007356866021</v>
      </c>
      <c r="AS91" s="5" t="s">
        <v>158</v>
      </c>
      <c r="AT91" s="5" t="s">
        <v>158</v>
      </c>
      <c r="AU91" s="5" t="s">
        <v>158</v>
      </c>
      <c r="AV91" s="5" t="s">
        <v>158</v>
      </c>
      <c r="AW91" s="5" t="s">
        <v>158</v>
      </c>
      <c r="BC91" s="17" t="s">
        <v>158</v>
      </c>
      <c r="BD91" s="17" t="s">
        <v>158</v>
      </c>
      <c r="BE91" s="17" t="s">
        <v>158</v>
      </c>
      <c r="BF91" s="17" t="s">
        <v>158</v>
      </c>
      <c r="BG91" s="17" t="s">
        <v>158</v>
      </c>
      <c r="BH91" s="17" t="s">
        <v>158</v>
      </c>
      <c r="BI91" s="17" t="s">
        <v>158</v>
      </c>
      <c r="BJ91" s="17" t="s">
        <v>158</v>
      </c>
      <c r="BK91" s="17" t="s">
        <v>158</v>
      </c>
      <c r="BL91" s="17" t="s">
        <v>158</v>
      </c>
      <c r="BM91" s="17" t="s">
        <v>158</v>
      </c>
      <c r="BN91" s="17">
        <v>64</v>
      </c>
      <c r="BO91" s="17" t="s">
        <v>158</v>
      </c>
      <c r="BP91" s="17" t="s">
        <v>158</v>
      </c>
      <c r="BQ91" s="17" t="s">
        <v>158</v>
      </c>
      <c r="BR91" s="17" t="s">
        <v>158</v>
      </c>
      <c r="BS91" s="17" t="s">
        <v>158</v>
      </c>
      <c r="BT91" s="17" t="s">
        <v>158</v>
      </c>
      <c r="BU91" s="17" t="s">
        <v>158</v>
      </c>
      <c r="BV91" s="17" t="s">
        <v>158</v>
      </c>
      <c r="BW91" s="17" t="s">
        <v>158</v>
      </c>
      <c r="BX91" s="17" t="s">
        <v>158</v>
      </c>
      <c r="BY91" s="17" t="s">
        <v>158</v>
      </c>
      <c r="BZ91" s="17" t="s">
        <v>158</v>
      </c>
      <c r="CA91" s="17" t="s">
        <v>158</v>
      </c>
      <c r="CB91" s="17" t="s">
        <v>158</v>
      </c>
      <c r="CC91" s="17" t="s">
        <v>158</v>
      </c>
      <c r="CD91" s="17" t="s">
        <v>158</v>
      </c>
      <c r="CE91" s="17" t="s">
        <v>158</v>
      </c>
      <c r="CF91" s="17" t="s">
        <v>158</v>
      </c>
      <c r="CG91" s="17" t="s">
        <v>158</v>
      </c>
      <c r="CH91" s="17" t="s">
        <v>158</v>
      </c>
      <c r="CI91" s="17" t="s">
        <v>158</v>
      </c>
      <c r="CJ91" s="17" t="s">
        <v>158</v>
      </c>
      <c r="CK91" s="17" t="s">
        <v>158</v>
      </c>
      <c r="CL91" s="17" t="s">
        <v>158</v>
      </c>
      <c r="CM91" s="17" t="s">
        <v>158</v>
      </c>
      <c r="CN91" s="17" t="s">
        <v>158</v>
      </c>
      <c r="CO91" s="17" t="s">
        <v>158</v>
      </c>
      <c r="CP91" s="17" t="s">
        <v>158</v>
      </c>
      <c r="CQ91" s="17" t="s">
        <v>158</v>
      </c>
      <c r="CR91" s="17" t="s">
        <v>158</v>
      </c>
      <c r="CS91" s="17" t="s">
        <v>158</v>
      </c>
      <c r="CT91" s="17" t="s">
        <v>158</v>
      </c>
      <c r="CU91" s="17" t="s">
        <v>158</v>
      </c>
      <c r="CV91" s="17" t="s">
        <v>158</v>
      </c>
      <c r="CW91" s="17" t="s">
        <v>158</v>
      </c>
      <c r="CX91" s="17" t="s">
        <v>158</v>
      </c>
      <c r="CY91" s="67" t="s">
        <v>158</v>
      </c>
    </row>
    <row r="92" spans="1:103" hidden="1" x14ac:dyDescent="0.2">
      <c r="A92" s="32" t="s">
        <v>30</v>
      </c>
      <c r="B92" s="14" t="s">
        <v>30</v>
      </c>
      <c r="C92" s="14" t="s">
        <v>20</v>
      </c>
      <c r="G92" s="28">
        <v>43720</v>
      </c>
      <c r="H92" s="16">
        <v>2019</v>
      </c>
      <c r="I92" s="135" t="s">
        <v>33</v>
      </c>
      <c r="J92" s="135">
        <v>5</v>
      </c>
      <c r="K92" s="136">
        <v>0.34338783314476201</v>
      </c>
      <c r="L92" s="5" t="s">
        <v>158</v>
      </c>
      <c r="M92" s="5">
        <v>0.32939973412414358</v>
      </c>
      <c r="N92" s="5">
        <v>0.81547192964515802</v>
      </c>
      <c r="O92" s="5">
        <v>2.9470600265875859</v>
      </c>
      <c r="P92" s="5">
        <v>2.8493199713672155</v>
      </c>
      <c r="Q92" s="5">
        <v>5.8233766233766229</v>
      </c>
      <c r="R92" s="5">
        <v>5.3956437263523878</v>
      </c>
      <c r="S92" s="5">
        <v>1.7062480826260356</v>
      </c>
      <c r="T92" s="5">
        <v>19.866520094079149</v>
      </c>
      <c r="U92" s="17">
        <f t="shared" si="7"/>
        <v>247.78397019585131</v>
      </c>
      <c r="V92" s="5" t="s">
        <v>483</v>
      </c>
      <c r="W92" s="5">
        <v>6.7278790660348614E-2</v>
      </c>
      <c r="X92" s="5">
        <v>2.9757371587653122E-2</v>
      </c>
      <c r="Y92" s="5">
        <v>4.3582571384438613E-2</v>
      </c>
      <c r="Z92" s="5" t="s">
        <v>484</v>
      </c>
      <c r="AA92" s="5">
        <v>2.0737799695178239E-2</v>
      </c>
      <c r="AB92" s="5">
        <v>1.5398213134833114E-2</v>
      </c>
      <c r="AC92" s="5" t="s">
        <v>438</v>
      </c>
      <c r="AD92" s="5">
        <v>0.17675474646245171</v>
      </c>
      <c r="AE92" s="17">
        <f t="shared" si="12"/>
        <v>0.17675474646245171</v>
      </c>
      <c r="AF92" s="5">
        <v>-0.01</v>
      </c>
      <c r="AG92" s="18" t="s">
        <v>158</v>
      </c>
      <c r="AH92" s="279">
        <v>21.903546099290782</v>
      </c>
      <c r="AI92" s="280">
        <v>-0.2</v>
      </c>
      <c r="AJ92" s="280">
        <v>-0.1</v>
      </c>
      <c r="AK92" s="280">
        <v>-0.2</v>
      </c>
      <c r="AL92" s="280">
        <v>-0.2</v>
      </c>
      <c r="AM92" s="280">
        <v>-0.3</v>
      </c>
      <c r="AN92" s="280">
        <v>2.1665484633569743</v>
      </c>
      <c r="AO92" s="280">
        <v>0.54358156028368798</v>
      </c>
      <c r="AP92" s="280">
        <v>-0.2</v>
      </c>
      <c r="AQ92" s="280">
        <v>0.88122537431048076</v>
      </c>
      <c r="AR92" s="280">
        <v>-0.1</v>
      </c>
      <c r="AS92" s="5" t="s">
        <v>158</v>
      </c>
      <c r="AT92" s="5" t="s">
        <v>158</v>
      </c>
      <c r="AU92" s="5" t="s">
        <v>158</v>
      </c>
      <c r="AV92" s="5" t="s">
        <v>158</v>
      </c>
      <c r="AW92" s="5" t="s">
        <v>158</v>
      </c>
      <c r="BC92" s="17" t="s">
        <v>158</v>
      </c>
      <c r="BD92" s="17" t="s">
        <v>158</v>
      </c>
      <c r="BE92" s="17" t="s">
        <v>158</v>
      </c>
      <c r="BF92" s="17" t="s">
        <v>158</v>
      </c>
      <c r="BG92" s="17" t="s">
        <v>158</v>
      </c>
      <c r="BH92" s="17" t="s">
        <v>158</v>
      </c>
      <c r="BI92" s="17" t="s">
        <v>158</v>
      </c>
      <c r="BJ92" s="17" t="s">
        <v>158</v>
      </c>
      <c r="BK92" s="17" t="s">
        <v>158</v>
      </c>
      <c r="BL92" s="17" t="s">
        <v>158</v>
      </c>
      <c r="BM92" s="17" t="s">
        <v>158</v>
      </c>
      <c r="BN92" s="17">
        <v>80</v>
      </c>
      <c r="BO92" s="17" t="s">
        <v>158</v>
      </c>
      <c r="BP92" s="17" t="s">
        <v>158</v>
      </c>
      <c r="BQ92" s="17" t="s">
        <v>158</v>
      </c>
      <c r="BR92" s="17" t="s">
        <v>158</v>
      </c>
      <c r="BS92" s="17" t="s">
        <v>158</v>
      </c>
      <c r="BT92" s="17" t="s">
        <v>158</v>
      </c>
      <c r="BU92" s="17" t="s">
        <v>158</v>
      </c>
      <c r="BV92" s="17" t="s">
        <v>158</v>
      </c>
      <c r="BW92" s="17" t="s">
        <v>158</v>
      </c>
      <c r="BX92" s="17" t="s">
        <v>158</v>
      </c>
      <c r="BY92" s="17" t="s">
        <v>158</v>
      </c>
      <c r="BZ92" s="17" t="s">
        <v>158</v>
      </c>
      <c r="CA92" s="17" t="s">
        <v>158</v>
      </c>
      <c r="CB92" s="17" t="s">
        <v>158</v>
      </c>
      <c r="CC92" s="17" t="s">
        <v>158</v>
      </c>
      <c r="CD92" s="17" t="s">
        <v>158</v>
      </c>
      <c r="CE92" s="17" t="s">
        <v>158</v>
      </c>
      <c r="CF92" s="17" t="s">
        <v>158</v>
      </c>
      <c r="CG92" s="17" t="s">
        <v>158</v>
      </c>
      <c r="CH92" s="17" t="s">
        <v>158</v>
      </c>
      <c r="CI92" s="17" t="s">
        <v>158</v>
      </c>
      <c r="CJ92" s="17" t="s">
        <v>158</v>
      </c>
      <c r="CK92" s="17" t="s">
        <v>158</v>
      </c>
      <c r="CL92" s="17" t="s">
        <v>158</v>
      </c>
      <c r="CM92" s="17" t="s">
        <v>158</v>
      </c>
      <c r="CN92" s="17" t="s">
        <v>158</v>
      </c>
      <c r="CO92" s="17" t="s">
        <v>158</v>
      </c>
      <c r="CP92" s="17" t="s">
        <v>158</v>
      </c>
      <c r="CQ92" s="17" t="s">
        <v>158</v>
      </c>
      <c r="CR92" s="17" t="s">
        <v>158</v>
      </c>
      <c r="CS92" s="17" t="s">
        <v>158</v>
      </c>
      <c r="CT92" s="17" t="s">
        <v>158</v>
      </c>
      <c r="CU92" s="17" t="s">
        <v>158</v>
      </c>
      <c r="CV92" s="17" t="s">
        <v>158</v>
      </c>
      <c r="CW92" s="17" t="s">
        <v>158</v>
      </c>
      <c r="CX92" s="17" t="s">
        <v>158</v>
      </c>
      <c r="CY92" s="67" t="s">
        <v>158</v>
      </c>
    </row>
    <row r="93" spans="1:103" hidden="1" x14ac:dyDescent="0.2">
      <c r="A93" s="32" t="s">
        <v>9</v>
      </c>
      <c r="B93" s="14" t="s">
        <v>9</v>
      </c>
      <c r="C93" s="14" t="s">
        <v>20</v>
      </c>
      <c r="G93" s="28">
        <v>43693</v>
      </c>
      <c r="H93" s="16">
        <v>2019</v>
      </c>
      <c r="I93" s="135" t="s">
        <v>33</v>
      </c>
      <c r="J93" s="135">
        <v>10</v>
      </c>
      <c r="K93" s="136">
        <v>0.38279621612951198</v>
      </c>
      <c r="L93" s="5" t="s">
        <v>158</v>
      </c>
      <c r="M93" s="5" t="s">
        <v>485</v>
      </c>
      <c r="N93" s="5">
        <v>0.12531170805879371</v>
      </c>
      <c r="O93" s="5">
        <v>0.70715661429295495</v>
      </c>
      <c r="P93" s="5">
        <v>0.47839837810440955</v>
      </c>
      <c r="Q93" s="5">
        <v>2.0338773441459703</v>
      </c>
      <c r="R93" s="5">
        <v>1.7000506842372023</v>
      </c>
      <c r="S93" s="5">
        <v>0.71883426254434868</v>
      </c>
      <c r="T93" s="5">
        <v>5.7636289913836798</v>
      </c>
      <c r="U93" s="17">
        <f t="shared" si="7"/>
        <v>69.034520073352951</v>
      </c>
      <c r="V93" s="5" t="s">
        <v>483</v>
      </c>
      <c r="W93" s="5">
        <v>3.7533461434296971E-2</v>
      </c>
      <c r="X93" s="5">
        <v>1.8260685769526004E-2</v>
      </c>
      <c r="Y93" s="5">
        <v>3.1073313166775973E-2</v>
      </c>
      <c r="Z93" s="5">
        <v>4.746055593872088E-2</v>
      </c>
      <c r="AA93" s="5" t="s">
        <v>482</v>
      </c>
      <c r="AB93" s="5" t="s">
        <v>483</v>
      </c>
      <c r="AC93" s="5" t="s">
        <v>438</v>
      </c>
      <c r="AD93" s="5">
        <v>0.13432801630931984</v>
      </c>
      <c r="AE93" s="17">
        <f t="shared" si="12"/>
        <v>8.6867460370598948E-2</v>
      </c>
      <c r="AF93" s="5">
        <v>-0.01</v>
      </c>
      <c r="AG93" s="18" t="s">
        <v>158</v>
      </c>
      <c r="AH93" s="279">
        <v>2.4312307486272933</v>
      </c>
      <c r="AI93" s="280">
        <v>-0.2</v>
      </c>
      <c r="AJ93" s="280">
        <v>-0.1</v>
      </c>
      <c r="AK93" s="280">
        <v>-0.2</v>
      </c>
      <c r="AL93" s="280">
        <v>-0.2</v>
      </c>
      <c r="AM93" s="280">
        <v>-0.3</v>
      </c>
      <c r="AN93" s="280">
        <v>0.48600508905852413</v>
      </c>
      <c r="AO93" s="280">
        <v>-0.3</v>
      </c>
      <c r="AP93" s="280">
        <v>-0.2</v>
      </c>
      <c r="AQ93" s="280">
        <v>0.20090620954421679</v>
      </c>
      <c r="AR93" s="280">
        <v>-0.1</v>
      </c>
      <c r="AS93" s="5" t="s">
        <v>158</v>
      </c>
      <c r="AT93" s="5" t="s">
        <v>158</v>
      </c>
      <c r="AU93" s="5" t="s">
        <v>158</v>
      </c>
      <c r="AV93" s="5" t="s">
        <v>158</v>
      </c>
      <c r="AW93" s="5" t="s">
        <v>158</v>
      </c>
      <c r="BC93" s="17" t="s">
        <v>158</v>
      </c>
      <c r="BD93" s="17" t="s">
        <v>158</v>
      </c>
      <c r="BE93" s="17" t="s">
        <v>158</v>
      </c>
      <c r="BF93" s="17" t="s">
        <v>158</v>
      </c>
      <c r="BG93" s="17" t="s">
        <v>158</v>
      </c>
      <c r="BH93" s="17" t="s">
        <v>158</v>
      </c>
      <c r="BI93" s="17" t="s">
        <v>158</v>
      </c>
      <c r="BJ93" s="17" t="s">
        <v>158</v>
      </c>
      <c r="BK93" s="17" t="s">
        <v>158</v>
      </c>
      <c r="BL93" s="17" t="s">
        <v>158</v>
      </c>
      <c r="BM93" s="17" t="s">
        <v>158</v>
      </c>
      <c r="BN93" s="17">
        <v>28</v>
      </c>
      <c r="BO93" s="17" t="s">
        <v>158</v>
      </c>
      <c r="BP93" s="17" t="s">
        <v>158</v>
      </c>
      <c r="BQ93" s="17" t="s">
        <v>158</v>
      </c>
      <c r="BR93" s="17" t="s">
        <v>158</v>
      </c>
      <c r="BS93" s="17" t="s">
        <v>158</v>
      </c>
      <c r="BT93" s="17" t="s">
        <v>158</v>
      </c>
      <c r="BU93" s="17" t="s">
        <v>158</v>
      </c>
      <c r="BV93" s="17" t="s">
        <v>158</v>
      </c>
      <c r="BW93" s="17" t="s">
        <v>158</v>
      </c>
      <c r="BX93" s="17" t="s">
        <v>158</v>
      </c>
      <c r="BY93" s="17" t="s">
        <v>158</v>
      </c>
      <c r="BZ93" s="17" t="s">
        <v>158</v>
      </c>
      <c r="CA93" s="17" t="s">
        <v>158</v>
      </c>
      <c r="CB93" s="17" t="s">
        <v>158</v>
      </c>
      <c r="CC93" s="17" t="s">
        <v>158</v>
      </c>
      <c r="CD93" s="17" t="s">
        <v>158</v>
      </c>
      <c r="CE93" s="17" t="s">
        <v>158</v>
      </c>
      <c r="CF93" s="17" t="s">
        <v>158</v>
      </c>
      <c r="CG93" s="17" t="s">
        <v>158</v>
      </c>
      <c r="CH93" s="17" t="s">
        <v>158</v>
      </c>
      <c r="CI93" s="17" t="s">
        <v>158</v>
      </c>
      <c r="CJ93" s="17" t="s">
        <v>158</v>
      </c>
      <c r="CK93" s="17" t="s">
        <v>158</v>
      </c>
      <c r="CL93" s="17" t="s">
        <v>158</v>
      </c>
      <c r="CM93" s="17" t="s">
        <v>158</v>
      </c>
      <c r="CN93" s="17" t="s">
        <v>158</v>
      </c>
      <c r="CO93" s="17" t="s">
        <v>158</v>
      </c>
      <c r="CP93" s="17" t="s">
        <v>158</v>
      </c>
      <c r="CQ93" s="17" t="s">
        <v>158</v>
      </c>
      <c r="CR93" s="17" t="s">
        <v>158</v>
      </c>
      <c r="CS93" s="17" t="s">
        <v>158</v>
      </c>
      <c r="CT93" s="17" t="s">
        <v>158</v>
      </c>
      <c r="CU93" s="17" t="s">
        <v>158</v>
      </c>
      <c r="CV93" s="17" t="s">
        <v>158</v>
      </c>
      <c r="CW93" s="17" t="s">
        <v>158</v>
      </c>
      <c r="CX93" s="17" t="s">
        <v>158</v>
      </c>
      <c r="CY93" s="67" t="s">
        <v>158</v>
      </c>
    </row>
    <row r="94" spans="1:103" hidden="1" x14ac:dyDescent="0.2">
      <c r="A94" s="32" t="s">
        <v>10</v>
      </c>
      <c r="B94" s="14" t="s">
        <v>10</v>
      </c>
      <c r="C94" s="14" t="s">
        <v>20</v>
      </c>
      <c r="G94" s="28">
        <v>43684</v>
      </c>
      <c r="H94" s="16">
        <v>2019</v>
      </c>
      <c r="I94" s="135" t="s">
        <v>33</v>
      </c>
      <c r="J94" s="135">
        <v>10</v>
      </c>
      <c r="K94" s="136">
        <v>0.365732018175774</v>
      </c>
      <c r="L94" s="5" t="s">
        <v>158</v>
      </c>
      <c r="M94" s="5">
        <v>2.372640552060077E-2</v>
      </c>
      <c r="N94" s="5">
        <v>6.8794398213923275E-2</v>
      </c>
      <c r="O94" s="5">
        <v>0.37298558960828093</v>
      </c>
      <c r="P94" s="5">
        <v>0.33863405723564038</v>
      </c>
      <c r="Q94" s="5">
        <v>1.4297138217982546</v>
      </c>
      <c r="R94" s="5">
        <v>1.1498883702049929</v>
      </c>
      <c r="S94" s="5">
        <v>0.47897300588593472</v>
      </c>
      <c r="T94" s="5">
        <v>3.8627156484676273</v>
      </c>
      <c r="U94" s="17">
        <f t="shared" si="7"/>
        <v>48.178466966191117</v>
      </c>
      <c r="V94" s="5" t="s">
        <v>483</v>
      </c>
      <c r="W94" s="5">
        <v>0.11877956305425678</v>
      </c>
      <c r="X94" s="5">
        <v>8.5177941729453185E-2</v>
      </c>
      <c r="Y94" s="5">
        <v>0.1431994329356116</v>
      </c>
      <c r="Z94" s="5">
        <v>4.2798326760831285E-2</v>
      </c>
      <c r="AA94" s="5">
        <v>3.4394182931485662E-2</v>
      </c>
      <c r="AB94" s="5">
        <v>2.5257293465773597E-2</v>
      </c>
      <c r="AC94" s="5" t="s">
        <v>438</v>
      </c>
      <c r="AD94" s="5">
        <v>0.44960674087741209</v>
      </c>
      <c r="AE94" s="17">
        <f t="shared" si="12"/>
        <v>0.40680841411658086</v>
      </c>
      <c r="AF94" s="5">
        <v>-0.01</v>
      </c>
      <c r="AG94" s="18" t="s">
        <v>158</v>
      </c>
      <c r="AH94" s="279">
        <v>11.199420132282325</v>
      </c>
      <c r="AI94" s="280">
        <v>-0.2</v>
      </c>
      <c r="AJ94" s="280">
        <v>-0.1</v>
      </c>
      <c r="AK94" s="280">
        <v>-0.2</v>
      </c>
      <c r="AL94" s="280">
        <v>-0.2</v>
      </c>
      <c r="AM94" s="280">
        <v>-0.3</v>
      </c>
      <c r="AN94" s="280">
        <v>0.61049198151671646</v>
      </c>
      <c r="AO94" s="280">
        <v>-0.3</v>
      </c>
      <c r="AP94" s="280">
        <v>-0.2</v>
      </c>
      <c r="AQ94" s="280">
        <v>0.31533327293044605</v>
      </c>
      <c r="AR94" s="280">
        <v>-0.1</v>
      </c>
      <c r="AS94" s="5" t="s">
        <v>158</v>
      </c>
      <c r="AT94" s="5" t="s">
        <v>158</v>
      </c>
      <c r="AU94" s="5" t="s">
        <v>158</v>
      </c>
      <c r="AV94" s="5" t="s">
        <v>158</v>
      </c>
      <c r="AW94" s="5" t="s">
        <v>158</v>
      </c>
      <c r="BC94" s="17" t="s">
        <v>158</v>
      </c>
      <c r="BD94" s="17" t="s">
        <v>158</v>
      </c>
      <c r="BE94" s="17" t="s">
        <v>158</v>
      </c>
      <c r="BF94" s="17" t="s">
        <v>158</v>
      </c>
      <c r="BG94" s="17" t="s">
        <v>158</v>
      </c>
      <c r="BH94" s="17" t="s">
        <v>158</v>
      </c>
      <c r="BI94" s="17" t="s">
        <v>158</v>
      </c>
      <c r="BJ94" s="17" t="s">
        <v>158</v>
      </c>
      <c r="BK94" s="17" t="s">
        <v>158</v>
      </c>
      <c r="BL94" s="17" t="s">
        <v>158</v>
      </c>
      <c r="BM94" s="17" t="s">
        <v>158</v>
      </c>
      <c r="BN94" s="17">
        <v>40</v>
      </c>
      <c r="BO94" s="17" t="s">
        <v>158</v>
      </c>
      <c r="BP94" s="17" t="s">
        <v>158</v>
      </c>
      <c r="BQ94" s="17" t="s">
        <v>158</v>
      </c>
      <c r="BR94" s="17" t="s">
        <v>158</v>
      </c>
      <c r="BS94" s="17" t="s">
        <v>158</v>
      </c>
      <c r="BT94" s="17" t="s">
        <v>158</v>
      </c>
      <c r="BU94" s="17" t="s">
        <v>158</v>
      </c>
      <c r="BV94" s="17" t="s">
        <v>158</v>
      </c>
      <c r="BW94" s="17" t="s">
        <v>158</v>
      </c>
      <c r="BX94" s="17" t="s">
        <v>158</v>
      </c>
      <c r="BY94" s="17" t="s">
        <v>158</v>
      </c>
      <c r="BZ94" s="17" t="s">
        <v>158</v>
      </c>
      <c r="CA94" s="17" t="s">
        <v>158</v>
      </c>
      <c r="CB94" s="17" t="s">
        <v>158</v>
      </c>
      <c r="CC94" s="17" t="s">
        <v>158</v>
      </c>
      <c r="CD94" s="17" t="s">
        <v>158</v>
      </c>
      <c r="CE94" s="17" t="s">
        <v>158</v>
      </c>
      <c r="CF94" s="17" t="s">
        <v>158</v>
      </c>
      <c r="CG94" s="17" t="s">
        <v>158</v>
      </c>
      <c r="CH94" s="17" t="s">
        <v>158</v>
      </c>
      <c r="CI94" s="17" t="s">
        <v>158</v>
      </c>
      <c r="CJ94" s="17" t="s">
        <v>158</v>
      </c>
      <c r="CK94" s="17" t="s">
        <v>158</v>
      </c>
      <c r="CL94" s="17" t="s">
        <v>158</v>
      </c>
      <c r="CM94" s="17" t="s">
        <v>158</v>
      </c>
      <c r="CN94" s="17" t="s">
        <v>158</v>
      </c>
      <c r="CO94" s="17" t="s">
        <v>158</v>
      </c>
      <c r="CP94" s="17" t="s">
        <v>158</v>
      </c>
      <c r="CQ94" s="17" t="s">
        <v>158</v>
      </c>
      <c r="CR94" s="17" t="s">
        <v>158</v>
      </c>
      <c r="CS94" s="17" t="s">
        <v>158</v>
      </c>
      <c r="CT94" s="17" t="s">
        <v>158</v>
      </c>
      <c r="CU94" s="17" t="s">
        <v>158</v>
      </c>
      <c r="CV94" s="17" t="s">
        <v>158</v>
      </c>
      <c r="CW94" s="17" t="s">
        <v>158</v>
      </c>
      <c r="CX94" s="17" t="s">
        <v>158</v>
      </c>
      <c r="CY94" s="67" t="s">
        <v>158</v>
      </c>
    </row>
    <row r="95" spans="1:103" hidden="1" x14ac:dyDescent="0.2">
      <c r="A95" s="32" t="s">
        <v>11</v>
      </c>
      <c r="B95" s="14" t="s">
        <v>11</v>
      </c>
      <c r="C95" s="14" t="s">
        <v>20</v>
      </c>
      <c r="G95" s="28">
        <v>43699</v>
      </c>
      <c r="H95" s="16">
        <v>2019</v>
      </c>
      <c r="I95" s="135" t="s">
        <v>33</v>
      </c>
      <c r="J95" s="135">
        <v>10</v>
      </c>
      <c r="K95" s="136">
        <v>0.33239887865439299</v>
      </c>
      <c r="L95" s="5" t="s">
        <v>158</v>
      </c>
      <c r="M95" s="5" t="s">
        <v>485</v>
      </c>
      <c r="N95" s="5">
        <v>7.3306407196621987E-2</v>
      </c>
      <c r="O95" s="5">
        <v>0.79247292087387544</v>
      </c>
      <c r="P95" s="5">
        <v>0.76275931705525979</v>
      </c>
      <c r="Q95" s="5">
        <v>3.6847071782632641</v>
      </c>
      <c r="R95" s="5">
        <v>2.9363870020194605</v>
      </c>
      <c r="S95" s="5">
        <v>1.400872039654856</v>
      </c>
      <c r="T95" s="5">
        <v>9.6505048650633363</v>
      </c>
      <c r="U95" s="17">
        <f t="shared" si="7"/>
        <v>133.69096767093765</v>
      </c>
      <c r="V95" s="5" t="s">
        <v>483</v>
      </c>
      <c r="W95" s="5">
        <v>9.2236623631865355E-2</v>
      </c>
      <c r="X95" s="5">
        <v>3.0603520101690578E-2</v>
      </c>
      <c r="Y95" s="5">
        <v>4.5430523874108682E-2</v>
      </c>
      <c r="Z95" s="5" t="s">
        <v>484</v>
      </c>
      <c r="AA95" s="5">
        <v>1.6166059942340924E-2</v>
      </c>
      <c r="AB95" s="5">
        <v>1.4364420731899313E-2</v>
      </c>
      <c r="AC95" s="5" t="s">
        <v>438</v>
      </c>
      <c r="AD95" s="5">
        <v>0.19880114828190487</v>
      </c>
      <c r="AE95" s="17">
        <f t="shared" si="12"/>
        <v>0.19880114828190482</v>
      </c>
      <c r="AF95" s="5">
        <v>-0.01</v>
      </c>
      <c r="AG95" s="18" t="s">
        <v>158</v>
      </c>
      <c r="AH95" s="279">
        <v>14.40535714285714</v>
      </c>
      <c r="AI95" s="280">
        <v>-0.2</v>
      </c>
      <c r="AJ95" s="280">
        <v>-0.1</v>
      </c>
      <c r="AK95" s="280">
        <v>-0.2</v>
      </c>
      <c r="AL95" s="280">
        <v>-0.2</v>
      </c>
      <c r="AM95" s="280">
        <v>-0.3</v>
      </c>
      <c r="AN95" s="280">
        <v>0.61071428571428565</v>
      </c>
      <c r="AO95" s="280">
        <v>-0.3</v>
      </c>
      <c r="AP95" s="280">
        <v>-0.2</v>
      </c>
      <c r="AQ95" s="280">
        <v>0.33038194444444441</v>
      </c>
      <c r="AR95" s="280">
        <v>-0.1</v>
      </c>
      <c r="AS95" s="5" t="s">
        <v>158</v>
      </c>
      <c r="AT95" s="5" t="s">
        <v>158</v>
      </c>
      <c r="AU95" s="5" t="s">
        <v>158</v>
      </c>
      <c r="AV95" s="5" t="s">
        <v>158</v>
      </c>
      <c r="AW95" s="5" t="s">
        <v>158</v>
      </c>
      <c r="BC95" s="17" t="s">
        <v>158</v>
      </c>
      <c r="BD95" s="17" t="s">
        <v>158</v>
      </c>
      <c r="BE95" s="17" t="s">
        <v>158</v>
      </c>
      <c r="BF95" s="17" t="s">
        <v>158</v>
      </c>
      <c r="BG95" s="17" t="s">
        <v>158</v>
      </c>
      <c r="BH95" s="17" t="s">
        <v>158</v>
      </c>
      <c r="BI95" s="17" t="s">
        <v>158</v>
      </c>
      <c r="BJ95" s="17" t="s">
        <v>158</v>
      </c>
      <c r="BK95" s="17" t="s">
        <v>158</v>
      </c>
      <c r="BL95" s="17" t="s">
        <v>158</v>
      </c>
      <c r="BM95" s="17" t="s">
        <v>158</v>
      </c>
      <c r="BN95" s="17">
        <v>100</v>
      </c>
      <c r="BO95" s="17" t="s">
        <v>158</v>
      </c>
      <c r="BP95" s="17" t="s">
        <v>158</v>
      </c>
      <c r="BQ95" s="17" t="s">
        <v>158</v>
      </c>
      <c r="BR95" s="17" t="s">
        <v>158</v>
      </c>
      <c r="BS95" s="17" t="s">
        <v>158</v>
      </c>
      <c r="BT95" s="17" t="s">
        <v>158</v>
      </c>
      <c r="BU95" s="17" t="s">
        <v>158</v>
      </c>
      <c r="BV95" s="17" t="s">
        <v>158</v>
      </c>
      <c r="BW95" s="17" t="s">
        <v>158</v>
      </c>
      <c r="BX95" s="17" t="s">
        <v>158</v>
      </c>
      <c r="BY95" s="17" t="s">
        <v>158</v>
      </c>
      <c r="BZ95" s="17" t="s">
        <v>158</v>
      </c>
      <c r="CA95" s="17" t="s">
        <v>158</v>
      </c>
      <c r="CB95" s="17" t="s">
        <v>158</v>
      </c>
      <c r="CC95" s="17" t="s">
        <v>158</v>
      </c>
      <c r="CD95" s="17" t="s">
        <v>158</v>
      </c>
      <c r="CE95" s="17" t="s">
        <v>158</v>
      </c>
      <c r="CF95" s="17" t="s">
        <v>158</v>
      </c>
      <c r="CG95" s="17" t="s">
        <v>158</v>
      </c>
      <c r="CH95" s="17" t="s">
        <v>158</v>
      </c>
      <c r="CI95" s="17" t="s">
        <v>158</v>
      </c>
      <c r="CJ95" s="17" t="s">
        <v>158</v>
      </c>
      <c r="CK95" s="17" t="s">
        <v>158</v>
      </c>
      <c r="CL95" s="17" t="s">
        <v>158</v>
      </c>
      <c r="CM95" s="17" t="s">
        <v>158</v>
      </c>
      <c r="CN95" s="17" t="s">
        <v>158</v>
      </c>
      <c r="CO95" s="17" t="s">
        <v>158</v>
      </c>
      <c r="CP95" s="17" t="s">
        <v>158</v>
      </c>
      <c r="CQ95" s="17" t="s">
        <v>158</v>
      </c>
      <c r="CR95" s="17" t="s">
        <v>158</v>
      </c>
      <c r="CS95" s="17" t="s">
        <v>158</v>
      </c>
      <c r="CT95" s="17" t="s">
        <v>158</v>
      </c>
      <c r="CU95" s="17" t="s">
        <v>158</v>
      </c>
      <c r="CV95" s="17" t="s">
        <v>158</v>
      </c>
      <c r="CW95" s="17" t="s">
        <v>158</v>
      </c>
      <c r="CX95" s="17" t="s">
        <v>158</v>
      </c>
      <c r="CY95" s="67" t="s">
        <v>158</v>
      </c>
    </row>
    <row r="96" spans="1:103" hidden="1" x14ac:dyDescent="0.2">
      <c r="A96" s="32" t="s">
        <v>12</v>
      </c>
      <c r="B96" s="14" t="s">
        <v>12</v>
      </c>
      <c r="C96" s="14" t="s">
        <v>20</v>
      </c>
      <c r="G96" s="28">
        <v>43594</v>
      </c>
      <c r="H96" s="16">
        <v>2019</v>
      </c>
      <c r="I96" s="135" t="s">
        <v>33</v>
      </c>
      <c r="J96" s="135">
        <v>3</v>
      </c>
      <c r="K96" s="136">
        <v>0.28959092750098497</v>
      </c>
      <c r="L96" s="5" t="s">
        <v>158</v>
      </c>
      <c r="M96" s="5">
        <v>6.8211797491871812E-2</v>
      </c>
      <c r="N96" s="5">
        <v>0.40723641430562002</v>
      </c>
      <c r="O96" s="5">
        <v>5.5371760334417095</v>
      </c>
      <c r="P96" s="5">
        <v>4.6130422666047375</v>
      </c>
      <c r="Q96" s="5">
        <v>17.903632141198326</v>
      </c>
      <c r="R96" s="5">
        <v>14.330701346957733</v>
      </c>
      <c r="S96" s="5">
        <v>5.4727171388759865</v>
      </c>
      <c r="T96" s="5">
        <v>48.332717138875985</v>
      </c>
      <c r="U96" s="17">
        <f t="shared" si="7"/>
        <v>754.85228852900696</v>
      </c>
      <c r="V96" s="5" t="s">
        <v>483</v>
      </c>
      <c r="W96" s="5">
        <v>0.30580341605395928</v>
      </c>
      <c r="X96" s="5">
        <v>0.17167469151490153</v>
      </c>
      <c r="Y96" s="5">
        <v>0.38166429989427642</v>
      </c>
      <c r="Z96" s="5">
        <v>2.0801420263099894E-2</v>
      </c>
      <c r="AA96" s="5">
        <v>8.199922519265318E-2</v>
      </c>
      <c r="AB96" s="5">
        <v>0.10623440444118511</v>
      </c>
      <c r="AC96" s="5">
        <v>0.22944728286112401</v>
      </c>
      <c r="AD96" s="5">
        <v>1.2976247402211996</v>
      </c>
      <c r="AE96" s="17">
        <f t="shared" si="12"/>
        <v>1.0473760370969756</v>
      </c>
      <c r="AF96" s="5">
        <v>4.4916542305606646E-3</v>
      </c>
      <c r="AG96" s="18">
        <f>AF96*(5/K96)</f>
        <v>7.7551708358428936E-2</v>
      </c>
      <c r="AH96" s="279">
        <v>3.5734066166367189</v>
      </c>
      <c r="AI96" s="280">
        <v>-0.2</v>
      </c>
      <c r="AJ96" s="280">
        <v>-0.1</v>
      </c>
      <c r="AK96" s="280">
        <v>-0.2</v>
      </c>
      <c r="AL96" s="280">
        <v>-0.2</v>
      </c>
      <c r="AM96" s="280">
        <v>-0.3</v>
      </c>
      <c r="AN96" s="280">
        <v>1.0842405665363068</v>
      </c>
      <c r="AO96" s="280">
        <v>1.2067857520346685</v>
      </c>
      <c r="AP96" s="280">
        <v>-0.2</v>
      </c>
      <c r="AQ96" s="280">
        <v>0.71031955748159092</v>
      </c>
      <c r="AR96" s="280">
        <v>-0.1</v>
      </c>
      <c r="AS96" s="5" t="s">
        <v>158</v>
      </c>
      <c r="AT96" s="5" t="s">
        <v>158</v>
      </c>
      <c r="AU96" s="5" t="s">
        <v>158</v>
      </c>
      <c r="AV96" s="5" t="s">
        <v>158</v>
      </c>
      <c r="AW96" s="5" t="s">
        <v>158</v>
      </c>
      <c r="BC96" s="17" t="s">
        <v>158</v>
      </c>
      <c r="BD96" s="17" t="s">
        <v>158</v>
      </c>
      <c r="BE96" s="17" t="s">
        <v>158</v>
      </c>
      <c r="BF96" s="17" t="s">
        <v>158</v>
      </c>
      <c r="BG96" s="17" t="s">
        <v>158</v>
      </c>
      <c r="BH96" s="17" t="s">
        <v>158</v>
      </c>
      <c r="BI96" s="17" t="s">
        <v>158</v>
      </c>
      <c r="BJ96" s="17" t="s">
        <v>158</v>
      </c>
      <c r="BK96" s="17" t="s">
        <v>158</v>
      </c>
      <c r="BL96" s="17" t="s">
        <v>158</v>
      </c>
      <c r="BM96" s="17" t="s">
        <v>158</v>
      </c>
      <c r="BN96" s="17" t="s">
        <v>13</v>
      </c>
      <c r="BO96" s="17" t="s">
        <v>158</v>
      </c>
      <c r="BP96" s="17" t="s">
        <v>158</v>
      </c>
      <c r="BQ96" s="17" t="s">
        <v>158</v>
      </c>
      <c r="BR96" s="17" t="s">
        <v>158</v>
      </c>
      <c r="BS96" s="17" t="s">
        <v>158</v>
      </c>
      <c r="BT96" s="17" t="s">
        <v>158</v>
      </c>
      <c r="BU96" s="17" t="s">
        <v>158</v>
      </c>
      <c r="BV96" s="17" t="s">
        <v>158</v>
      </c>
      <c r="BW96" s="17" t="s">
        <v>158</v>
      </c>
      <c r="BX96" s="17" t="s">
        <v>158</v>
      </c>
      <c r="BY96" s="17" t="s">
        <v>158</v>
      </c>
      <c r="BZ96" s="17" t="s">
        <v>158</v>
      </c>
      <c r="CA96" s="17" t="s">
        <v>158</v>
      </c>
      <c r="CB96" s="17" t="s">
        <v>158</v>
      </c>
      <c r="CC96" s="17" t="s">
        <v>158</v>
      </c>
      <c r="CD96" s="17" t="s">
        <v>158</v>
      </c>
      <c r="CE96" s="17" t="s">
        <v>158</v>
      </c>
      <c r="CF96" s="17" t="s">
        <v>158</v>
      </c>
      <c r="CG96" s="17" t="s">
        <v>158</v>
      </c>
      <c r="CH96" s="17" t="s">
        <v>158</v>
      </c>
      <c r="CI96" s="17" t="s">
        <v>158</v>
      </c>
      <c r="CJ96" s="17" t="s">
        <v>158</v>
      </c>
      <c r="CK96" s="17" t="s">
        <v>158</v>
      </c>
      <c r="CL96" s="17" t="s">
        <v>158</v>
      </c>
      <c r="CM96" s="17" t="s">
        <v>158</v>
      </c>
      <c r="CN96" s="17" t="s">
        <v>158</v>
      </c>
      <c r="CO96" s="17" t="s">
        <v>158</v>
      </c>
      <c r="CP96" s="17" t="s">
        <v>158</v>
      </c>
      <c r="CQ96" s="17" t="s">
        <v>158</v>
      </c>
      <c r="CR96" s="17" t="s">
        <v>158</v>
      </c>
      <c r="CS96" s="17" t="s">
        <v>158</v>
      </c>
      <c r="CT96" s="17" t="s">
        <v>158</v>
      </c>
      <c r="CU96" s="17" t="s">
        <v>158</v>
      </c>
      <c r="CV96" s="17" t="s">
        <v>158</v>
      </c>
      <c r="CW96" s="17" t="s">
        <v>158</v>
      </c>
      <c r="CX96" s="17" t="s">
        <v>158</v>
      </c>
      <c r="CY96" s="67" t="s">
        <v>158</v>
      </c>
    </row>
    <row r="97" spans="1:103" hidden="1" x14ac:dyDescent="0.2">
      <c r="A97" s="32" t="s">
        <v>14</v>
      </c>
      <c r="B97" s="14" t="s">
        <v>14</v>
      </c>
      <c r="C97" s="14" t="s">
        <v>20</v>
      </c>
      <c r="G97" s="28">
        <v>43699</v>
      </c>
      <c r="H97" s="16">
        <v>2019</v>
      </c>
      <c r="I97" s="135" t="s">
        <v>33</v>
      </c>
      <c r="J97" s="135">
        <v>1</v>
      </c>
      <c r="K97" s="136">
        <v>0.60718057022174499</v>
      </c>
      <c r="L97" s="5" t="s">
        <v>158</v>
      </c>
      <c r="M97" s="5" t="s">
        <v>486</v>
      </c>
      <c r="N97" s="5">
        <v>5.1827626010003847E-2</v>
      </c>
      <c r="O97" s="5">
        <v>0.38137745286648705</v>
      </c>
      <c r="P97" s="5">
        <v>0.69146787225856099</v>
      </c>
      <c r="Q97" s="5">
        <v>2.4256156213928435</v>
      </c>
      <c r="R97" s="5">
        <v>1.5560792612543284</v>
      </c>
      <c r="S97" s="5">
        <v>0.81116775682954967</v>
      </c>
      <c r="T97" s="5">
        <v>5.9175355906117737</v>
      </c>
      <c r="U97" s="17">
        <f t="shared" si="7"/>
        <v>43.03553155896136</v>
      </c>
      <c r="V97" s="5" t="s">
        <v>483</v>
      </c>
      <c r="W97" s="5">
        <v>6.8904801462798551E-2</v>
      </c>
      <c r="X97" s="5">
        <v>2.4649502925693324E-2</v>
      </c>
      <c r="Y97" s="5">
        <v>7.4621003085650825E-2</v>
      </c>
      <c r="Z97" s="5" t="s">
        <v>484</v>
      </c>
      <c r="AA97" s="5" t="s">
        <v>482</v>
      </c>
      <c r="AB97" s="5" t="s">
        <v>483</v>
      </c>
      <c r="AC97" s="5" t="s">
        <v>438</v>
      </c>
      <c r="AD97" s="5">
        <v>0.16817530747414272</v>
      </c>
      <c r="AE97" s="17">
        <f t="shared" si="12"/>
        <v>0.16817530747414269</v>
      </c>
      <c r="AF97" s="5">
        <v>-1.9E-2</v>
      </c>
      <c r="AG97" s="18" t="s">
        <v>158</v>
      </c>
      <c r="AH97" s="279">
        <v>0.72868439971243715</v>
      </c>
      <c r="AI97" s="280">
        <v>-0.2</v>
      </c>
      <c r="AJ97" s="280">
        <v>-0.1</v>
      </c>
      <c r="AK97" s="280">
        <v>-0.2</v>
      </c>
      <c r="AL97" s="280">
        <v>-0.2</v>
      </c>
      <c r="AM97" s="280">
        <v>-0.3</v>
      </c>
      <c r="AN97" s="280">
        <v>-0.2</v>
      </c>
      <c r="AO97" s="280">
        <v>-0.3</v>
      </c>
      <c r="AP97" s="280">
        <v>-0.2</v>
      </c>
      <c r="AQ97" s="280">
        <v>-0.2</v>
      </c>
      <c r="AR97" s="280">
        <v>-0.1</v>
      </c>
      <c r="AS97" s="5" t="s">
        <v>158</v>
      </c>
      <c r="AT97" s="5" t="s">
        <v>158</v>
      </c>
      <c r="AU97" s="5" t="s">
        <v>158</v>
      </c>
      <c r="AV97" s="5" t="s">
        <v>158</v>
      </c>
      <c r="AW97" s="5" t="s">
        <v>158</v>
      </c>
      <c r="BC97" s="17" t="s">
        <v>158</v>
      </c>
      <c r="BD97" s="17" t="s">
        <v>158</v>
      </c>
      <c r="BE97" s="17" t="s">
        <v>158</v>
      </c>
      <c r="BF97" s="17" t="s">
        <v>158</v>
      </c>
      <c r="BG97" s="17" t="s">
        <v>158</v>
      </c>
      <c r="BH97" s="17" t="s">
        <v>158</v>
      </c>
      <c r="BI97" s="17" t="s">
        <v>158</v>
      </c>
      <c r="BJ97" s="17" t="s">
        <v>158</v>
      </c>
      <c r="BK97" s="17" t="s">
        <v>158</v>
      </c>
      <c r="BL97" s="17" t="s">
        <v>158</v>
      </c>
      <c r="BM97" s="17" t="s">
        <v>158</v>
      </c>
      <c r="BN97" s="17" t="s">
        <v>13</v>
      </c>
      <c r="BO97" s="17" t="s">
        <v>158</v>
      </c>
      <c r="BP97" s="17" t="s">
        <v>158</v>
      </c>
      <c r="BQ97" s="17" t="s">
        <v>158</v>
      </c>
      <c r="BR97" s="17" t="s">
        <v>158</v>
      </c>
      <c r="BS97" s="17" t="s">
        <v>158</v>
      </c>
      <c r="BT97" s="17" t="s">
        <v>158</v>
      </c>
      <c r="BU97" s="17" t="s">
        <v>158</v>
      </c>
      <c r="BV97" s="17" t="s">
        <v>158</v>
      </c>
      <c r="BW97" s="17" t="s">
        <v>158</v>
      </c>
      <c r="BX97" s="17" t="s">
        <v>158</v>
      </c>
      <c r="BY97" s="17" t="s">
        <v>158</v>
      </c>
      <c r="BZ97" s="17" t="s">
        <v>158</v>
      </c>
      <c r="CA97" s="17" t="s">
        <v>158</v>
      </c>
      <c r="CB97" s="17" t="s">
        <v>158</v>
      </c>
      <c r="CC97" s="17" t="s">
        <v>158</v>
      </c>
      <c r="CD97" s="17" t="s">
        <v>158</v>
      </c>
      <c r="CE97" s="17" t="s">
        <v>158</v>
      </c>
      <c r="CF97" s="17" t="s">
        <v>158</v>
      </c>
      <c r="CG97" s="17" t="s">
        <v>158</v>
      </c>
      <c r="CH97" s="17" t="s">
        <v>158</v>
      </c>
      <c r="CI97" s="17" t="s">
        <v>158</v>
      </c>
      <c r="CJ97" s="17" t="s">
        <v>158</v>
      </c>
      <c r="CK97" s="17" t="s">
        <v>158</v>
      </c>
      <c r="CL97" s="17" t="s">
        <v>158</v>
      </c>
      <c r="CM97" s="17" t="s">
        <v>158</v>
      </c>
      <c r="CN97" s="17" t="s">
        <v>158</v>
      </c>
      <c r="CO97" s="17" t="s">
        <v>158</v>
      </c>
      <c r="CP97" s="17" t="s">
        <v>158</v>
      </c>
      <c r="CQ97" s="17" t="s">
        <v>158</v>
      </c>
      <c r="CR97" s="17" t="s">
        <v>158</v>
      </c>
      <c r="CS97" s="17" t="s">
        <v>158</v>
      </c>
      <c r="CT97" s="17" t="s">
        <v>158</v>
      </c>
      <c r="CU97" s="17" t="s">
        <v>158</v>
      </c>
      <c r="CV97" s="17" t="s">
        <v>158</v>
      </c>
      <c r="CW97" s="17" t="s">
        <v>158</v>
      </c>
      <c r="CX97" s="17" t="s">
        <v>158</v>
      </c>
      <c r="CY97" s="67" t="s">
        <v>158</v>
      </c>
    </row>
    <row r="98" spans="1:103" hidden="1" x14ac:dyDescent="0.2">
      <c r="A98" s="32" t="s">
        <v>15</v>
      </c>
      <c r="B98" s="14" t="s">
        <v>15</v>
      </c>
      <c r="C98" s="14" t="s">
        <v>20</v>
      </c>
      <c r="G98" s="28">
        <v>43696</v>
      </c>
      <c r="H98" s="16">
        <v>2019</v>
      </c>
      <c r="I98" s="135" t="s">
        <v>33</v>
      </c>
      <c r="J98" s="135">
        <v>10</v>
      </c>
      <c r="K98" s="136">
        <v>0.364004044489384</v>
      </c>
      <c r="L98" s="5" t="s">
        <v>158</v>
      </c>
      <c r="M98" s="5" t="s">
        <v>485</v>
      </c>
      <c r="N98" s="5">
        <v>0.11100037965072133</v>
      </c>
      <c r="O98" s="5">
        <v>0.43751898253606686</v>
      </c>
      <c r="P98" s="5">
        <v>0.40260060744115422</v>
      </c>
      <c r="Q98" s="5">
        <v>1.7092444950645409</v>
      </c>
      <c r="R98" s="5">
        <v>1.428246013667426</v>
      </c>
      <c r="S98" s="5">
        <v>0.69477031131359157</v>
      </c>
      <c r="T98" s="5">
        <v>4.783380789673501</v>
      </c>
      <c r="U98" s="17">
        <f t="shared" si="7"/>
        <v>60.174883336496968</v>
      </c>
      <c r="V98" s="5" t="s">
        <v>483</v>
      </c>
      <c r="W98" s="5">
        <v>4.2481454957762628E-2</v>
      </c>
      <c r="X98" s="5">
        <v>1.7300197545635828E-2</v>
      </c>
      <c r="Y98" s="5">
        <v>3.2159808810035738E-2</v>
      </c>
      <c r="Z98" s="5" t="s">
        <v>484</v>
      </c>
      <c r="AA98" s="5" t="s">
        <v>482</v>
      </c>
      <c r="AB98" s="5" t="s">
        <v>483</v>
      </c>
      <c r="AC98" s="5">
        <v>0.39531131359149585</v>
      </c>
      <c r="AD98" s="5">
        <v>0.48725277490493002</v>
      </c>
      <c r="AE98" s="17">
        <f t="shared" si="12"/>
        <v>9.1941461313434197E-2</v>
      </c>
      <c r="AF98" s="5">
        <v>-0.01</v>
      </c>
      <c r="AG98" s="18" t="s">
        <v>158</v>
      </c>
      <c r="AH98" s="279">
        <v>3.198081790329026</v>
      </c>
      <c r="AI98" s="280">
        <v>-0.2</v>
      </c>
      <c r="AJ98" s="280">
        <v>-0.1</v>
      </c>
      <c r="AK98" s="280">
        <v>-0.2</v>
      </c>
      <c r="AL98" s="280">
        <v>-0.2</v>
      </c>
      <c r="AM98" s="280">
        <v>-0.3</v>
      </c>
      <c r="AN98" s="280">
        <v>0.40202477687491672</v>
      </c>
      <c r="AO98" s="280">
        <v>-0.3</v>
      </c>
      <c r="AP98" s="280">
        <v>-0.2</v>
      </c>
      <c r="AQ98" s="280">
        <v>0.31441765463345323</v>
      </c>
      <c r="AR98" s="280">
        <v>-0.1</v>
      </c>
      <c r="AS98" s="5" t="s">
        <v>158</v>
      </c>
      <c r="AT98" s="5" t="s">
        <v>158</v>
      </c>
      <c r="AU98" s="5" t="s">
        <v>158</v>
      </c>
      <c r="AV98" s="5" t="s">
        <v>158</v>
      </c>
      <c r="AW98" s="5" t="s">
        <v>158</v>
      </c>
      <c r="BC98" s="17" t="s">
        <v>158</v>
      </c>
      <c r="BD98" s="17" t="s">
        <v>158</v>
      </c>
      <c r="BE98" s="17" t="s">
        <v>158</v>
      </c>
      <c r="BF98" s="17" t="s">
        <v>158</v>
      </c>
      <c r="BG98" s="17" t="s">
        <v>158</v>
      </c>
      <c r="BH98" s="17" t="s">
        <v>158</v>
      </c>
      <c r="BI98" s="17" t="s">
        <v>158</v>
      </c>
      <c r="BJ98" s="17" t="s">
        <v>158</v>
      </c>
      <c r="BK98" s="17" t="s">
        <v>158</v>
      </c>
      <c r="BL98" s="17" t="s">
        <v>158</v>
      </c>
      <c r="BM98" s="17" t="s">
        <v>158</v>
      </c>
      <c r="BN98" s="17">
        <v>240</v>
      </c>
      <c r="BO98" s="17" t="s">
        <v>158</v>
      </c>
      <c r="BP98" s="17" t="s">
        <v>158</v>
      </c>
      <c r="BQ98" s="17" t="s">
        <v>158</v>
      </c>
      <c r="BR98" s="17" t="s">
        <v>158</v>
      </c>
      <c r="BS98" s="17" t="s">
        <v>158</v>
      </c>
      <c r="BT98" s="17" t="s">
        <v>158</v>
      </c>
      <c r="BU98" s="17" t="s">
        <v>158</v>
      </c>
      <c r="BV98" s="17" t="s">
        <v>158</v>
      </c>
      <c r="BW98" s="17" t="s">
        <v>158</v>
      </c>
      <c r="BX98" s="17" t="s">
        <v>158</v>
      </c>
      <c r="BY98" s="17" t="s">
        <v>158</v>
      </c>
      <c r="BZ98" s="17" t="s">
        <v>158</v>
      </c>
      <c r="CA98" s="17" t="s">
        <v>158</v>
      </c>
      <c r="CB98" s="17" t="s">
        <v>158</v>
      </c>
      <c r="CC98" s="17" t="s">
        <v>158</v>
      </c>
      <c r="CD98" s="17" t="s">
        <v>158</v>
      </c>
      <c r="CE98" s="17" t="s">
        <v>158</v>
      </c>
      <c r="CF98" s="17" t="s">
        <v>158</v>
      </c>
      <c r="CG98" s="17" t="s">
        <v>158</v>
      </c>
      <c r="CH98" s="17" t="s">
        <v>158</v>
      </c>
      <c r="CI98" s="17" t="s">
        <v>158</v>
      </c>
      <c r="CJ98" s="17" t="s">
        <v>158</v>
      </c>
      <c r="CK98" s="17" t="s">
        <v>158</v>
      </c>
      <c r="CL98" s="17" t="s">
        <v>158</v>
      </c>
      <c r="CM98" s="17" t="s">
        <v>158</v>
      </c>
      <c r="CN98" s="17" t="s">
        <v>158</v>
      </c>
      <c r="CO98" s="17" t="s">
        <v>158</v>
      </c>
      <c r="CP98" s="17" t="s">
        <v>158</v>
      </c>
      <c r="CQ98" s="17" t="s">
        <v>158</v>
      </c>
      <c r="CR98" s="17" t="s">
        <v>158</v>
      </c>
      <c r="CS98" s="17" t="s">
        <v>158</v>
      </c>
      <c r="CT98" s="17" t="s">
        <v>158</v>
      </c>
      <c r="CU98" s="17" t="s">
        <v>158</v>
      </c>
      <c r="CV98" s="17" t="s">
        <v>158</v>
      </c>
      <c r="CW98" s="17" t="s">
        <v>158</v>
      </c>
      <c r="CX98" s="17" t="s">
        <v>158</v>
      </c>
      <c r="CY98" s="67" t="s">
        <v>158</v>
      </c>
    </row>
    <row r="99" spans="1:103" hidden="1" x14ac:dyDescent="0.2">
      <c r="A99" s="32" t="s">
        <v>80</v>
      </c>
      <c r="B99" s="14" t="s">
        <v>80</v>
      </c>
      <c r="C99" s="14" t="s">
        <v>20</v>
      </c>
      <c r="G99" s="28">
        <v>43679</v>
      </c>
      <c r="H99" s="16">
        <v>2019</v>
      </c>
      <c r="I99" s="135" t="s">
        <v>33</v>
      </c>
      <c r="J99" s="135">
        <v>7</v>
      </c>
      <c r="K99" s="136">
        <v>0.42216146670956894</v>
      </c>
      <c r="L99" s="5" t="s">
        <v>158</v>
      </c>
      <c r="M99" s="5" t="s">
        <v>485</v>
      </c>
      <c r="N99" s="5">
        <v>2.8964904486894712E-2</v>
      </c>
      <c r="O99" s="5">
        <v>0.28256774766770326</v>
      </c>
      <c r="P99" s="5">
        <v>0.29115059973345175</v>
      </c>
      <c r="Q99" s="5">
        <v>1.185810750777432</v>
      </c>
      <c r="R99" s="5">
        <v>0.92812083518436239</v>
      </c>
      <c r="S99" s="5">
        <v>0.37695246557085743</v>
      </c>
      <c r="T99" s="5">
        <v>3.0935673034207016</v>
      </c>
      <c r="U99" s="17">
        <f t="shared" si="7"/>
        <v>33.191289644812684</v>
      </c>
      <c r="V99" s="5" t="s">
        <v>483</v>
      </c>
      <c r="W99" s="5">
        <v>8.7246010794448769E-2</v>
      </c>
      <c r="X99" s="5">
        <v>3.0655831983287474E-2</v>
      </c>
      <c r="Y99" s="5">
        <v>5.970175928607574E-2</v>
      </c>
      <c r="Z99" s="5" t="s">
        <v>484</v>
      </c>
      <c r="AA99" s="5" t="s">
        <v>482</v>
      </c>
      <c r="AB99" s="5" t="s">
        <v>483</v>
      </c>
      <c r="AC99" s="5" t="s">
        <v>438</v>
      </c>
      <c r="AD99" s="5">
        <v>0.17760360206381198</v>
      </c>
      <c r="AE99" s="17">
        <f t="shared" si="12"/>
        <v>0.17760360206381198</v>
      </c>
      <c r="AF99" s="5">
        <v>-0.01</v>
      </c>
      <c r="AG99" s="18" t="s">
        <v>158</v>
      </c>
      <c r="AH99" s="279">
        <v>0.22399134332972637</v>
      </c>
      <c r="AI99" s="280">
        <v>-0.2</v>
      </c>
      <c r="AJ99" s="280">
        <v>-0.1</v>
      </c>
      <c r="AK99" s="280">
        <v>-0.2</v>
      </c>
      <c r="AL99" s="280">
        <v>-0.2</v>
      </c>
      <c r="AM99" s="280">
        <v>-0.3</v>
      </c>
      <c r="AN99" s="280">
        <v>-0.2</v>
      </c>
      <c r="AO99" s="280">
        <v>-0.3</v>
      </c>
      <c r="AP99" s="280">
        <v>-0.2</v>
      </c>
      <c r="AQ99" s="280">
        <v>-0.2</v>
      </c>
      <c r="AR99" s="280">
        <v>-0.1</v>
      </c>
      <c r="AS99" s="5" t="s">
        <v>158</v>
      </c>
      <c r="AT99" s="5" t="s">
        <v>158</v>
      </c>
      <c r="AU99" s="5" t="s">
        <v>158</v>
      </c>
      <c r="AV99" s="5" t="s">
        <v>158</v>
      </c>
      <c r="AW99" s="5" t="s">
        <v>158</v>
      </c>
      <c r="BC99" s="17" t="s">
        <v>158</v>
      </c>
      <c r="BD99" s="17" t="s">
        <v>158</v>
      </c>
      <c r="BE99" s="17" t="s">
        <v>158</v>
      </c>
      <c r="BF99" s="17" t="s">
        <v>158</v>
      </c>
      <c r="BG99" s="17" t="s">
        <v>158</v>
      </c>
      <c r="BH99" s="17" t="s">
        <v>158</v>
      </c>
      <c r="BI99" s="17" t="s">
        <v>158</v>
      </c>
      <c r="BJ99" s="17" t="s">
        <v>158</v>
      </c>
      <c r="BK99" s="17" t="s">
        <v>158</v>
      </c>
      <c r="BL99" s="17" t="s">
        <v>158</v>
      </c>
      <c r="BM99" s="17" t="s">
        <v>158</v>
      </c>
      <c r="BN99" s="17">
        <v>230</v>
      </c>
      <c r="BO99" s="17" t="s">
        <v>158</v>
      </c>
      <c r="BP99" s="17" t="s">
        <v>158</v>
      </c>
      <c r="BQ99" s="17" t="s">
        <v>158</v>
      </c>
      <c r="BR99" s="17" t="s">
        <v>158</v>
      </c>
      <c r="BS99" s="17" t="s">
        <v>158</v>
      </c>
      <c r="BT99" s="17" t="s">
        <v>158</v>
      </c>
      <c r="BU99" s="17" t="s">
        <v>158</v>
      </c>
      <c r="BV99" s="17" t="s">
        <v>158</v>
      </c>
      <c r="BW99" s="17" t="s">
        <v>158</v>
      </c>
      <c r="BX99" s="17" t="s">
        <v>158</v>
      </c>
      <c r="BY99" s="17" t="s">
        <v>158</v>
      </c>
      <c r="BZ99" s="17" t="s">
        <v>158</v>
      </c>
      <c r="CA99" s="17" t="s">
        <v>158</v>
      </c>
      <c r="CB99" s="17" t="s">
        <v>158</v>
      </c>
      <c r="CC99" s="17" t="s">
        <v>158</v>
      </c>
      <c r="CD99" s="17" t="s">
        <v>158</v>
      </c>
      <c r="CE99" s="17" t="s">
        <v>158</v>
      </c>
      <c r="CF99" s="17" t="s">
        <v>158</v>
      </c>
      <c r="CG99" s="17" t="s">
        <v>158</v>
      </c>
      <c r="CH99" s="17" t="s">
        <v>158</v>
      </c>
      <c r="CI99" s="17" t="s">
        <v>158</v>
      </c>
      <c r="CJ99" s="17" t="s">
        <v>158</v>
      </c>
      <c r="CK99" s="17" t="s">
        <v>158</v>
      </c>
      <c r="CL99" s="17" t="s">
        <v>158</v>
      </c>
      <c r="CM99" s="17" t="s">
        <v>158</v>
      </c>
      <c r="CN99" s="17" t="s">
        <v>158</v>
      </c>
      <c r="CO99" s="17" t="s">
        <v>158</v>
      </c>
      <c r="CP99" s="17" t="s">
        <v>158</v>
      </c>
      <c r="CQ99" s="17" t="s">
        <v>158</v>
      </c>
      <c r="CR99" s="17" t="s">
        <v>158</v>
      </c>
      <c r="CS99" s="17" t="s">
        <v>158</v>
      </c>
      <c r="CT99" s="17" t="s">
        <v>158</v>
      </c>
      <c r="CU99" s="17" t="s">
        <v>158</v>
      </c>
      <c r="CV99" s="17" t="s">
        <v>158</v>
      </c>
      <c r="CW99" s="17" t="s">
        <v>158</v>
      </c>
      <c r="CX99" s="17" t="s">
        <v>158</v>
      </c>
      <c r="CY99" s="67" t="s">
        <v>158</v>
      </c>
    </row>
    <row r="100" spans="1:103" hidden="1" x14ac:dyDescent="0.2">
      <c r="A100" s="32" t="s">
        <v>16</v>
      </c>
      <c r="B100" s="14" t="s">
        <v>16</v>
      </c>
      <c r="C100" s="14" t="s">
        <v>20</v>
      </c>
      <c r="G100" s="28">
        <v>43696</v>
      </c>
      <c r="H100" s="16">
        <v>2019</v>
      </c>
      <c r="I100" s="135" t="s">
        <v>33</v>
      </c>
      <c r="J100" s="135">
        <v>10</v>
      </c>
      <c r="K100" s="136">
        <v>0.46716787623309808</v>
      </c>
      <c r="L100" s="5" t="s">
        <v>158</v>
      </c>
      <c r="M100" s="5" t="s">
        <v>485</v>
      </c>
      <c r="N100" s="5" t="s">
        <v>482</v>
      </c>
      <c r="O100" s="5">
        <v>7.8970289364173038E-2</v>
      </c>
      <c r="P100" s="5">
        <v>9.7435401141972314E-2</v>
      </c>
      <c r="Q100" s="5">
        <v>0.2798799961289074</v>
      </c>
      <c r="R100" s="5">
        <v>0.25675021774895962</v>
      </c>
      <c r="S100" s="5">
        <v>0.11981999419336108</v>
      </c>
      <c r="T100" s="5">
        <v>0.83285589857737352</v>
      </c>
      <c r="U100" s="17">
        <f t="shared" si="7"/>
        <v>7.8710516588308366</v>
      </c>
      <c r="V100" s="5" t="s">
        <v>483</v>
      </c>
      <c r="W100" s="5">
        <v>2.3736099647809625E-2</v>
      </c>
      <c r="X100" s="5" t="s">
        <v>483</v>
      </c>
      <c r="Y100" s="5">
        <v>2.733877676890157E-2</v>
      </c>
      <c r="Z100" s="5" t="s">
        <v>484</v>
      </c>
      <c r="AA100" s="5" t="s">
        <v>482</v>
      </c>
      <c r="AB100" s="5" t="s">
        <v>483</v>
      </c>
      <c r="AC100" s="5">
        <v>0.28089615794057871</v>
      </c>
      <c r="AD100" s="5">
        <v>0.33197103435728992</v>
      </c>
      <c r="AE100" s="17">
        <f t="shared" si="12"/>
        <v>5.1074876416711198E-2</v>
      </c>
      <c r="AF100" s="5">
        <v>-0.01</v>
      </c>
      <c r="AG100" s="18" t="s">
        <v>158</v>
      </c>
      <c r="AH100" s="279">
        <v>-0.1</v>
      </c>
      <c r="AI100" s="280">
        <v>-0.2</v>
      </c>
      <c r="AJ100" s="280">
        <v>-0.1</v>
      </c>
      <c r="AK100" s="280">
        <v>-0.2</v>
      </c>
      <c r="AL100" s="280">
        <v>-0.2</v>
      </c>
      <c r="AM100" s="280">
        <v>-0.3</v>
      </c>
      <c r="AN100" s="280">
        <v>-0.2</v>
      </c>
      <c r="AO100" s="280">
        <v>-0.3</v>
      </c>
      <c r="AP100" s="280">
        <v>-0.2</v>
      </c>
      <c r="AQ100" s="280">
        <v>-0.2</v>
      </c>
      <c r="AR100" s="280">
        <v>-0.1</v>
      </c>
      <c r="AS100" s="5" t="s">
        <v>158</v>
      </c>
      <c r="AT100" s="5" t="s">
        <v>158</v>
      </c>
      <c r="AU100" s="5" t="s">
        <v>158</v>
      </c>
      <c r="AV100" s="5" t="s">
        <v>158</v>
      </c>
      <c r="AW100" s="5" t="s">
        <v>158</v>
      </c>
      <c r="BC100" s="17" t="s">
        <v>158</v>
      </c>
      <c r="BD100" s="17" t="s">
        <v>158</v>
      </c>
      <c r="BE100" s="17" t="s">
        <v>158</v>
      </c>
      <c r="BF100" s="17" t="s">
        <v>158</v>
      </c>
      <c r="BG100" s="17" t="s">
        <v>158</v>
      </c>
      <c r="BH100" s="17" t="s">
        <v>158</v>
      </c>
      <c r="BI100" s="17" t="s">
        <v>158</v>
      </c>
      <c r="BJ100" s="17" t="s">
        <v>158</v>
      </c>
      <c r="BK100" s="17" t="s">
        <v>158</v>
      </c>
      <c r="BL100" s="17" t="s">
        <v>158</v>
      </c>
      <c r="BM100" s="17" t="s">
        <v>158</v>
      </c>
      <c r="BN100" s="17">
        <v>310</v>
      </c>
      <c r="BO100" s="17" t="s">
        <v>158</v>
      </c>
      <c r="BP100" s="17" t="s">
        <v>158</v>
      </c>
      <c r="BQ100" s="17" t="s">
        <v>158</v>
      </c>
      <c r="BR100" s="17" t="s">
        <v>158</v>
      </c>
      <c r="BS100" s="17" t="s">
        <v>158</v>
      </c>
      <c r="BT100" s="17" t="s">
        <v>158</v>
      </c>
      <c r="BU100" s="17" t="s">
        <v>158</v>
      </c>
      <c r="BV100" s="17" t="s">
        <v>158</v>
      </c>
      <c r="BW100" s="17" t="s">
        <v>158</v>
      </c>
      <c r="BX100" s="17" t="s">
        <v>158</v>
      </c>
      <c r="BY100" s="17" t="s">
        <v>158</v>
      </c>
      <c r="BZ100" s="17" t="s">
        <v>158</v>
      </c>
      <c r="CA100" s="17" t="s">
        <v>158</v>
      </c>
      <c r="CB100" s="17" t="s">
        <v>158</v>
      </c>
      <c r="CC100" s="17" t="s">
        <v>158</v>
      </c>
      <c r="CD100" s="17" t="s">
        <v>158</v>
      </c>
      <c r="CE100" s="17" t="s">
        <v>158</v>
      </c>
      <c r="CF100" s="17" t="s">
        <v>158</v>
      </c>
      <c r="CG100" s="17" t="s">
        <v>158</v>
      </c>
      <c r="CH100" s="17" t="s">
        <v>158</v>
      </c>
      <c r="CI100" s="17" t="s">
        <v>158</v>
      </c>
      <c r="CJ100" s="17" t="s">
        <v>158</v>
      </c>
      <c r="CK100" s="17" t="s">
        <v>158</v>
      </c>
      <c r="CL100" s="17" t="s">
        <v>158</v>
      </c>
      <c r="CM100" s="17" t="s">
        <v>158</v>
      </c>
      <c r="CN100" s="17" t="s">
        <v>158</v>
      </c>
      <c r="CO100" s="17" t="s">
        <v>158</v>
      </c>
      <c r="CP100" s="17" t="s">
        <v>158</v>
      </c>
      <c r="CQ100" s="17" t="s">
        <v>158</v>
      </c>
      <c r="CR100" s="17" t="s">
        <v>158</v>
      </c>
      <c r="CS100" s="17" t="s">
        <v>158</v>
      </c>
      <c r="CT100" s="17" t="s">
        <v>158</v>
      </c>
      <c r="CU100" s="17" t="s">
        <v>158</v>
      </c>
      <c r="CV100" s="17" t="s">
        <v>158</v>
      </c>
      <c r="CW100" s="17" t="s">
        <v>158</v>
      </c>
      <c r="CX100" s="17" t="s">
        <v>158</v>
      </c>
      <c r="CY100" s="67" t="s">
        <v>158</v>
      </c>
    </row>
    <row r="101" spans="1:103" s="294" customFormat="1" x14ac:dyDescent="0.2">
      <c r="A101" s="293" t="s">
        <v>32</v>
      </c>
      <c r="B101" s="294" t="s">
        <v>32</v>
      </c>
      <c r="C101" s="294" t="s">
        <v>31</v>
      </c>
      <c r="E101" s="295"/>
      <c r="F101" s="295"/>
      <c r="G101" s="296" t="s">
        <v>31</v>
      </c>
      <c r="H101" s="296">
        <v>2018</v>
      </c>
      <c r="I101" s="297" t="s">
        <v>3</v>
      </c>
      <c r="J101" s="297" t="s">
        <v>158</v>
      </c>
      <c r="K101" s="298" t="s">
        <v>158</v>
      </c>
      <c r="L101" s="299" t="s">
        <v>158</v>
      </c>
      <c r="M101" s="299">
        <v>1.4999999999999999E-2</v>
      </c>
      <c r="N101" s="299">
        <v>2.3E-2</v>
      </c>
      <c r="O101" s="299">
        <v>0.01</v>
      </c>
      <c r="P101" s="299">
        <v>0.01</v>
      </c>
      <c r="Q101" s="299">
        <v>5.0000000000000001E-3</v>
      </c>
      <c r="R101" s="299">
        <v>0.01</v>
      </c>
      <c r="S101" s="299">
        <v>5.0000000000000001E-3</v>
      </c>
      <c r="T101" s="299" t="s">
        <v>158</v>
      </c>
      <c r="U101" s="301" t="s">
        <v>158</v>
      </c>
      <c r="V101" s="299">
        <v>1.2999999999999999E-2</v>
      </c>
      <c r="W101" s="299">
        <v>0.01</v>
      </c>
      <c r="X101" s="299">
        <v>1.2999999999999999E-2</v>
      </c>
      <c r="Y101" s="299">
        <v>1.4999999999999999E-2</v>
      </c>
      <c r="Z101" s="299">
        <v>0.01</v>
      </c>
      <c r="AA101" s="299">
        <v>0.02</v>
      </c>
      <c r="AB101" s="299">
        <v>1.2999999999999999E-2</v>
      </c>
      <c r="AC101" s="299">
        <v>0.1</v>
      </c>
      <c r="AD101" s="299" t="s">
        <v>158</v>
      </c>
      <c r="AE101" s="301" t="s">
        <v>158</v>
      </c>
      <c r="AF101" s="299">
        <v>4.0000000000000001E-3</v>
      </c>
      <c r="AG101" s="303" t="s">
        <v>158</v>
      </c>
      <c r="AH101" s="303">
        <v>0.2</v>
      </c>
      <c r="AI101" s="299">
        <v>0.2</v>
      </c>
      <c r="AJ101" s="299">
        <v>0.2</v>
      </c>
      <c r="AK101" s="299">
        <v>0.02</v>
      </c>
      <c r="AL101" s="299">
        <v>0.1</v>
      </c>
      <c r="AM101" s="299">
        <v>0.1</v>
      </c>
      <c r="AN101" s="299">
        <v>0.1</v>
      </c>
      <c r="AO101" s="299">
        <v>0.02</v>
      </c>
      <c r="AP101" s="299">
        <v>0.05</v>
      </c>
      <c r="AQ101" s="299">
        <v>0.1</v>
      </c>
      <c r="AR101" s="299">
        <v>0.05</v>
      </c>
      <c r="AS101" s="299" t="s">
        <v>158</v>
      </c>
      <c r="AT101" s="299" t="s">
        <v>158</v>
      </c>
      <c r="AU101" s="299" t="s">
        <v>158</v>
      </c>
      <c r="AV101" s="299" t="s">
        <v>158</v>
      </c>
      <c r="AW101" s="299" t="s">
        <v>158</v>
      </c>
      <c r="AX101" s="299"/>
      <c r="AY101" s="299"/>
      <c r="AZ101" s="299"/>
      <c r="BA101" s="299"/>
      <c r="BB101" s="299"/>
      <c r="BC101" s="299">
        <v>0.2</v>
      </c>
      <c r="BD101" s="299">
        <v>0.2</v>
      </c>
      <c r="BE101" s="299">
        <v>0.21</v>
      </c>
      <c r="BF101" s="299">
        <v>0.02</v>
      </c>
      <c r="BG101" s="299">
        <v>0.2</v>
      </c>
      <c r="BH101" s="299">
        <v>0.05</v>
      </c>
      <c r="BI101" s="299">
        <v>0.1</v>
      </c>
      <c r="BJ101" s="299">
        <v>0.1</v>
      </c>
      <c r="BK101" s="299">
        <v>0.05</v>
      </c>
      <c r="BL101" s="299">
        <v>0.1</v>
      </c>
      <c r="BM101" s="299">
        <v>0.05</v>
      </c>
      <c r="BN101" s="301">
        <v>0.03</v>
      </c>
      <c r="BO101" s="299">
        <v>0.9506116229162711</v>
      </c>
      <c r="BP101" s="299">
        <v>1.3851882404237692</v>
      </c>
      <c r="BQ101" s="299">
        <v>0.18672634249058467</v>
      </c>
      <c r="BR101" s="299">
        <v>0.78167462607052207</v>
      </c>
      <c r="BS101" s="299">
        <v>0.18672634249058467</v>
      </c>
      <c r="BT101" s="299">
        <v>1.8672634249058466</v>
      </c>
      <c r="BU101" s="299">
        <v>1.8672634249058466</v>
      </c>
      <c r="BV101" s="299">
        <v>0.18672634249058467</v>
      </c>
      <c r="BW101" s="299">
        <v>0.18672634249058467</v>
      </c>
      <c r="BX101" s="299">
        <v>0.18672634249058467</v>
      </c>
      <c r="BY101" s="299">
        <v>6.2724999614951663E-2</v>
      </c>
      <c r="BZ101" s="299">
        <v>0.18672634249058467</v>
      </c>
      <c r="CA101" s="299">
        <v>0.18672634249058467</v>
      </c>
      <c r="CB101" s="299">
        <v>0.18672634249058467</v>
      </c>
      <c r="CC101" s="299">
        <v>0.18672634249058467</v>
      </c>
      <c r="CD101" s="299">
        <v>0.18672634249058467</v>
      </c>
      <c r="CE101" s="299">
        <v>0.12690837857116516</v>
      </c>
      <c r="CF101" s="299">
        <v>0.18672634249058467</v>
      </c>
      <c r="CG101" s="299">
        <v>0.18672634249058467</v>
      </c>
      <c r="CH101" s="299">
        <v>0.18672634249058467</v>
      </c>
      <c r="CI101" s="301" t="s">
        <v>158</v>
      </c>
      <c r="CJ101" s="301" t="s">
        <v>158</v>
      </c>
      <c r="CK101" s="301" t="s">
        <v>158</v>
      </c>
      <c r="CL101" s="301" t="s">
        <v>158</v>
      </c>
      <c r="CM101" s="301" t="s">
        <v>158</v>
      </c>
      <c r="CN101" s="301" t="s">
        <v>158</v>
      </c>
      <c r="CO101" s="301" t="s">
        <v>158</v>
      </c>
      <c r="CP101" s="301" t="s">
        <v>158</v>
      </c>
      <c r="CQ101" s="301" t="s">
        <v>158</v>
      </c>
      <c r="CR101" s="301" t="s">
        <v>158</v>
      </c>
      <c r="CS101" s="301" t="s">
        <v>158</v>
      </c>
      <c r="CT101" s="301" t="s">
        <v>158</v>
      </c>
      <c r="CU101" s="301" t="s">
        <v>158</v>
      </c>
      <c r="CV101" s="301" t="s">
        <v>158</v>
      </c>
      <c r="CW101" s="301" t="s">
        <v>158</v>
      </c>
      <c r="CX101" s="301" t="s">
        <v>158</v>
      </c>
      <c r="CY101" s="304" t="s">
        <v>158</v>
      </c>
    </row>
    <row r="102" spans="1:103" x14ac:dyDescent="0.2">
      <c r="A102" s="32" t="s">
        <v>4</v>
      </c>
      <c r="B102" s="14" t="s">
        <v>4</v>
      </c>
      <c r="C102" s="14" t="s">
        <v>19</v>
      </c>
      <c r="G102" s="4">
        <v>43332</v>
      </c>
      <c r="H102" s="16">
        <v>2018</v>
      </c>
      <c r="I102" s="135" t="s">
        <v>33</v>
      </c>
      <c r="J102" s="135">
        <v>10</v>
      </c>
      <c r="K102" s="136">
        <v>0.292873413602383</v>
      </c>
      <c r="L102" s="5">
        <v>5.4901960784313752</v>
      </c>
      <c r="M102" s="5">
        <v>0.27893942660056048</v>
      </c>
      <c r="N102" s="5">
        <v>0.60719443845656385</v>
      </c>
      <c r="O102" s="5">
        <v>1.9677408924337139</v>
      </c>
      <c r="P102" s="5">
        <v>1.7948049148523388</v>
      </c>
      <c r="Q102" s="5">
        <v>3.2576255658547097</v>
      </c>
      <c r="R102" s="5">
        <v>3.238844578572968</v>
      </c>
      <c r="S102" s="5">
        <v>0.73065854710066824</v>
      </c>
      <c r="T102" s="5">
        <v>11.875808363871524</v>
      </c>
      <c r="U102" s="17">
        <f t="shared" si="7"/>
        <v>172.10513110462068</v>
      </c>
      <c r="V102" s="5" t="s">
        <v>487</v>
      </c>
      <c r="W102" s="5">
        <v>0.11104504541588939</v>
      </c>
      <c r="X102" s="5">
        <v>5.6389560447935305E-2</v>
      </c>
      <c r="Y102" s="5">
        <v>9.8603534806820936E-2</v>
      </c>
      <c r="Z102" s="5">
        <v>8.5933030233457039E-2</v>
      </c>
      <c r="AA102" s="5" t="s">
        <v>468</v>
      </c>
      <c r="AB102" s="5" t="s">
        <v>487</v>
      </c>
      <c r="AC102" s="5" t="s">
        <v>438</v>
      </c>
      <c r="AD102" s="5">
        <v>0.35197117090410268</v>
      </c>
      <c r="AE102" s="17">
        <f t="shared" ref="AE102:AE128" si="13">SUM(V102,W102,Y102,X102,AB102,AA102)</f>
        <v>0.26603814067064563</v>
      </c>
      <c r="AF102" s="5">
        <v>4.4956348350937703E-2</v>
      </c>
      <c r="AG102" s="18">
        <f>(AF102/K102)*5</f>
        <v>0.76750476934673717</v>
      </c>
      <c r="AH102" s="279">
        <v>11.850856232576664</v>
      </c>
      <c r="AI102" s="280">
        <v>-0.2</v>
      </c>
      <c r="AJ102" s="280">
        <v>-0.2</v>
      </c>
      <c r="AK102" s="280">
        <v>-0.02</v>
      </c>
      <c r="AL102" s="280">
        <v>0.16427718040621267</v>
      </c>
      <c r="AM102" s="280">
        <v>-0.1</v>
      </c>
      <c r="AN102" s="280">
        <v>0.39117881322182402</v>
      </c>
      <c r="AO102" s="280">
        <v>-0.2</v>
      </c>
      <c r="AP102" s="280">
        <v>-0.05</v>
      </c>
      <c r="AQ102" s="280">
        <v>0.33157440594716581</v>
      </c>
      <c r="AR102" s="280">
        <v>0.12208615425461304</v>
      </c>
      <c r="AS102" s="5" t="s">
        <v>158</v>
      </c>
      <c r="AT102" s="5" t="s">
        <v>158</v>
      </c>
      <c r="AU102" s="5" t="s">
        <v>158</v>
      </c>
      <c r="AV102" s="5" t="s">
        <v>158</v>
      </c>
      <c r="AW102" s="5" t="s">
        <v>158</v>
      </c>
      <c r="BC102" s="5">
        <v>140</v>
      </c>
      <c r="BD102" s="5" t="s">
        <v>437</v>
      </c>
      <c r="BE102" s="5" t="s">
        <v>438</v>
      </c>
      <c r="BF102" s="5">
        <v>3.9414414414414414E-2</v>
      </c>
      <c r="BG102" s="5" t="s">
        <v>437</v>
      </c>
      <c r="BH102" s="5" t="s">
        <v>488</v>
      </c>
      <c r="BI102" s="5">
        <v>6.2473817567567576</v>
      </c>
      <c r="BJ102" s="5">
        <v>0.95692567567567577</v>
      </c>
      <c r="BK102" s="5" t="s">
        <v>488</v>
      </c>
      <c r="BL102" s="5">
        <v>4.8378659909909913</v>
      </c>
      <c r="BM102" s="5">
        <v>0.22687781531531537</v>
      </c>
      <c r="BN102" s="17">
        <v>100</v>
      </c>
      <c r="BO102" s="5" t="s">
        <v>489</v>
      </c>
      <c r="BP102" s="5" t="s">
        <v>162</v>
      </c>
      <c r="BQ102" s="5">
        <v>2.1565513994647985</v>
      </c>
      <c r="BR102" s="5" t="s">
        <v>490</v>
      </c>
      <c r="BS102" s="5" t="s">
        <v>437</v>
      </c>
      <c r="BT102" s="5">
        <v>2.8482671838103841</v>
      </c>
      <c r="BU102" s="5">
        <v>4.94355775638215</v>
      </c>
      <c r="BV102" s="5" t="s">
        <v>481</v>
      </c>
      <c r="BW102" s="5" t="s">
        <v>481</v>
      </c>
      <c r="BX102" s="5" t="s">
        <v>481</v>
      </c>
      <c r="BY102" s="5">
        <v>0.46182250865355157</v>
      </c>
      <c r="BZ102" s="5">
        <v>1.96622118572614</v>
      </c>
      <c r="CA102" s="5" t="s">
        <v>481</v>
      </c>
      <c r="CB102" s="5">
        <v>0.27326767661836199</v>
      </c>
      <c r="CC102" s="5">
        <v>10.957537485233415</v>
      </c>
      <c r="CD102" s="5" t="s">
        <v>481</v>
      </c>
      <c r="CE102" s="5">
        <v>0.56363211476430231</v>
      </c>
      <c r="CF102" s="5" t="s">
        <v>481</v>
      </c>
      <c r="CG102" s="5" t="s">
        <v>481</v>
      </c>
      <c r="CH102" s="5" t="s">
        <v>481</v>
      </c>
      <c r="CI102" s="17" t="s">
        <v>158</v>
      </c>
      <c r="CJ102" s="17" t="s">
        <v>158</v>
      </c>
      <c r="CK102" s="17" t="s">
        <v>158</v>
      </c>
      <c r="CL102" s="17" t="s">
        <v>158</v>
      </c>
      <c r="CM102" s="17" t="s">
        <v>158</v>
      </c>
      <c r="CN102" s="17" t="s">
        <v>158</v>
      </c>
      <c r="CO102" s="17" t="s">
        <v>158</v>
      </c>
      <c r="CP102" s="17" t="s">
        <v>158</v>
      </c>
      <c r="CQ102" s="17" t="s">
        <v>158</v>
      </c>
      <c r="CR102" s="17" t="s">
        <v>158</v>
      </c>
      <c r="CS102" s="17" t="s">
        <v>158</v>
      </c>
      <c r="CT102" s="17" t="s">
        <v>158</v>
      </c>
      <c r="CU102" s="17" t="s">
        <v>158</v>
      </c>
      <c r="CV102" s="17" t="s">
        <v>158</v>
      </c>
      <c r="CW102" s="17" t="s">
        <v>158</v>
      </c>
      <c r="CX102" s="17" t="s">
        <v>158</v>
      </c>
      <c r="CY102" s="67" t="s">
        <v>158</v>
      </c>
    </row>
    <row r="103" spans="1:103" x14ac:dyDescent="0.2">
      <c r="A103" s="32" t="s">
        <v>82</v>
      </c>
      <c r="B103" s="14" t="s">
        <v>82</v>
      </c>
      <c r="C103" s="14" t="s">
        <v>19</v>
      </c>
      <c r="G103" s="4">
        <v>43329</v>
      </c>
      <c r="H103" s="16">
        <v>2018</v>
      </c>
      <c r="I103" s="135" t="s">
        <v>33</v>
      </c>
      <c r="J103" s="135">
        <v>15</v>
      </c>
      <c r="K103" s="136">
        <v>0.25720620842575137</v>
      </c>
      <c r="L103" s="5">
        <v>3.2450808694756677</v>
      </c>
      <c r="M103" s="5">
        <v>0.68899128290835587</v>
      </c>
      <c r="N103" s="5">
        <v>1.2293456115012402</v>
      </c>
      <c r="O103" s="5">
        <v>4.6938896402560601</v>
      </c>
      <c r="P103" s="5">
        <v>3.8195135216425982</v>
      </c>
      <c r="Q103" s="5">
        <v>7.9998650273419969</v>
      </c>
      <c r="R103" s="5">
        <v>7.3394171546110716</v>
      </c>
      <c r="S103" s="5">
        <v>2.4935294199585876</v>
      </c>
      <c r="T103" s="5">
        <v>28.264551658219911</v>
      </c>
      <c r="U103" s="17">
        <f t="shared" si="7"/>
        <v>475.2031120515108</v>
      </c>
      <c r="V103" s="5" t="s">
        <v>483</v>
      </c>
      <c r="W103" s="5">
        <v>8.6783707965423215E-2</v>
      </c>
      <c r="X103" s="5">
        <v>3.1317323877682657E-2</v>
      </c>
      <c r="Y103" s="5">
        <v>4.7012528414843338E-2</v>
      </c>
      <c r="Z103" s="5" t="s">
        <v>483</v>
      </c>
      <c r="AA103" s="5" t="s">
        <v>482</v>
      </c>
      <c r="AB103" s="5">
        <v>3.0430310686378602E-2</v>
      </c>
      <c r="AC103" s="5" t="s">
        <v>438</v>
      </c>
      <c r="AD103" s="5">
        <v>0.19554387094432782</v>
      </c>
      <c r="AE103" s="17">
        <f t="shared" si="13"/>
        <v>0.19554387094432782</v>
      </c>
      <c r="AF103" s="5">
        <v>2.8855094118948973E-2</v>
      </c>
      <c r="AG103" s="18">
        <f t="shared" ref="AG103:AG111" si="14">(AF103/K103)*5</f>
        <v>0.56093307963984618</v>
      </c>
      <c r="AH103" s="279">
        <v>3.9216209010930423</v>
      </c>
      <c r="AI103" s="280">
        <v>-0.2</v>
      </c>
      <c r="AJ103" s="280">
        <v>-0.2</v>
      </c>
      <c r="AK103" s="280">
        <v>-0.02</v>
      </c>
      <c r="AL103" s="280">
        <v>-0.1</v>
      </c>
      <c r="AM103" s="280">
        <v>-0.1</v>
      </c>
      <c r="AN103" s="280">
        <v>-0.1</v>
      </c>
      <c r="AO103" s="280">
        <v>-0.2</v>
      </c>
      <c r="AP103" s="280">
        <v>-0.05</v>
      </c>
      <c r="AQ103" s="280">
        <v>0.14399123196777155</v>
      </c>
      <c r="AR103" s="280">
        <v>0.1151900234011671</v>
      </c>
      <c r="AS103" s="5" t="s">
        <v>158</v>
      </c>
      <c r="AT103" s="5" t="s">
        <v>158</v>
      </c>
      <c r="AU103" s="5" t="s">
        <v>158</v>
      </c>
      <c r="AV103" s="5" t="s">
        <v>158</v>
      </c>
      <c r="AW103" s="5" t="s">
        <v>158</v>
      </c>
      <c r="BC103" s="5">
        <v>58.548868560423685</v>
      </c>
      <c r="BD103" s="5" t="s">
        <v>437</v>
      </c>
      <c r="BE103" s="5" t="s">
        <v>438</v>
      </c>
      <c r="BF103" s="5">
        <v>0.31937088749799392</v>
      </c>
      <c r="BG103" s="5" t="s">
        <v>437</v>
      </c>
      <c r="BH103" s="5">
        <v>8.9231263039640463E-2</v>
      </c>
      <c r="BI103" s="5">
        <v>2.0865671641791042</v>
      </c>
      <c r="BJ103" s="5">
        <v>0.6913818006740492</v>
      </c>
      <c r="BK103" s="5">
        <v>0.68656716417910446</v>
      </c>
      <c r="BL103" s="5">
        <v>1.8276681110576152</v>
      </c>
      <c r="BM103" s="5">
        <v>0.32992136093724922</v>
      </c>
      <c r="BN103" s="17">
        <v>240</v>
      </c>
      <c r="BO103" s="5">
        <v>3.7147480048698935</v>
      </c>
      <c r="BP103" s="5" t="s">
        <v>162</v>
      </c>
      <c r="BQ103" s="5" t="s">
        <v>437</v>
      </c>
      <c r="BR103" s="5">
        <v>2.8242698857238118</v>
      </c>
      <c r="BS103" s="5" t="s">
        <v>437</v>
      </c>
      <c r="BT103" s="5" t="s">
        <v>164</v>
      </c>
      <c r="BU103" s="5" t="s">
        <v>164</v>
      </c>
      <c r="BV103" s="5" t="s">
        <v>481</v>
      </c>
      <c r="BW103" s="5">
        <v>0.21533437308481992</v>
      </c>
      <c r="BX103" s="5" t="s">
        <v>481</v>
      </c>
      <c r="BY103" s="5">
        <v>0.15844538234022512</v>
      </c>
      <c r="BZ103" s="5">
        <v>1.5987682877689999</v>
      </c>
      <c r="CA103" s="5" t="s">
        <v>481</v>
      </c>
      <c r="CB103" s="5">
        <v>0.28858978820912901</v>
      </c>
      <c r="CC103" s="5" t="s">
        <v>481</v>
      </c>
      <c r="CD103" s="5">
        <v>0.23481159751060296</v>
      </c>
      <c r="CE103" s="5">
        <v>1.5119068209517521</v>
      </c>
      <c r="CF103" s="5" t="s">
        <v>481</v>
      </c>
      <c r="CG103" s="5" t="s">
        <v>481</v>
      </c>
      <c r="CH103" s="5" t="s">
        <v>481</v>
      </c>
      <c r="CI103" s="17" t="s">
        <v>158</v>
      </c>
      <c r="CJ103" s="17" t="s">
        <v>158</v>
      </c>
      <c r="CK103" s="17" t="s">
        <v>158</v>
      </c>
      <c r="CL103" s="17" t="s">
        <v>158</v>
      </c>
      <c r="CM103" s="17" t="s">
        <v>158</v>
      </c>
      <c r="CN103" s="17" t="s">
        <v>158</v>
      </c>
      <c r="CO103" s="17" t="s">
        <v>158</v>
      </c>
      <c r="CP103" s="17" t="s">
        <v>158</v>
      </c>
      <c r="CQ103" s="17" t="s">
        <v>158</v>
      </c>
      <c r="CR103" s="17" t="s">
        <v>158</v>
      </c>
      <c r="CS103" s="17" t="s">
        <v>158</v>
      </c>
      <c r="CT103" s="17" t="s">
        <v>158</v>
      </c>
      <c r="CU103" s="17" t="s">
        <v>158</v>
      </c>
      <c r="CV103" s="17" t="s">
        <v>158</v>
      </c>
      <c r="CW103" s="17" t="s">
        <v>158</v>
      </c>
      <c r="CX103" s="17" t="s">
        <v>158</v>
      </c>
      <c r="CY103" s="67" t="s">
        <v>158</v>
      </c>
    </row>
    <row r="104" spans="1:103" x14ac:dyDescent="0.2">
      <c r="A104" s="32" t="s">
        <v>112</v>
      </c>
      <c r="B104" s="14" t="s">
        <v>24</v>
      </c>
      <c r="C104" s="14" t="s">
        <v>19</v>
      </c>
      <c r="G104" s="4">
        <v>43333</v>
      </c>
      <c r="H104" s="16">
        <v>2018</v>
      </c>
      <c r="I104" s="135" t="s">
        <v>33</v>
      </c>
      <c r="J104" s="135">
        <v>12</v>
      </c>
      <c r="K104" s="136">
        <v>0.34308164789861167</v>
      </c>
      <c r="L104" s="5">
        <v>3.6368003843382328</v>
      </c>
      <c r="M104" s="5">
        <v>0.48195788843428794</v>
      </c>
      <c r="N104" s="5">
        <v>1.1328659814389781</v>
      </c>
      <c r="O104" s="5">
        <v>3.2641652529687653</v>
      </c>
      <c r="P104" s="5">
        <v>2.6845524398762599</v>
      </c>
      <c r="Q104" s="5">
        <v>5.1638608921265341</v>
      </c>
      <c r="R104" s="5">
        <v>4.928051092705318</v>
      </c>
      <c r="S104" s="5">
        <v>1.465667099091907</v>
      </c>
      <c r="T104" s="5">
        <v>19.121120646642048</v>
      </c>
      <c r="U104" s="17">
        <f t="shared" si="7"/>
        <v>239.54309866820918</v>
      </c>
      <c r="V104" s="5" t="s">
        <v>483</v>
      </c>
      <c r="W104" s="5">
        <v>7.4620489115553551E-2</v>
      </c>
      <c r="X104" s="5">
        <v>2.0356902382176214E-2</v>
      </c>
      <c r="Y104" s="5">
        <v>4.5954687725571854E-2</v>
      </c>
      <c r="Z104" s="5" t="s">
        <v>483</v>
      </c>
      <c r="AA104" s="5" t="s">
        <v>482</v>
      </c>
      <c r="AB104" s="5">
        <v>1.2448623407075811E-2</v>
      </c>
      <c r="AC104" s="5" t="s">
        <v>438</v>
      </c>
      <c r="AD104" s="5">
        <v>0.15338070263037742</v>
      </c>
      <c r="AE104" s="17">
        <f t="shared" si="13"/>
        <v>0.15338070263037742</v>
      </c>
      <c r="AF104" s="5">
        <v>3.2574593353956689E-2</v>
      </c>
      <c r="AG104" s="18">
        <f t="shared" si="14"/>
        <v>0.47473529338391213</v>
      </c>
      <c r="AH104" s="279">
        <v>3.5299954894000902</v>
      </c>
      <c r="AI104" s="280">
        <v>-0.2</v>
      </c>
      <c r="AJ104" s="280">
        <v>-0.2</v>
      </c>
      <c r="AK104" s="280">
        <v>-0.02</v>
      </c>
      <c r="AL104" s="280">
        <v>-0.1</v>
      </c>
      <c r="AM104" s="280">
        <v>-0.1</v>
      </c>
      <c r="AN104" s="280">
        <v>-0.1</v>
      </c>
      <c r="AO104" s="280">
        <v>-0.2</v>
      </c>
      <c r="AP104" s="280">
        <v>-0.05</v>
      </c>
      <c r="AQ104" s="280">
        <v>0.13805442790557809</v>
      </c>
      <c r="AR104" s="280">
        <v>0.10611035934445948</v>
      </c>
      <c r="AS104" s="5" t="s">
        <v>158</v>
      </c>
      <c r="AT104" s="5" t="s">
        <v>158</v>
      </c>
      <c r="AU104" s="5" t="s">
        <v>158</v>
      </c>
      <c r="AV104" s="5" t="s">
        <v>158</v>
      </c>
      <c r="AW104" s="5" t="s">
        <v>158</v>
      </c>
      <c r="BC104" s="5">
        <v>70.473956338567589</v>
      </c>
      <c r="BD104" s="5" t="s">
        <v>437</v>
      </c>
      <c r="BE104" s="5" t="s">
        <v>438</v>
      </c>
      <c r="BF104" s="5">
        <v>0.22660538746329628</v>
      </c>
      <c r="BG104" s="5" t="s">
        <v>437</v>
      </c>
      <c r="BH104" s="5" t="s">
        <v>488</v>
      </c>
      <c r="BI104" s="5">
        <v>2.9652432018383759</v>
      </c>
      <c r="BJ104" s="5">
        <v>0.93163538873994634</v>
      </c>
      <c r="BK104" s="5" t="s">
        <v>488</v>
      </c>
      <c r="BL104" s="5">
        <v>2.2960870675347884</v>
      </c>
      <c r="BM104" s="5">
        <v>0.20549917017745437</v>
      </c>
      <c r="BN104" s="17">
        <v>190</v>
      </c>
      <c r="BO104" s="5" t="s">
        <v>161</v>
      </c>
      <c r="BP104" s="5" t="s">
        <v>162</v>
      </c>
      <c r="BQ104" s="5">
        <v>0.86593309944948949</v>
      </c>
      <c r="BR104" s="5" t="s">
        <v>490</v>
      </c>
      <c r="BS104" s="5" t="s">
        <v>437</v>
      </c>
      <c r="BT104" s="5" t="s">
        <v>164</v>
      </c>
      <c r="BU104" s="5" t="s">
        <v>164</v>
      </c>
      <c r="BV104" s="5" t="s">
        <v>481</v>
      </c>
      <c r="BW104" s="5" t="s">
        <v>481</v>
      </c>
      <c r="BX104" s="5" t="s">
        <v>481</v>
      </c>
      <c r="BY104" s="5">
        <v>0.42937522720224869</v>
      </c>
      <c r="BZ104" s="5">
        <v>0.70476582515727004</v>
      </c>
      <c r="CA104" s="5" t="s">
        <v>481</v>
      </c>
      <c r="CB104" s="5" t="s">
        <v>481</v>
      </c>
      <c r="CC104" s="5">
        <v>9.0257433236374727</v>
      </c>
      <c r="CD104" s="5" t="s">
        <v>481</v>
      </c>
      <c r="CE104" s="5">
        <v>0.47255119565978276</v>
      </c>
      <c r="CF104" s="5" t="s">
        <v>481</v>
      </c>
      <c r="CG104" s="5" t="s">
        <v>481</v>
      </c>
      <c r="CH104" s="5" t="s">
        <v>481</v>
      </c>
      <c r="CI104" s="17" t="s">
        <v>158</v>
      </c>
      <c r="CJ104" s="17" t="s">
        <v>158</v>
      </c>
      <c r="CK104" s="17" t="s">
        <v>158</v>
      </c>
      <c r="CL104" s="17" t="s">
        <v>158</v>
      </c>
      <c r="CM104" s="17" t="s">
        <v>158</v>
      </c>
      <c r="CN104" s="17" t="s">
        <v>158</v>
      </c>
      <c r="CO104" s="17" t="s">
        <v>158</v>
      </c>
      <c r="CP104" s="17" t="s">
        <v>158</v>
      </c>
      <c r="CQ104" s="17" t="s">
        <v>158</v>
      </c>
      <c r="CR104" s="17" t="s">
        <v>158</v>
      </c>
      <c r="CS104" s="17" t="s">
        <v>158</v>
      </c>
      <c r="CT104" s="17" t="s">
        <v>158</v>
      </c>
      <c r="CU104" s="17" t="s">
        <v>158</v>
      </c>
      <c r="CV104" s="17" t="s">
        <v>158</v>
      </c>
      <c r="CW104" s="17" t="s">
        <v>158</v>
      </c>
      <c r="CX104" s="17" t="s">
        <v>158</v>
      </c>
      <c r="CY104" s="67" t="s">
        <v>158</v>
      </c>
    </row>
    <row r="105" spans="1:103" x14ac:dyDescent="0.2">
      <c r="A105" s="32" t="s">
        <v>21</v>
      </c>
      <c r="B105" s="14" t="s">
        <v>21</v>
      </c>
      <c r="C105" s="14" t="s">
        <v>19</v>
      </c>
      <c r="G105" s="4">
        <v>43327</v>
      </c>
      <c r="H105" s="16">
        <v>2018</v>
      </c>
      <c r="I105" s="135" t="s">
        <v>33</v>
      </c>
      <c r="J105" s="135">
        <v>12</v>
      </c>
      <c r="K105" s="136">
        <v>0.41920597456584663</v>
      </c>
      <c r="L105" s="5">
        <v>3.0491996464696083</v>
      </c>
      <c r="M105" s="5" t="s">
        <v>485</v>
      </c>
      <c r="N105" s="5">
        <v>8.2934702084876716E-2</v>
      </c>
      <c r="O105" s="5">
        <v>1.5298550111122871</v>
      </c>
      <c r="P105" s="5">
        <v>1.3751402264789925</v>
      </c>
      <c r="Q105" s="5">
        <v>6.5432373796168903</v>
      </c>
      <c r="R105" s="5">
        <v>5.5734998412530423</v>
      </c>
      <c r="S105" s="5">
        <v>2.5909143824743364</v>
      </c>
      <c r="T105" s="5">
        <v>17.695581543020424</v>
      </c>
      <c r="U105" s="17">
        <f t="shared" si="7"/>
        <v>194.65897800530877</v>
      </c>
      <c r="V105" s="5" t="s">
        <v>487</v>
      </c>
      <c r="W105" s="5">
        <v>0.22831771465736392</v>
      </c>
      <c r="X105" s="5">
        <v>8.2000012079135501E-2</v>
      </c>
      <c r="Y105" s="5">
        <v>0.15643782434260922</v>
      </c>
      <c r="Z105" s="5" t="s">
        <v>487</v>
      </c>
      <c r="AA105" s="5">
        <v>4.2603244921032436E-2</v>
      </c>
      <c r="AB105" s="5">
        <v>3.0467775155647431E-2</v>
      </c>
      <c r="AC105" s="5" t="s">
        <v>438</v>
      </c>
      <c r="AD105" s="5">
        <v>0.53982657115578858</v>
      </c>
      <c r="AE105" s="17">
        <f t="shared" si="13"/>
        <v>0.53982657115578847</v>
      </c>
      <c r="AF105" s="5">
        <v>3.0560376759445444E-2</v>
      </c>
      <c r="AG105" s="18">
        <f t="shared" si="14"/>
        <v>0.36450311557576787</v>
      </c>
      <c r="AH105" s="279">
        <v>20.195319871673902</v>
      </c>
      <c r="AI105" s="280">
        <v>-0.2</v>
      </c>
      <c r="AJ105" s="280">
        <v>-0.2</v>
      </c>
      <c r="AK105" s="280">
        <v>-0.02</v>
      </c>
      <c r="AL105" s="280">
        <v>-0.1</v>
      </c>
      <c r="AM105" s="280">
        <v>-0.1</v>
      </c>
      <c r="AN105" s="280">
        <v>0.34714096999433852</v>
      </c>
      <c r="AO105" s="280">
        <v>-0.2</v>
      </c>
      <c r="AP105" s="280">
        <v>-0.05</v>
      </c>
      <c r="AQ105" s="280">
        <v>0.21610995785368306</v>
      </c>
      <c r="AR105" s="280">
        <v>0.10626847832924449</v>
      </c>
      <c r="AS105" s="5" t="s">
        <v>158</v>
      </c>
      <c r="AT105" s="5" t="s">
        <v>158</v>
      </c>
      <c r="AU105" s="5" t="s">
        <v>158</v>
      </c>
      <c r="AV105" s="5" t="s">
        <v>158</v>
      </c>
      <c r="AW105" s="5" t="s">
        <v>158</v>
      </c>
      <c r="BC105" s="5">
        <v>260</v>
      </c>
      <c r="BD105" s="5" t="s">
        <v>437</v>
      </c>
      <c r="BE105" s="5" t="s">
        <v>438</v>
      </c>
      <c r="BF105" s="5">
        <v>0.33271478334472765</v>
      </c>
      <c r="BG105" s="5" t="s">
        <v>437</v>
      </c>
      <c r="BH105" s="5" t="s">
        <v>488</v>
      </c>
      <c r="BI105" s="5">
        <v>7.2437738060357457</v>
      </c>
      <c r="BJ105" s="5">
        <v>4.4564898915909756</v>
      </c>
      <c r="BK105" s="5" t="s">
        <v>488</v>
      </c>
      <c r="BL105" s="5">
        <v>3.9730767978643744</v>
      </c>
      <c r="BM105" s="5">
        <v>0.2076602532799427</v>
      </c>
      <c r="BN105" s="17">
        <v>90</v>
      </c>
      <c r="BO105" s="5" t="s">
        <v>161</v>
      </c>
      <c r="BP105" s="5" t="s">
        <v>162</v>
      </c>
      <c r="BQ105" s="5">
        <v>2.1790858743679076</v>
      </c>
      <c r="BR105" s="5">
        <v>2.2210987287025525</v>
      </c>
      <c r="BS105" s="5" t="s">
        <v>437</v>
      </c>
      <c r="BT105" s="5" t="s">
        <v>164</v>
      </c>
      <c r="BU105" s="5" t="s">
        <v>164</v>
      </c>
      <c r="BV105" s="5" t="s">
        <v>481</v>
      </c>
      <c r="BW105" s="5" t="s">
        <v>481</v>
      </c>
      <c r="BX105" s="5">
        <v>0.25833495611277191</v>
      </c>
      <c r="BY105" s="5">
        <v>0.55409375993113974</v>
      </c>
      <c r="BZ105" s="5">
        <v>1.6016051477059801</v>
      </c>
      <c r="CA105" s="5" t="s">
        <v>481</v>
      </c>
      <c r="CB105" s="5" t="s">
        <v>481</v>
      </c>
      <c r="CC105" s="5" t="s">
        <v>481</v>
      </c>
      <c r="CD105" s="5" t="s">
        <v>481</v>
      </c>
      <c r="CE105" s="5">
        <v>0.64685840057097199</v>
      </c>
      <c r="CF105" s="5" t="s">
        <v>481</v>
      </c>
      <c r="CG105" s="5" t="s">
        <v>481</v>
      </c>
      <c r="CH105" s="5" t="s">
        <v>481</v>
      </c>
      <c r="CI105" s="17" t="s">
        <v>158</v>
      </c>
      <c r="CJ105" s="17" t="s">
        <v>158</v>
      </c>
      <c r="CK105" s="17" t="s">
        <v>158</v>
      </c>
      <c r="CL105" s="17" t="s">
        <v>158</v>
      </c>
      <c r="CM105" s="17" t="s">
        <v>158</v>
      </c>
      <c r="CN105" s="17" t="s">
        <v>158</v>
      </c>
      <c r="CO105" s="17" t="s">
        <v>158</v>
      </c>
      <c r="CP105" s="17" t="s">
        <v>158</v>
      </c>
      <c r="CQ105" s="17" t="s">
        <v>158</v>
      </c>
      <c r="CR105" s="17" t="s">
        <v>158</v>
      </c>
      <c r="CS105" s="17" t="s">
        <v>158</v>
      </c>
      <c r="CT105" s="17" t="s">
        <v>158</v>
      </c>
      <c r="CU105" s="17" t="s">
        <v>158</v>
      </c>
      <c r="CV105" s="17" t="s">
        <v>158</v>
      </c>
      <c r="CW105" s="17" t="s">
        <v>158</v>
      </c>
      <c r="CX105" s="17" t="s">
        <v>158</v>
      </c>
      <c r="CY105" s="67" t="s">
        <v>158</v>
      </c>
    </row>
    <row r="106" spans="1:103" x14ac:dyDescent="0.2">
      <c r="A106" s="32" t="s">
        <v>22</v>
      </c>
      <c r="B106" s="14" t="s">
        <v>22</v>
      </c>
      <c r="C106" s="14" t="s">
        <v>19</v>
      </c>
      <c r="G106" s="4">
        <v>43332</v>
      </c>
      <c r="H106" s="16">
        <v>2018</v>
      </c>
      <c r="I106" s="135" t="s">
        <v>33</v>
      </c>
      <c r="J106" s="135">
        <v>10</v>
      </c>
      <c r="K106" s="136">
        <v>0.30712932104814117</v>
      </c>
      <c r="L106" s="5">
        <v>3.830376371654189</v>
      </c>
      <c r="M106" s="5">
        <v>0.6939479035537911</v>
      </c>
      <c r="N106" s="5">
        <v>2.0754381717827055</v>
      </c>
      <c r="O106" s="5">
        <v>7.121884380749492</v>
      </c>
      <c r="P106" s="5">
        <v>5.5400213033794907</v>
      </c>
      <c r="Q106" s="5">
        <v>13.700866660211098</v>
      </c>
      <c r="R106" s="5">
        <v>12.835189309576839</v>
      </c>
      <c r="S106" s="5">
        <v>4.2656095671540619</v>
      </c>
      <c r="T106" s="5">
        <v>46.232957296407477</v>
      </c>
      <c r="U106" s="17">
        <f t="shared" si="7"/>
        <v>662.47233989504946</v>
      </c>
      <c r="V106" s="5" t="s">
        <v>483</v>
      </c>
      <c r="W106" s="5">
        <v>0.28488883099087009</v>
      </c>
      <c r="X106" s="5">
        <v>0.10052463025888335</v>
      </c>
      <c r="Y106" s="5">
        <v>0.27551925850083175</v>
      </c>
      <c r="Z106" s="5" t="s">
        <v>483</v>
      </c>
      <c r="AA106" s="5">
        <v>3.9410836842264603E-2</v>
      </c>
      <c r="AB106" s="5">
        <v>4.5657929947623577E-2</v>
      </c>
      <c r="AC106" s="5" t="s">
        <v>438</v>
      </c>
      <c r="AD106" s="5">
        <v>0.74600148654047338</v>
      </c>
      <c r="AE106" s="17">
        <f t="shared" si="13"/>
        <v>0.74600148654047349</v>
      </c>
      <c r="AF106" s="5">
        <v>5.4708531035150568E-2</v>
      </c>
      <c r="AG106" s="18">
        <f t="shared" si="14"/>
        <v>0.89064324513932103</v>
      </c>
      <c r="AH106" s="279">
        <v>15.152957171991844</v>
      </c>
      <c r="AI106" s="280">
        <v>-0.2</v>
      </c>
      <c r="AJ106" s="280">
        <v>-0.2</v>
      </c>
      <c r="AK106" s="280">
        <v>-0.02</v>
      </c>
      <c r="AL106" s="280">
        <v>0.19520248616101776</v>
      </c>
      <c r="AM106" s="280">
        <v>-0.1</v>
      </c>
      <c r="AN106" s="280">
        <v>0.50587549771778184</v>
      </c>
      <c r="AO106" s="280">
        <v>-0.2</v>
      </c>
      <c r="AP106" s="280">
        <v>-0.05</v>
      </c>
      <c r="AQ106" s="280">
        <v>0.62254378297886115</v>
      </c>
      <c r="AR106" s="280">
        <v>0.11714415201838722</v>
      </c>
      <c r="AS106" s="5" t="s">
        <v>158</v>
      </c>
      <c r="AT106" s="5" t="s">
        <v>158</v>
      </c>
      <c r="AU106" s="5" t="s">
        <v>158</v>
      </c>
      <c r="AV106" s="5" t="s">
        <v>158</v>
      </c>
      <c r="AW106" s="5" t="s">
        <v>158</v>
      </c>
      <c r="BC106" s="5">
        <v>110</v>
      </c>
      <c r="BD106" s="5" t="s">
        <v>437</v>
      </c>
      <c r="BE106" s="5" t="s">
        <v>438</v>
      </c>
      <c r="BF106" s="5">
        <v>0.15173566192324278</v>
      </c>
      <c r="BG106" s="5" t="s">
        <v>437</v>
      </c>
      <c r="BH106" s="5" t="s">
        <v>488</v>
      </c>
      <c r="BI106" s="5">
        <v>2.8597186287192757</v>
      </c>
      <c r="BJ106" s="5">
        <v>1.4092820181112549</v>
      </c>
      <c r="BK106" s="5" t="s">
        <v>488</v>
      </c>
      <c r="BL106" s="5">
        <v>3.0304279862009489</v>
      </c>
      <c r="BM106" s="5">
        <v>0.18080799913755932</v>
      </c>
      <c r="BN106" s="17">
        <v>110</v>
      </c>
      <c r="BO106" s="5">
        <v>2.0811106317668981</v>
      </c>
      <c r="BP106" s="5" t="s">
        <v>162</v>
      </c>
      <c r="BQ106" s="5">
        <v>0.32136058549477453</v>
      </c>
      <c r="BR106" s="5" t="s">
        <v>490</v>
      </c>
      <c r="BS106" s="5">
        <v>1.2956023230632374</v>
      </c>
      <c r="BT106" s="5" t="s">
        <v>164</v>
      </c>
      <c r="BU106" s="5" t="s">
        <v>164</v>
      </c>
      <c r="BV106" s="5" t="s">
        <v>481</v>
      </c>
      <c r="BW106" s="5" t="s">
        <v>481</v>
      </c>
      <c r="BX106" s="5">
        <v>0.21172998098916415</v>
      </c>
      <c r="BY106" s="5">
        <v>0.58464481295433379</v>
      </c>
      <c r="BZ106" s="5">
        <v>3.77051507090437</v>
      </c>
      <c r="CA106" s="5" t="s">
        <v>481</v>
      </c>
      <c r="CB106" s="5" t="s">
        <v>481</v>
      </c>
      <c r="CC106" s="5" t="s">
        <v>481</v>
      </c>
      <c r="CD106" s="5" t="s">
        <v>481</v>
      </c>
      <c r="CE106" s="5">
        <v>0.50786539393511243</v>
      </c>
      <c r="CF106" s="5" t="s">
        <v>481</v>
      </c>
      <c r="CG106" s="5" t="s">
        <v>481</v>
      </c>
      <c r="CH106" s="5" t="s">
        <v>481</v>
      </c>
      <c r="CI106" s="17" t="s">
        <v>158</v>
      </c>
      <c r="CJ106" s="17" t="s">
        <v>158</v>
      </c>
      <c r="CK106" s="17" t="s">
        <v>158</v>
      </c>
      <c r="CL106" s="17" t="s">
        <v>158</v>
      </c>
      <c r="CM106" s="17" t="s">
        <v>158</v>
      </c>
      <c r="CN106" s="17" t="s">
        <v>158</v>
      </c>
      <c r="CO106" s="17" t="s">
        <v>158</v>
      </c>
      <c r="CP106" s="17" t="s">
        <v>158</v>
      </c>
      <c r="CQ106" s="17" t="s">
        <v>158</v>
      </c>
      <c r="CR106" s="17" t="s">
        <v>158</v>
      </c>
      <c r="CS106" s="17" t="s">
        <v>158</v>
      </c>
      <c r="CT106" s="17" t="s">
        <v>158</v>
      </c>
      <c r="CU106" s="17" t="s">
        <v>158</v>
      </c>
      <c r="CV106" s="17" t="s">
        <v>158</v>
      </c>
      <c r="CW106" s="17" t="s">
        <v>158</v>
      </c>
      <c r="CX106" s="17" t="s">
        <v>158</v>
      </c>
      <c r="CY106" s="67" t="s">
        <v>158</v>
      </c>
    </row>
    <row r="107" spans="1:103" x14ac:dyDescent="0.2">
      <c r="A107" s="32" t="s">
        <v>25</v>
      </c>
      <c r="B107" s="14" t="s">
        <v>25</v>
      </c>
      <c r="C107" s="14" t="s">
        <v>19</v>
      </c>
      <c r="G107" s="4">
        <v>43327</v>
      </c>
      <c r="H107" s="16">
        <v>2018</v>
      </c>
      <c r="I107" s="135" t="s">
        <v>33</v>
      </c>
      <c r="J107" s="135">
        <v>11</v>
      </c>
      <c r="K107" s="136">
        <v>0.28651096160247419</v>
      </c>
      <c r="L107" s="5">
        <v>3.3899277274291575</v>
      </c>
      <c r="M107" s="5" t="s">
        <v>485</v>
      </c>
      <c r="N107" s="5">
        <v>8.9675151034960876E-2</v>
      </c>
      <c r="O107" s="5">
        <v>0.78679805882935527</v>
      </c>
      <c r="P107" s="5">
        <v>0.73567396256313755</v>
      </c>
      <c r="Q107" s="5">
        <v>3.1366693077151631</v>
      </c>
      <c r="R107" s="5">
        <v>2.7038724373576315</v>
      </c>
      <c r="S107" s="5">
        <v>1.2078191542042191</v>
      </c>
      <c r="T107" s="5">
        <v>8.6605080717044682</v>
      </c>
      <c r="U107" s="17">
        <f t="shared" ref="U107:U170" si="15">SUM(M107,N107,O107,Q107,R107,S107)*(5/K107)</f>
        <v>138.29896882159804</v>
      </c>
      <c r="V107" s="5" t="s">
        <v>483</v>
      </c>
      <c r="W107" s="5">
        <v>8.0942882063804955E-2</v>
      </c>
      <c r="X107" s="5">
        <v>3.9544751251164099E-2</v>
      </c>
      <c r="Y107" s="5">
        <v>8.4235997060343556E-2</v>
      </c>
      <c r="Z107" s="5" t="s">
        <v>483</v>
      </c>
      <c r="AA107" s="5">
        <v>2.7045671296966493E-2</v>
      </c>
      <c r="AB107" s="5">
        <v>1.8650244165199812E-2</v>
      </c>
      <c r="AC107" s="5" t="s">
        <v>438</v>
      </c>
      <c r="AD107" s="5">
        <v>0.25041954583747894</v>
      </c>
      <c r="AE107" s="17">
        <f t="shared" si="13"/>
        <v>0.25041954583747894</v>
      </c>
      <c r="AF107" s="5">
        <v>3.0809646429632565E-2</v>
      </c>
      <c r="AG107" s="18">
        <f t="shared" si="14"/>
        <v>0.53766959311630236</v>
      </c>
      <c r="AH107" s="279">
        <v>33.479955928468513</v>
      </c>
      <c r="AI107" s="280">
        <v>-0.2</v>
      </c>
      <c r="AJ107" s="280">
        <v>-0.2</v>
      </c>
      <c r="AK107" s="280">
        <v>-0.02</v>
      </c>
      <c r="AL107" s="280">
        <v>-0.1</v>
      </c>
      <c r="AM107" s="280">
        <v>-0.1</v>
      </c>
      <c r="AN107" s="280">
        <v>0.61606915840325449</v>
      </c>
      <c r="AO107" s="280">
        <v>0.26838432635534082</v>
      </c>
      <c r="AP107" s="280">
        <v>-0.05</v>
      </c>
      <c r="AQ107" s="280">
        <v>0.29327344125208349</v>
      </c>
      <c r="AR107" s="280">
        <v>8.6976297426335572E-2</v>
      </c>
      <c r="AS107" s="5" t="s">
        <v>158</v>
      </c>
      <c r="AT107" s="5" t="s">
        <v>158</v>
      </c>
      <c r="AU107" s="5" t="s">
        <v>158</v>
      </c>
      <c r="AV107" s="5" t="s">
        <v>158</v>
      </c>
      <c r="AW107" s="5" t="s">
        <v>158</v>
      </c>
      <c r="BC107" s="5">
        <v>280</v>
      </c>
      <c r="BD107" s="5" t="s">
        <v>437</v>
      </c>
      <c r="BE107" s="5" t="s">
        <v>438</v>
      </c>
      <c r="BF107" s="5">
        <v>0.23168967784352401</v>
      </c>
      <c r="BG107" s="5" t="s">
        <v>437</v>
      </c>
      <c r="BH107" s="5" t="s">
        <v>488</v>
      </c>
      <c r="BI107" s="5">
        <v>5.9147140039447725</v>
      </c>
      <c r="BJ107" s="5">
        <v>2.6138067061143979</v>
      </c>
      <c r="BK107" s="5" t="s">
        <v>488</v>
      </c>
      <c r="BL107" s="5">
        <v>2.4442077580539117</v>
      </c>
      <c r="BM107" s="5">
        <v>0.16301643655489809</v>
      </c>
      <c r="BN107" s="17">
        <v>170</v>
      </c>
      <c r="BO107" s="5" t="s">
        <v>161</v>
      </c>
      <c r="BP107" s="5" t="s">
        <v>162</v>
      </c>
      <c r="BQ107" s="5" t="s">
        <v>437</v>
      </c>
      <c r="BR107" s="5" t="s">
        <v>490</v>
      </c>
      <c r="BS107" s="5" t="s">
        <v>437</v>
      </c>
      <c r="BT107" s="5" t="s">
        <v>164</v>
      </c>
      <c r="BU107" s="5" t="s">
        <v>164</v>
      </c>
      <c r="BV107" s="5" t="s">
        <v>481</v>
      </c>
      <c r="BW107" s="5" t="s">
        <v>481</v>
      </c>
      <c r="BX107" s="5" t="s">
        <v>481</v>
      </c>
      <c r="BY107" s="5">
        <v>0.25574563521606392</v>
      </c>
      <c r="BZ107" s="5" t="s">
        <v>481</v>
      </c>
      <c r="CA107" s="5" t="s">
        <v>481</v>
      </c>
      <c r="CB107" s="5" t="s">
        <v>481</v>
      </c>
      <c r="CC107" s="5" t="s">
        <v>481</v>
      </c>
      <c r="CD107" s="5" t="s">
        <v>481</v>
      </c>
      <c r="CE107" s="5">
        <v>0.80503432368330841</v>
      </c>
      <c r="CF107" s="5" t="s">
        <v>481</v>
      </c>
      <c r="CG107" s="5" t="s">
        <v>481</v>
      </c>
      <c r="CH107" s="5" t="s">
        <v>481</v>
      </c>
      <c r="CI107" s="17" t="s">
        <v>158</v>
      </c>
      <c r="CJ107" s="17" t="s">
        <v>158</v>
      </c>
      <c r="CK107" s="17" t="s">
        <v>158</v>
      </c>
      <c r="CL107" s="17" t="s">
        <v>158</v>
      </c>
      <c r="CM107" s="17" t="s">
        <v>158</v>
      </c>
      <c r="CN107" s="17" t="s">
        <v>158</v>
      </c>
      <c r="CO107" s="17" t="s">
        <v>158</v>
      </c>
      <c r="CP107" s="17" t="s">
        <v>158</v>
      </c>
      <c r="CQ107" s="17" t="s">
        <v>158</v>
      </c>
      <c r="CR107" s="17" t="s">
        <v>158</v>
      </c>
      <c r="CS107" s="17" t="s">
        <v>158</v>
      </c>
      <c r="CT107" s="17" t="s">
        <v>158</v>
      </c>
      <c r="CU107" s="17" t="s">
        <v>158</v>
      </c>
      <c r="CV107" s="17" t="s">
        <v>158</v>
      </c>
      <c r="CW107" s="17" t="s">
        <v>158</v>
      </c>
      <c r="CX107" s="17" t="s">
        <v>158</v>
      </c>
      <c r="CY107" s="67" t="s">
        <v>158</v>
      </c>
    </row>
    <row r="108" spans="1:103" x14ac:dyDescent="0.2">
      <c r="A108" s="32" t="s">
        <v>5</v>
      </c>
      <c r="B108" s="14" t="s">
        <v>5</v>
      </c>
      <c r="C108" s="14" t="s">
        <v>19</v>
      </c>
      <c r="G108" s="4">
        <v>43332</v>
      </c>
      <c r="H108" s="16">
        <v>2018</v>
      </c>
      <c r="I108" s="135" t="s">
        <v>33</v>
      </c>
      <c r="J108" s="135">
        <v>12</v>
      </c>
      <c r="K108" s="136">
        <v>0.20147327331106513</v>
      </c>
      <c r="L108" s="5">
        <v>3.2044516933704186</v>
      </c>
      <c r="M108" s="5">
        <v>0.67163660278090942</v>
      </c>
      <c r="N108" s="5">
        <v>1.7113819992484027</v>
      </c>
      <c r="O108" s="5">
        <v>5.8178034573468622</v>
      </c>
      <c r="P108" s="5">
        <v>5.8379650507328069</v>
      </c>
      <c r="Q108" s="5">
        <v>9.7315435926343472</v>
      </c>
      <c r="R108" s="5">
        <v>9.0027245396467492</v>
      </c>
      <c r="S108" s="5">
        <v>2.2164740698985343</v>
      </c>
      <c r="T108" s="5">
        <v>34.98952931228861</v>
      </c>
      <c r="U108" s="17">
        <f t="shared" si="15"/>
        <v>723.45983619740923</v>
      </c>
      <c r="V108" s="5" t="s">
        <v>491</v>
      </c>
      <c r="W108" s="5">
        <v>0.26001460462533249</v>
      </c>
      <c r="X108" s="5">
        <v>7.7446728545998184E-2</v>
      </c>
      <c r="Y108" s="5">
        <v>0.18761107922220391</v>
      </c>
      <c r="Z108" s="5">
        <v>1.0239421309245508E-2</v>
      </c>
      <c r="AA108" s="5">
        <v>3.105319826962773E-2</v>
      </c>
      <c r="AB108" s="5">
        <v>3.6759044022560097E-2</v>
      </c>
      <c r="AC108" s="5" t="s">
        <v>438</v>
      </c>
      <c r="AD108" s="5">
        <v>0.60312407599496787</v>
      </c>
      <c r="AE108" s="17">
        <f t="shared" si="13"/>
        <v>0.59288465468572249</v>
      </c>
      <c r="AF108" s="5">
        <v>6.1204904171364143E-2</v>
      </c>
      <c r="AG108" s="18">
        <f t="shared" si="14"/>
        <v>1.5189335827404435</v>
      </c>
      <c r="AH108" s="279">
        <v>11.555790892461731</v>
      </c>
      <c r="AI108" s="280">
        <v>-0.2</v>
      </c>
      <c r="AJ108" s="280">
        <v>-0.2</v>
      </c>
      <c r="AK108" s="280">
        <v>-0.02</v>
      </c>
      <c r="AL108" s="280">
        <v>0.33984788678155387</v>
      </c>
      <c r="AM108" s="280">
        <v>-0.1</v>
      </c>
      <c r="AN108" s="280">
        <v>0.27332242225859249</v>
      </c>
      <c r="AO108" s="280">
        <v>-0.2</v>
      </c>
      <c r="AP108" s="280">
        <v>-0.05</v>
      </c>
      <c r="AQ108" s="280">
        <v>0.83954301851673585</v>
      </c>
      <c r="AR108" s="280">
        <v>0.1190173614453965</v>
      </c>
      <c r="AS108" s="5" t="s">
        <v>158</v>
      </c>
      <c r="AT108" s="5" t="s">
        <v>158</v>
      </c>
      <c r="AU108" s="5" t="s">
        <v>158</v>
      </c>
      <c r="AV108" s="5" t="s">
        <v>158</v>
      </c>
      <c r="AW108" s="5" t="s">
        <v>158</v>
      </c>
      <c r="BC108" s="5">
        <v>100</v>
      </c>
      <c r="BD108" s="5" t="s">
        <v>437</v>
      </c>
      <c r="BE108" s="5" t="s">
        <v>438</v>
      </c>
      <c r="BF108" s="5">
        <v>0.25938653430062364</v>
      </c>
      <c r="BG108" s="5" t="s">
        <v>437</v>
      </c>
      <c r="BH108" s="5">
        <v>0.26778668703067321</v>
      </c>
      <c r="BI108" s="5">
        <v>3.7318823978617797</v>
      </c>
      <c r="BJ108" s="5">
        <v>2.2245131729667809</v>
      </c>
      <c r="BK108" s="5" t="s">
        <v>488</v>
      </c>
      <c r="BL108" s="5">
        <v>6.0695176275932283</v>
      </c>
      <c r="BM108" s="5">
        <v>0.35022782232404226</v>
      </c>
      <c r="BN108" s="17">
        <v>140</v>
      </c>
      <c r="BO108" s="5">
        <v>8.0973819489639443</v>
      </c>
      <c r="BP108" s="5" t="s">
        <v>162</v>
      </c>
      <c r="BQ108" s="5">
        <v>0.3159801808032463</v>
      </c>
      <c r="BR108" s="5">
        <v>7.046038584244684</v>
      </c>
      <c r="BS108" s="5">
        <v>0.83127036433264601</v>
      </c>
      <c r="BT108" s="5" t="s">
        <v>164</v>
      </c>
      <c r="BU108" s="5" t="s">
        <v>164</v>
      </c>
      <c r="BV108" s="5" t="s">
        <v>481</v>
      </c>
      <c r="BW108" s="5" t="s">
        <v>481</v>
      </c>
      <c r="BX108" s="5">
        <v>0.2017525358081031</v>
      </c>
      <c r="BY108" s="5">
        <v>0.1222872942984459</v>
      </c>
      <c r="BZ108" s="5">
        <v>3.9680578858432898</v>
      </c>
      <c r="CA108" s="5" t="s">
        <v>481</v>
      </c>
      <c r="CB108" s="5" t="s">
        <v>481</v>
      </c>
      <c r="CC108" s="5" t="s">
        <v>481</v>
      </c>
      <c r="CD108" s="5">
        <v>0.19677088210064811</v>
      </c>
      <c r="CE108" s="5">
        <v>1.0291177338192528</v>
      </c>
      <c r="CF108" s="5" t="s">
        <v>481</v>
      </c>
      <c r="CG108" s="5" t="s">
        <v>481</v>
      </c>
      <c r="CH108" s="5" t="s">
        <v>481</v>
      </c>
      <c r="CI108" s="17" t="s">
        <v>158</v>
      </c>
      <c r="CJ108" s="17" t="s">
        <v>158</v>
      </c>
      <c r="CK108" s="17" t="s">
        <v>158</v>
      </c>
      <c r="CL108" s="17" t="s">
        <v>158</v>
      </c>
      <c r="CM108" s="17" t="s">
        <v>158</v>
      </c>
      <c r="CN108" s="17" t="s">
        <v>158</v>
      </c>
      <c r="CO108" s="17" t="s">
        <v>158</v>
      </c>
      <c r="CP108" s="17" t="s">
        <v>158</v>
      </c>
      <c r="CQ108" s="17" t="s">
        <v>158</v>
      </c>
      <c r="CR108" s="17" t="s">
        <v>158</v>
      </c>
      <c r="CS108" s="17" t="s">
        <v>158</v>
      </c>
      <c r="CT108" s="17" t="s">
        <v>158</v>
      </c>
      <c r="CU108" s="17" t="s">
        <v>158</v>
      </c>
      <c r="CV108" s="17" t="s">
        <v>158</v>
      </c>
      <c r="CW108" s="17" t="s">
        <v>158</v>
      </c>
      <c r="CX108" s="17" t="s">
        <v>158</v>
      </c>
      <c r="CY108" s="67" t="s">
        <v>158</v>
      </c>
    </row>
    <row r="109" spans="1:103" x14ac:dyDescent="0.2">
      <c r="A109" s="32" t="s">
        <v>23</v>
      </c>
      <c r="B109" s="14" t="s">
        <v>23</v>
      </c>
      <c r="C109" s="14" t="s">
        <v>19</v>
      </c>
      <c r="G109" s="4">
        <v>43333</v>
      </c>
      <c r="H109" s="16">
        <v>2018</v>
      </c>
      <c r="I109" s="135" t="s">
        <v>33</v>
      </c>
      <c r="J109" s="135">
        <v>11</v>
      </c>
      <c r="K109" s="136">
        <v>0.17288153625199784</v>
      </c>
      <c r="L109" s="5">
        <v>5.4299103504482602</v>
      </c>
      <c r="M109" s="5">
        <v>0.33318658673660551</v>
      </c>
      <c r="N109" s="5">
        <v>1.3073576245784937</v>
      </c>
      <c r="O109" s="5">
        <v>6.2243911577369797</v>
      </c>
      <c r="P109" s="5">
        <v>5.7780723117272377</v>
      </c>
      <c r="Q109" s="5">
        <v>12.467623641813415</v>
      </c>
      <c r="R109" s="5">
        <v>11.260771824653428</v>
      </c>
      <c r="S109" s="5">
        <v>4.3252294866991381</v>
      </c>
      <c r="T109" s="5">
        <v>41.696632633945292</v>
      </c>
      <c r="U109" s="17">
        <f t="shared" si="15"/>
        <v>1038.8200238417012</v>
      </c>
      <c r="V109" s="5" t="s">
        <v>491</v>
      </c>
      <c r="W109" s="5">
        <v>0.10699359252420752</v>
      </c>
      <c r="X109" s="5">
        <v>3.4581757635072326E-2</v>
      </c>
      <c r="Y109" s="5">
        <v>3.022020507474062E-2</v>
      </c>
      <c r="Z109" s="5" t="s">
        <v>491</v>
      </c>
      <c r="AA109" s="5" t="s">
        <v>473</v>
      </c>
      <c r="AB109" s="5">
        <v>3.5772712633653801E-2</v>
      </c>
      <c r="AC109" s="5" t="s">
        <v>438</v>
      </c>
      <c r="AD109" s="5">
        <v>0.20756826786767429</v>
      </c>
      <c r="AE109" s="17">
        <f t="shared" si="13"/>
        <v>0.20756826786767427</v>
      </c>
      <c r="AF109" s="5">
        <v>3.253606219557887E-2</v>
      </c>
      <c r="AG109" s="18">
        <f t="shared" si="14"/>
        <v>0.9409929741760632</v>
      </c>
      <c r="AH109" s="279">
        <v>5.4508381641863419</v>
      </c>
      <c r="AI109" s="280">
        <v>-0.2</v>
      </c>
      <c r="AJ109" s="280">
        <v>-0.2</v>
      </c>
      <c r="AK109" s="280">
        <v>-0.02</v>
      </c>
      <c r="AL109" s="280">
        <v>0.35416262371434115</v>
      </c>
      <c r="AM109" s="280">
        <v>-0.1</v>
      </c>
      <c r="AN109" s="280">
        <v>-0.1</v>
      </c>
      <c r="AO109" s="280">
        <v>-0.2</v>
      </c>
      <c r="AP109" s="280">
        <v>-0.05</v>
      </c>
      <c r="AQ109" s="280">
        <v>0.18455275109077379</v>
      </c>
      <c r="AR109" s="280">
        <v>0.10093718469948267</v>
      </c>
      <c r="AS109" s="5" t="s">
        <v>158</v>
      </c>
      <c r="AT109" s="5" t="s">
        <v>158</v>
      </c>
      <c r="AU109" s="5" t="s">
        <v>158</v>
      </c>
      <c r="AV109" s="5" t="s">
        <v>158</v>
      </c>
      <c r="AW109" s="5" t="s">
        <v>158</v>
      </c>
      <c r="BC109" s="5">
        <v>280</v>
      </c>
      <c r="BD109" s="5" t="s">
        <v>437</v>
      </c>
      <c r="BE109" s="5" t="s">
        <v>438</v>
      </c>
      <c r="BF109" s="5">
        <v>0.26803075174249896</v>
      </c>
      <c r="BG109" s="5">
        <v>0.23781746387866823</v>
      </c>
      <c r="BH109" s="5">
        <v>0.31649166891022762</v>
      </c>
      <c r="BI109" s="5">
        <v>12.659876155433903</v>
      </c>
      <c r="BJ109" s="5">
        <v>3.6821322803553795</v>
      </c>
      <c r="BK109" s="5" t="s">
        <v>488</v>
      </c>
      <c r="BL109" s="5">
        <v>10.085285231385923</v>
      </c>
      <c r="BM109" s="5">
        <v>0.18632624368063655</v>
      </c>
      <c r="BN109" s="17">
        <v>270</v>
      </c>
      <c r="BO109" s="5">
        <v>9.0550999525257172</v>
      </c>
      <c r="BP109" s="5" t="s">
        <v>162</v>
      </c>
      <c r="BQ109" s="5">
        <v>1.8053944889681586</v>
      </c>
      <c r="BR109" s="5">
        <v>9.6033623660369329</v>
      </c>
      <c r="BS109" s="5" t="s">
        <v>437</v>
      </c>
      <c r="BT109" s="5">
        <v>2.8672096715040705</v>
      </c>
      <c r="BU109" s="5">
        <v>18.572311475009375</v>
      </c>
      <c r="BV109" s="5" t="s">
        <v>481</v>
      </c>
      <c r="BW109" s="5" t="s">
        <v>481</v>
      </c>
      <c r="BX109" s="5" t="s">
        <v>481</v>
      </c>
      <c r="BY109" s="5" t="s">
        <v>492</v>
      </c>
      <c r="BZ109" s="5" t="s">
        <v>481</v>
      </c>
      <c r="CA109" s="5" t="s">
        <v>481</v>
      </c>
      <c r="CB109" s="5" t="s">
        <v>481</v>
      </c>
      <c r="CC109" s="5" t="s">
        <v>481</v>
      </c>
      <c r="CD109" s="5" t="s">
        <v>481</v>
      </c>
      <c r="CE109" s="5">
        <v>0.6419081560484009</v>
      </c>
      <c r="CF109" s="5" t="s">
        <v>481</v>
      </c>
      <c r="CG109" s="5" t="s">
        <v>481</v>
      </c>
      <c r="CH109" s="5" t="s">
        <v>481</v>
      </c>
      <c r="CI109" s="17" t="s">
        <v>158</v>
      </c>
      <c r="CJ109" s="17" t="s">
        <v>158</v>
      </c>
      <c r="CK109" s="17" t="s">
        <v>158</v>
      </c>
      <c r="CL109" s="17" t="s">
        <v>158</v>
      </c>
      <c r="CM109" s="17" t="s">
        <v>158</v>
      </c>
      <c r="CN109" s="17" t="s">
        <v>158</v>
      </c>
      <c r="CO109" s="17" t="s">
        <v>158</v>
      </c>
      <c r="CP109" s="17" t="s">
        <v>158</v>
      </c>
      <c r="CQ109" s="17" t="s">
        <v>158</v>
      </c>
      <c r="CR109" s="17" t="s">
        <v>158</v>
      </c>
      <c r="CS109" s="17" t="s">
        <v>158</v>
      </c>
      <c r="CT109" s="17" t="s">
        <v>158</v>
      </c>
      <c r="CU109" s="17" t="s">
        <v>158</v>
      </c>
      <c r="CV109" s="17" t="s">
        <v>158</v>
      </c>
      <c r="CW109" s="17" t="s">
        <v>158</v>
      </c>
      <c r="CX109" s="17" t="s">
        <v>158</v>
      </c>
      <c r="CY109" s="67" t="s">
        <v>158</v>
      </c>
    </row>
    <row r="110" spans="1:103" x14ac:dyDescent="0.2">
      <c r="A110" s="32" t="s">
        <v>6</v>
      </c>
      <c r="B110" s="14" t="s">
        <v>6</v>
      </c>
      <c r="C110" s="14" t="s">
        <v>19</v>
      </c>
      <c r="G110" s="4">
        <v>43335</v>
      </c>
      <c r="H110" s="16">
        <v>2018</v>
      </c>
      <c r="I110" s="135" t="s">
        <v>33</v>
      </c>
      <c r="J110" s="135">
        <v>10</v>
      </c>
      <c r="K110" s="136">
        <v>0.18550690497922698</v>
      </c>
      <c r="L110" s="5">
        <v>6.5783812210163957</v>
      </c>
      <c r="M110" s="5">
        <v>3.1422061894816784E-2</v>
      </c>
      <c r="N110" s="5">
        <v>0.17346271743346695</v>
      </c>
      <c r="O110" s="5">
        <v>0.99568078831520479</v>
      </c>
      <c r="P110" s="5">
        <v>1.3333562252254516</v>
      </c>
      <c r="Q110" s="5">
        <v>3.3465728180575405</v>
      </c>
      <c r="R110" s="5">
        <v>2.5419850931761681</v>
      </c>
      <c r="S110" s="5">
        <v>1.1359274844885408</v>
      </c>
      <c r="T110" s="5">
        <v>9.5269851266963723</v>
      </c>
      <c r="U110" s="17">
        <f t="shared" si="15"/>
        <v>221.6912347356228</v>
      </c>
      <c r="V110" s="5" t="s">
        <v>491</v>
      </c>
      <c r="W110" s="5">
        <v>7.8841681054816329E-2</v>
      </c>
      <c r="X110" s="5">
        <v>2.7618599586597844E-2</v>
      </c>
      <c r="Y110" s="5">
        <v>5.6156578057047317E-2</v>
      </c>
      <c r="Z110" s="5">
        <v>1.4805772395656376E-2</v>
      </c>
      <c r="AA110" s="5" t="s">
        <v>473</v>
      </c>
      <c r="AB110" s="5">
        <v>1.4280003446251787E-2</v>
      </c>
      <c r="AC110" s="5" t="s">
        <v>438</v>
      </c>
      <c r="AD110" s="5">
        <v>0.18183211960993209</v>
      </c>
      <c r="AE110" s="17">
        <f t="shared" si="13"/>
        <v>0.17689686214471328</v>
      </c>
      <c r="AF110" s="5">
        <v>2.6235792896546425E-2</v>
      </c>
      <c r="AG110" s="18">
        <f t="shared" si="14"/>
        <v>0.70713790679339683</v>
      </c>
      <c r="AH110" s="279">
        <v>13.51472424175663</v>
      </c>
      <c r="AI110" s="280">
        <v>-0.2</v>
      </c>
      <c r="AJ110" s="280">
        <v>-0.2</v>
      </c>
      <c r="AK110" s="280">
        <v>-0.02</v>
      </c>
      <c r="AL110" s="280">
        <v>-0.1</v>
      </c>
      <c r="AM110" s="280">
        <v>-0.1</v>
      </c>
      <c r="AN110" s="280">
        <v>1.628038481310127</v>
      </c>
      <c r="AO110" s="280">
        <v>-0.2</v>
      </c>
      <c r="AP110" s="280">
        <v>-0.05</v>
      </c>
      <c r="AQ110" s="280">
        <v>-0.1</v>
      </c>
      <c r="AR110" s="280">
        <v>9.5926660302073405E-2</v>
      </c>
      <c r="AS110" s="5" t="s">
        <v>158</v>
      </c>
      <c r="AT110" s="5" t="s">
        <v>158</v>
      </c>
      <c r="AU110" s="5" t="s">
        <v>158</v>
      </c>
      <c r="AV110" s="5" t="s">
        <v>158</v>
      </c>
      <c r="AW110" s="5" t="s">
        <v>158</v>
      </c>
      <c r="BC110" s="5">
        <v>160</v>
      </c>
      <c r="BD110" s="5" t="s">
        <v>437</v>
      </c>
      <c r="BE110" s="5" t="s">
        <v>438</v>
      </c>
      <c r="BF110" s="5" t="s">
        <v>482</v>
      </c>
      <c r="BG110" s="5" t="s">
        <v>437</v>
      </c>
      <c r="BH110" s="5">
        <v>1.0031073446327683</v>
      </c>
      <c r="BI110" s="5">
        <v>15.938050847457626</v>
      </c>
      <c r="BJ110" s="5">
        <v>3.0025423728813561</v>
      </c>
      <c r="BK110" s="5" t="s">
        <v>488</v>
      </c>
      <c r="BL110" s="5">
        <v>6.2864689265536731</v>
      </c>
      <c r="BM110" s="5">
        <v>0.32256214689265539</v>
      </c>
      <c r="BN110" s="17">
        <v>72</v>
      </c>
      <c r="BO110" s="5">
        <v>2.5270341648163388</v>
      </c>
      <c r="BP110" s="5" t="s">
        <v>162</v>
      </c>
      <c r="BQ110" s="5" t="s">
        <v>437</v>
      </c>
      <c r="BR110" s="5" t="s">
        <v>490</v>
      </c>
      <c r="BS110" s="5" t="s">
        <v>437</v>
      </c>
      <c r="BT110" s="5" t="s">
        <v>164</v>
      </c>
      <c r="BU110" s="5">
        <v>5.6585851769697353</v>
      </c>
      <c r="BV110" s="5" t="s">
        <v>481</v>
      </c>
      <c r="BW110" s="5" t="s">
        <v>481</v>
      </c>
      <c r="BX110" s="5" t="s">
        <v>481</v>
      </c>
      <c r="BY110" s="5">
        <v>0.45603913607957569</v>
      </c>
      <c r="BZ110" s="5">
        <v>1.92983723273029</v>
      </c>
      <c r="CA110" s="5" t="s">
        <v>481</v>
      </c>
      <c r="CB110" s="5">
        <v>0.44137363698955462</v>
      </c>
      <c r="CC110" s="5">
        <v>3.4567019132982248</v>
      </c>
      <c r="CD110" s="5" t="s">
        <v>481</v>
      </c>
      <c r="CE110" s="5">
        <v>0.96007449016492241</v>
      </c>
      <c r="CF110" s="5" t="s">
        <v>481</v>
      </c>
      <c r="CG110" s="5" t="s">
        <v>481</v>
      </c>
      <c r="CH110" s="5" t="s">
        <v>481</v>
      </c>
      <c r="CI110" s="17" t="s">
        <v>158</v>
      </c>
      <c r="CJ110" s="17" t="s">
        <v>158</v>
      </c>
      <c r="CK110" s="17" t="s">
        <v>158</v>
      </c>
      <c r="CL110" s="17" t="s">
        <v>158</v>
      </c>
      <c r="CM110" s="17" t="s">
        <v>158</v>
      </c>
      <c r="CN110" s="17" t="s">
        <v>158</v>
      </c>
      <c r="CO110" s="17" t="s">
        <v>158</v>
      </c>
      <c r="CP110" s="17" t="s">
        <v>158</v>
      </c>
      <c r="CQ110" s="17" t="s">
        <v>158</v>
      </c>
      <c r="CR110" s="17" t="s">
        <v>158</v>
      </c>
      <c r="CS110" s="17" t="s">
        <v>158</v>
      </c>
      <c r="CT110" s="17" t="s">
        <v>158</v>
      </c>
      <c r="CU110" s="17" t="s">
        <v>158</v>
      </c>
      <c r="CV110" s="17" t="s">
        <v>158</v>
      </c>
      <c r="CW110" s="17" t="s">
        <v>158</v>
      </c>
      <c r="CX110" s="17" t="s">
        <v>158</v>
      </c>
      <c r="CY110" s="67" t="s">
        <v>158</v>
      </c>
    </row>
    <row r="111" spans="1:103" x14ac:dyDescent="0.2">
      <c r="A111" s="32" t="s">
        <v>81</v>
      </c>
      <c r="B111" s="14" t="s">
        <v>81</v>
      </c>
      <c r="C111" s="14" t="s">
        <v>19</v>
      </c>
      <c r="G111" s="4">
        <v>43328</v>
      </c>
      <c r="H111" s="16">
        <v>2018</v>
      </c>
      <c r="I111" s="135" t="s">
        <v>33</v>
      </c>
      <c r="J111" s="135">
        <v>13</v>
      </c>
      <c r="K111" s="136">
        <v>0.19387245542398815</v>
      </c>
      <c r="L111" s="5">
        <v>4.7855408686269341</v>
      </c>
      <c r="M111" s="5">
        <v>5.921173235563703E-2</v>
      </c>
      <c r="N111" s="5">
        <v>0.13955087076076991</v>
      </c>
      <c r="O111" s="5">
        <v>0.43413789591608104</v>
      </c>
      <c r="P111" s="5">
        <v>0.32781342295549443</v>
      </c>
      <c r="Q111" s="5">
        <v>0.95560138506976255</v>
      </c>
      <c r="R111" s="5">
        <v>0.88471331092779315</v>
      </c>
      <c r="S111" s="5">
        <v>0.36377940727161623</v>
      </c>
      <c r="T111" s="5">
        <v>3.164808025257154</v>
      </c>
      <c r="U111" s="17">
        <f t="shared" si="15"/>
        <v>73.166520641039796</v>
      </c>
      <c r="V111" s="5" t="s">
        <v>483</v>
      </c>
      <c r="W111" s="5">
        <v>8.5188058480274123E-2</v>
      </c>
      <c r="X111" s="5">
        <v>3.1980837675395384E-2</v>
      </c>
      <c r="Y111" s="5">
        <v>0.10884898085158279</v>
      </c>
      <c r="Z111" s="5">
        <v>1.3094883985111308E-2</v>
      </c>
      <c r="AA111" s="5">
        <v>1.9983151725224652E-2</v>
      </c>
      <c r="AB111" s="5">
        <v>1.7447886515321826E-2</v>
      </c>
      <c r="AC111" s="5" t="s">
        <v>438</v>
      </c>
      <c r="AD111" s="5">
        <v>0.27654379923291006</v>
      </c>
      <c r="AE111" s="17">
        <f t="shared" si="13"/>
        <v>0.26344891524779879</v>
      </c>
      <c r="AF111" s="5">
        <v>7.7997250229147566E-2</v>
      </c>
      <c r="AG111" s="18">
        <f t="shared" si="14"/>
        <v>2.0115609011752591</v>
      </c>
      <c r="AH111" s="279">
        <v>8.83908160222642</v>
      </c>
      <c r="AI111" s="280">
        <v>-0.2</v>
      </c>
      <c r="AJ111" s="280">
        <v>-0.2</v>
      </c>
      <c r="AK111" s="280">
        <v>-0.02</v>
      </c>
      <c r="AL111" s="280">
        <v>-0.1</v>
      </c>
      <c r="AM111" s="280">
        <v>-0.1</v>
      </c>
      <c r="AN111" s="280">
        <v>0.9014014511479973</v>
      </c>
      <c r="AO111" s="280">
        <v>0.98863598714508161</v>
      </c>
      <c r="AP111" s="280">
        <v>-0.05</v>
      </c>
      <c r="AQ111" s="280">
        <v>0.91346121989199225</v>
      </c>
      <c r="AR111" s="280">
        <v>0.44590332306265118</v>
      </c>
      <c r="AS111" s="5" t="s">
        <v>158</v>
      </c>
      <c r="AT111" s="5" t="s">
        <v>158</v>
      </c>
      <c r="AU111" s="5" t="s">
        <v>158</v>
      </c>
      <c r="AV111" s="5" t="s">
        <v>158</v>
      </c>
      <c r="AW111" s="5" t="s">
        <v>158</v>
      </c>
      <c r="BC111" s="5">
        <v>120</v>
      </c>
      <c r="BD111" s="5" t="s">
        <v>437</v>
      </c>
      <c r="BE111" s="5" t="s">
        <v>438</v>
      </c>
      <c r="BF111" s="5">
        <v>0.26849296398514433</v>
      </c>
      <c r="BG111" s="5" t="s">
        <v>437</v>
      </c>
      <c r="BH111" s="5" t="s">
        <v>488</v>
      </c>
      <c r="BI111" s="5">
        <v>12.273229070837168</v>
      </c>
      <c r="BJ111" s="5">
        <v>12.371460697127672</v>
      </c>
      <c r="BK111" s="5" t="s">
        <v>488</v>
      </c>
      <c r="BL111" s="5">
        <v>10.260690313128215</v>
      </c>
      <c r="BM111" s="5">
        <v>2.2024157552216432</v>
      </c>
      <c r="BN111" s="17">
        <v>27</v>
      </c>
      <c r="BO111" s="5" t="s">
        <v>161</v>
      </c>
      <c r="BP111" s="5" t="s">
        <v>162</v>
      </c>
      <c r="BQ111" s="5" t="s">
        <v>437</v>
      </c>
      <c r="BR111" s="5">
        <v>8.7932592600819248</v>
      </c>
      <c r="BS111" s="5" t="s">
        <v>437</v>
      </c>
      <c r="BT111" s="5">
        <v>6.6579024827043369</v>
      </c>
      <c r="BU111" s="5" t="s">
        <v>164</v>
      </c>
      <c r="BV111" s="5" t="s">
        <v>481</v>
      </c>
      <c r="BW111" s="5" t="s">
        <v>481</v>
      </c>
      <c r="BX111" s="5" t="s">
        <v>481</v>
      </c>
      <c r="BY111" s="5">
        <v>0.33281175697602938</v>
      </c>
      <c r="BZ111" s="5" t="s">
        <v>481</v>
      </c>
      <c r="CA111" s="5" t="s">
        <v>481</v>
      </c>
      <c r="CB111" s="5">
        <v>0.30495444687965123</v>
      </c>
      <c r="CC111" s="5" t="s">
        <v>481</v>
      </c>
      <c r="CD111" s="5" t="s">
        <v>481</v>
      </c>
      <c r="CE111" s="5">
        <v>0.28081731247423236</v>
      </c>
      <c r="CF111" s="5">
        <v>1.4891435501085373</v>
      </c>
      <c r="CG111" s="5" t="s">
        <v>481</v>
      </c>
      <c r="CH111" s="5" t="s">
        <v>481</v>
      </c>
      <c r="CI111" s="17" t="s">
        <v>158</v>
      </c>
      <c r="CJ111" s="17" t="s">
        <v>158</v>
      </c>
      <c r="CK111" s="17" t="s">
        <v>158</v>
      </c>
      <c r="CL111" s="17" t="s">
        <v>158</v>
      </c>
      <c r="CM111" s="17" t="s">
        <v>158</v>
      </c>
      <c r="CN111" s="17" t="s">
        <v>158</v>
      </c>
      <c r="CO111" s="17" t="s">
        <v>158</v>
      </c>
      <c r="CP111" s="17" t="s">
        <v>158</v>
      </c>
      <c r="CQ111" s="17" t="s">
        <v>158</v>
      </c>
      <c r="CR111" s="17" t="s">
        <v>158</v>
      </c>
      <c r="CS111" s="17" t="s">
        <v>158</v>
      </c>
      <c r="CT111" s="17" t="s">
        <v>158</v>
      </c>
      <c r="CU111" s="17" t="s">
        <v>158</v>
      </c>
      <c r="CV111" s="17" t="s">
        <v>158</v>
      </c>
      <c r="CW111" s="17" t="s">
        <v>158</v>
      </c>
      <c r="CX111" s="17" t="s">
        <v>158</v>
      </c>
      <c r="CY111" s="67" t="s">
        <v>158</v>
      </c>
    </row>
    <row r="112" spans="1:103" x14ac:dyDescent="0.2">
      <c r="A112" s="32" t="s">
        <v>26</v>
      </c>
      <c r="B112" s="14" t="s">
        <v>26</v>
      </c>
      <c r="C112" s="14" t="s">
        <v>19</v>
      </c>
      <c r="G112" s="4">
        <v>43328</v>
      </c>
      <c r="H112" s="16">
        <v>2018</v>
      </c>
      <c r="I112" s="135" t="s">
        <v>33</v>
      </c>
      <c r="J112" s="135">
        <v>17</v>
      </c>
      <c r="K112" s="136">
        <v>0.3479313213826441</v>
      </c>
      <c r="L112" s="5">
        <v>5.9379797359532906</v>
      </c>
      <c r="M112" s="5">
        <v>3.1578415521422792E-2</v>
      </c>
      <c r="N112" s="5">
        <v>4.77162489894907E-2</v>
      </c>
      <c r="O112" s="5">
        <v>0.2997776879547292</v>
      </c>
      <c r="P112" s="5">
        <v>0.37506063055780114</v>
      </c>
      <c r="Q112" s="5">
        <v>1.1963571139854483</v>
      </c>
      <c r="R112" s="5">
        <v>1.0582053354890864</v>
      </c>
      <c r="S112" s="5">
        <v>0.52019502829426023</v>
      </c>
      <c r="T112" s="5">
        <v>3.4495957962813257</v>
      </c>
      <c r="U112" s="17">
        <f t="shared" si="15"/>
        <v>45.322591506010944</v>
      </c>
      <c r="V112" s="5" t="s">
        <v>483</v>
      </c>
      <c r="W112" s="5">
        <v>1.0168977750713805E-2</v>
      </c>
      <c r="X112" s="5" t="s">
        <v>484</v>
      </c>
      <c r="Y112" s="5" t="s">
        <v>485</v>
      </c>
      <c r="Z112" s="5" t="s">
        <v>483</v>
      </c>
      <c r="AA112" s="5" t="s">
        <v>482</v>
      </c>
      <c r="AB112" s="5" t="s">
        <v>483</v>
      </c>
      <c r="AC112" s="5" t="s">
        <v>438</v>
      </c>
      <c r="AD112" s="5">
        <v>1.0168977750713805E-2</v>
      </c>
      <c r="AE112" s="17">
        <f t="shared" si="13"/>
        <v>1.0168977750713805E-2</v>
      </c>
      <c r="AF112" s="5">
        <v>-4.0000000000000001E-3</v>
      </c>
      <c r="AG112" s="18" t="s">
        <v>158</v>
      </c>
      <c r="AH112" s="279">
        <v>1.1888059701492537</v>
      </c>
      <c r="AI112" s="280">
        <v>-0.2</v>
      </c>
      <c r="AJ112" s="280">
        <v>-0.2</v>
      </c>
      <c r="AK112" s="280">
        <v>-0.02</v>
      </c>
      <c r="AL112" s="280">
        <v>-0.1</v>
      </c>
      <c r="AM112" s="280">
        <v>-0.1</v>
      </c>
      <c r="AN112" s="280">
        <v>-0.1</v>
      </c>
      <c r="AO112" s="280">
        <v>-0.2</v>
      </c>
      <c r="AP112" s="280">
        <v>-0.05</v>
      </c>
      <c r="AQ112" s="280">
        <v>-0.1</v>
      </c>
      <c r="AR112" s="280">
        <v>7.3599502487562182E-2</v>
      </c>
      <c r="AS112" s="5" t="s">
        <v>158</v>
      </c>
      <c r="AT112" s="5" t="s">
        <v>158</v>
      </c>
      <c r="AU112" s="5" t="s">
        <v>158</v>
      </c>
      <c r="AV112" s="5" t="s">
        <v>158</v>
      </c>
      <c r="AW112" s="5" t="s">
        <v>158</v>
      </c>
      <c r="BC112" s="5">
        <v>33.51260043827611</v>
      </c>
      <c r="BD112" s="5" t="s">
        <v>437</v>
      </c>
      <c r="BE112" s="5" t="s">
        <v>438</v>
      </c>
      <c r="BF112" s="5">
        <v>0.15765765765765763</v>
      </c>
      <c r="BG112" s="5" t="s">
        <v>437</v>
      </c>
      <c r="BH112" s="5" t="s">
        <v>488</v>
      </c>
      <c r="BI112" s="5">
        <v>2.4533418553688819</v>
      </c>
      <c r="BJ112" s="5">
        <v>0.2008765522279036</v>
      </c>
      <c r="BK112" s="5" t="s">
        <v>488</v>
      </c>
      <c r="BL112" s="5">
        <v>1.4499939128317505</v>
      </c>
      <c r="BM112" s="5">
        <v>0.10831202824446068</v>
      </c>
      <c r="BN112" s="17">
        <v>72</v>
      </c>
      <c r="BO112" s="5" t="s">
        <v>161</v>
      </c>
      <c r="BP112" s="5" t="s">
        <v>162</v>
      </c>
      <c r="BQ112" s="5" t="s">
        <v>437</v>
      </c>
      <c r="BR112" s="5">
        <v>13.401868859979899</v>
      </c>
      <c r="BS112" s="5" t="s">
        <v>437</v>
      </c>
      <c r="BT112" s="5">
        <v>4.5258179261757823</v>
      </c>
      <c r="BU112" s="5" t="s">
        <v>164</v>
      </c>
      <c r="BV112" s="5" t="s">
        <v>481</v>
      </c>
      <c r="BW112" s="5" t="s">
        <v>481</v>
      </c>
      <c r="BX112" s="5" t="s">
        <v>481</v>
      </c>
      <c r="BY112" s="5">
        <v>0.19043939959137526</v>
      </c>
      <c r="BZ112" s="5" t="s">
        <v>481</v>
      </c>
      <c r="CA112" s="5" t="s">
        <v>481</v>
      </c>
      <c r="CB112" s="5" t="s">
        <v>481</v>
      </c>
      <c r="CC112" s="5" t="s">
        <v>481</v>
      </c>
      <c r="CD112" s="5" t="s">
        <v>481</v>
      </c>
      <c r="CE112" s="5">
        <v>0.29722991058421988</v>
      </c>
      <c r="CF112" s="5" t="s">
        <v>481</v>
      </c>
      <c r="CG112" s="5" t="s">
        <v>481</v>
      </c>
      <c r="CH112" s="5" t="s">
        <v>481</v>
      </c>
      <c r="CI112" s="17" t="s">
        <v>158</v>
      </c>
      <c r="CJ112" s="17" t="s">
        <v>158</v>
      </c>
      <c r="CK112" s="17" t="s">
        <v>158</v>
      </c>
      <c r="CL112" s="17" t="s">
        <v>158</v>
      </c>
      <c r="CM112" s="17" t="s">
        <v>158</v>
      </c>
      <c r="CN112" s="17" t="s">
        <v>158</v>
      </c>
      <c r="CO112" s="17" t="s">
        <v>158</v>
      </c>
      <c r="CP112" s="17" t="s">
        <v>158</v>
      </c>
      <c r="CQ112" s="17" t="s">
        <v>158</v>
      </c>
      <c r="CR112" s="17" t="s">
        <v>158</v>
      </c>
      <c r="CS112" s="17" t="s">
        <v>158</v>
      </c>
      <c r="CT112" s="17" t="s">
        <v>158</v>
      </c>
      <c r="CU112" s="17" t="s">
        <v>158</v>
      </c>
      <c r="CV112" s="17" t="s">
        <v>158</v>
      </c>
      <c r="CW112" s="17" t="s">
        <v>158</v>
      </c>
      <c r="CX112" s="17" t="s">
        <v>158</v>
      </c>
      <c r="CY112" s="67" t="s">
        <v>158</v>
      </c>
    </row>
    <row r="113" spans="1:103" x14ac:dyDescent="0.2">
      <c r="A113" s="32" t="s">
        <v>7</v>
      </c>
      <c r="B113" s="14" t="s">
        <v>7</v>
      </c>
      <c r="C113" s="14" t="s">
        <v>19</v>
      </c>
      <c r="G113" s="4">
        <v>43334</v>
      </c>
      <c r="H113" s="16">
        <v>2018</v>
      </c>
      <c r="I113" s="135" t="s">
        <v>33</v>
      </c>
      <c r="J113" s="135">
        <v>12</v>
      </c>
      <c r="K113" s="136">
        <v>0.19475701743537557</v>
      </c>
      <c r="L113" s="5">
        <v>3.1048805815160994</v>
      </c>
      <c r="M113" s="5">
        <v>3.3443509615384615E-2</v>
      </c>
      <c r="N113" s="5">
        <v>0.1867938701923077</v>
      </c>
      <c r="O113" s="5">
        <v>1.2864583333333333</v>
      </c>
      <c r="P113" s="5">
        <v>1.289042467948718</v>
      </c>
      <c r="Q113" s="5">
        <v>3.9413812099358978</v>
      </c>
      <c r="R113" s="5">
        <v>3.5015024038461533</v>
      </c>
      <c r="S113" s="5">
        <v>1.3199368990384617</v>
      </c>
      <c r="T113" s="5">
        <v>11.525115184294872</v>
      </c>
      <c r="U113" s="17">
        <f t="shared" si="15"/>
        <v>263.64945307732438</v>
      </c>
      <c r="V113" s="5" t="s">
        <v>483</v>
      </c>
      <c r="W113" s="5">
        <v>0.10905329303773273</v>
      </c>
      <c r="X113" s="5">
        <v>4.162210532268891E-2</v>
      </c>
      <c r="Y113" s="5">
        <v>7.7374588843606984E-2</v>
      </c>
      <c r="Z113" s="5" t="s">
        <v>483</v>
      </c>
      <c r="AA113" s="5">
        <v>2.3607455072157862E-2</v>
      </c>
      <c r="AB113" s="5">
        <v>1.4672604671521389E-2</v>
      </c>
      <c r="AC113" s="5" t="s">
        <v>438</v>
      </c>
      <c r="AD113" s="5">
        <v>0.26633004694770784</v>
      </c>
      <c r="AE113" s="17">
        <f t="shared" si="13"/>
        <v>0.2663300469477079</v>
      </c>
      <c r="AF113" s="5">
        <v>0.11</v>
      </c>
      <c r="AG113" s="18">
        <f>(AF113/K113)*5</f>
        <v>2.8240317460319568</v>
      </c>
      <c r="AH113" s="279">
        <v>2.6906177306797621</v>
      </c>
      <c r="AI113" s="280">
        <v>-0.2</v>
      </c>
      <c r="AJ113" s="280">
        <v>-0.2</v>
      </c>
      <c r="AK113" s="280">
        <v>-0.02</v>
      </c>
      <c r="AL113" s="280">
        <v>0.22055656069613164</v>
      </c>
      <c r="AM113" s="280">
        <v>-0.1</v>
      </c>
      <c r="AN113" s="280">
        <v>0.34625656931162224</v>
      </c>
      <c r="AO113" s="280">
        <v>0.31762442204416869</v>
      </c>
      <c r="AP113" s="280">
        <v>-0.05</v>
      </c>
      <c r="AQ113" s="280">
        <v>0.29726314580282009</v>
      </c>
      <c r="AR113" s="280">
        <v>0.13838488268573562</v>
      </c>
      <c r="AS113" s="5" t="s">
        <v>158</v>
      </c>
      <c r="AT113" s="5" t="s">
        <v>158</v>
      </c>
      <c r="AU113" s="5" t="s">
        <v>158</v>
      </c>
      <c r="AV113" s="5" t="s">
        <v>158</v>
      </c>
      <c r="AW113" s="5" t="s">
        <v>158</v>
      </c>
      <c r="BC113" s="5">
        <v>110</v>
      </c>
      <c r="BD113" s="5" t="s">
        <v>437</v>
      </c>
      <c r="BE113" s="5" t="s">
        <v>438</v>
      </c>
      <c r="BF113" s="5">
        <v>0.11992872807017541</v>
      </c>
      <c r="BG113" s="5" t="s">
        <v>437</v>
      </c>
      <c r="BH113" s="5">
        <v>0.1209566885964912</v>
      </c>
      <c r="BI113" s="5">
        <v>15.220908717105264</v>
      </c>
      <c r="BJ113" s="5">
        <v>7.2399259868421053</v>
      </c>
      <c r="BK113" s="5" t="s">
        <v>488</v>
      </c>
      <c r="BL113" s="5">
        <v>7.1628632127192988</v>
      </c>
      <c r="BM113" s="5">
        <v>0.30800095942982458</v>
      </c>
      <c r="BN113" s="17">
        <v>110</v>
      </c>
      <c r="BO113" s="5">
        <v>8.6041031748993202</v>
      </c>
      <c r="BP113" s="5" t="s">
        <v>162</v>
      </c>
      <c r="BQ113" s="5" t="s">
        <v>437</v>
      </c>
      <c r="BR113" s="5">
        <v>10.134069264602326</v>
      </c>
      <c r="BS113" s="5" t="s">
        <v>437</v>
      </c>
      <c r="BT113" s="5">
        <v>4.9002545579458987</v>
      </c>
      <c r="BU113" s="5" t="s">
        <v>164</v>
      </c>
      <c r="BV113" s="5" t="s">
        <v>481</v>
      </c>
      <c r="BW113" s="5" t="s">
        <v>481</v>
      </c>
      <c r="BX113" s="5">
        <v>0.49815478449815925</v>
      </c>
      <c r="BY113" s="5">
        <v>1.0733534955207105</v>
      </c>
      <c r="BZ113" s="5">
        <v>2.0290723160295001</v>
      </c>
      <c r="CA113" s="5" t="s">
        <v>481</v>
      </c>
      <c r="CB113" s="5">
        <v>0.1882620640084588</v>
      </c>
      <c r="CC113" s="5">
        <v>9.6848002116386294</v>
      </c>
      <c r="CD113" s="5" t="s">
        <v>481</v>
      </c>
      <c r="CE113" s="5">
        <v>1.0108297661485108</v>
      </c>
      <c r="CF113" s="5" t="s">
        <v>481</v>
      </c>
      <c r="CG113" s="5" t="s">
        <v>481</v>
      </c>
      <c r="CH113" s="5" t="s">
        <v>481</v>
      </c>
      <c r="CI113" s="17" t="s">
        <v>158</v>
      </c>
      <c r="CJ113" s="17" t="s">
        <v>158</v>
      </c>
      <c r="CK113" s="17" t="s">
        <v>158</v>
      </c>
      <c r="CL113" s="17" t="s">
        <v>158</v>
      </c>
      <c r="CM113" s="17" t="s">
        <v>158</v>
      </c>
      <c r="CN113" s="17" t="s">
        <v>158</v>
      </c>
      <c r="CO113" s="17" t="s">
        <v>158</v>
      </c>
      <c r="CP113" s="17" t="s">
        <v>158</v>
      </c>
      <c r="CQ113" s="17" t="s">
        <v>158</v>
      </c>
      <c r="CR113" s="17" t="s">
        <v>158</v>
      </c>
      <c r="CS113" s="17" t="s">
        <v>158</v>
      </c>
      <c r="CT113" s="17" t="s">
        <v>158</v>
      </c>
      <c r="CU113" s="17" t="s">
        <v>158</v>
      </c>
      <c r="CV113" s="17" t="s">
        <v>158</v>
      </c>
      <c r="CW113" s="17" t="s">
        <v>158</v>
      </c>
      <c r="CX113" s="17" t="s">
        <v>158</v>
      </c>
      <c r="CY113" s="67" t="s">
        <v>158</v>
      </c>
    </row>
    <row r="114" spans="1:103" x14ac:dyDescent="0.2">
      <c r="A114" s="32" t="s">
        <v>8</v>
      </c>
      <c r="B114" s="14" t="s">
        <v>8</v>
      </c>
      <c r="C114" s="14" t="s">
        <v>19</v>
      </c>
      <c r="G114" s="4">
        <v>43334</v>
      </c>
      <c r="H114" s="16">
        <v>2018</v>
      </c>
      <c r="I114" s="135" t="s">
        <v>33</v>
      </c>
      <c r="J114" s="135">
        <v>11</v>
      </c>
      <c r="K114" s="136">
        <v>0.23712415820924732</v>
      </c>
      <c r="L114" s="5">
        <v>3.2128514056224877</v>
      </c>
      <c r="M114" s="5" t="s">
        <v>485</v>
      </c>
      <c r="N114" s="5">
        <v>5.5980098541203747E-2</v>
      </c>
      <c r="O114" s="5">
        <v>0.55810066660226065</v>
      </c>
      <c r="P114" s="5">
        <v>0.54307796348178916</v>
      </c>
      <c r="Q114" s="5">
        <v>2.3768090039609695</v>
      </c>
      <c r="R114" s="5">
        <v>1.8690947734518404</v>
      </c>
      <c r="S114" s="5">
        <v>0.9400106269925611</v>
      </c>
      <c r="T114" s="5">
        <v>6.3430731330306243</v>
      </c>
      <c r="U114" s="17">
        <f t="shared" si="15"/>
        <v>122.29869814510212</v>
      </c>
      <c r="V114" s="5" t="s">
        <v>483</v>
      </c>
      <c r="W114" s="5">
        <v>8.5320401868538995E-2</v>
      </c>
      <c r="X114" s="5">
        <v>2.7288006481420379E-2</v>
      </c>
      <c r="Y114" s="5">
        <v>3.5716764272918165E-2</v>
      </c>
      <c r="Z114" s="5" t="s">
        <v>483</v>
      </c>
      <c r="AA114" s="5" t="s">
        <v>473</v>
      </c>
      <c r="AB114" s="5" t="s">
        <v>483</v>
      </c>
      <c r="AC114" s="5" t="s">
        <v>438</v>
      </c>
      <c r="AD114" s="5">
        <v>0.14832517262287753</v>
      </c>
      <c r="AE114" s="17">
        <f t="shared" si="13"/>
        <v>0.14832517262287753</v>
      </c>
      <c r="AF114" s="5">
        <v>8.8947927736450581E-3</v>
      </c>
      <c r="AG114" s="18">
        <f>(AF114/K114)*5</f>
        <v>0.18755560042507263</v>
      </c>
      <c r="AH114" s="279">
        <v>1.6832380114386272</v>
      </c>
      <c r="AI114" s="280">
        <v>-0.2</v>
      </c>
      <c r="AJ114" s="280">
        <v>-0.2</v>
      </c>
      <c r="AK114" s="280">
        <v>-0.02</v>
      </c>
      <c r="AL114" s="280">
        <v>-0.1</v>
      </c>
      <c r="AM114" s="280">
        <v>-0.1</v>
      </c>
      <c r="AN114" s="280">
        <v>-0.1</v>
      </c>
      <c r="AO114" s="280">
        <v>-0.2</v>
      </c>
      <c r="AP114" s="280">
        <v>-0.05</v>
      </c>
      <c r="AQ114" s="280">
        <v>0.12673412523830471</v>
      </c>
      <c r="AR114" s="280">
        <v>9.1177592022290657E-2</v>
      </c>
      <c r="AS114" s="5" t="s">
        <v>158</v>
      </c>
      <c r="AT114" s="5" t="s">
        <v>158</v>
      </c>
      <c r="AU114" s="5" t="s">
        <v>158</v>
      </c>
      <c r="AV114" s="5" t="s">
        <v>158</v>
      </c>
      <c r="AW114" s="5" t="s">
        <v>158</v>
      </c>
      <c r="BC114" s="5">
        <v>49.335614170621341</v>
      </c>
      <c r="BD114" s="5" t="s">
        <v>437</v>
      </c>
      <c r="BE114" s="5" t="s">
        <v>438</v>
      </c>
      <c r="BF114" s="5" t="s">
        <v>482</v>
      </c>
      <c r="BG114" s="5" t="s">
        <v>437</v>
      </c>
      <c r="BH114" s="5">
        <v>6.8057241658389417E-2</v>
      </c>
      <c r="BI114" s="5">
        <v>6.0996578744067991</v>
      </c>
      <c r="BJ114" s="5">
        <v>1.3387043372696168</v>
      </c>
      <c r="BK114" s="5" t="s">
        <v>488</v>
      </c>
      <c r="BL114" s="5">
        <v>3.4521943861972555</v>
      </c>
      <c r="BM114" s="5">
        <v>0.16623257182798071</v>
      </c>
      <c r="BN114" s="17">
        <v>90</v>
      </c>
      <c r="BO114" s="5">
        <v>7.7097330290307324</v>
      </c>
      <c r="BP114" s="5" t="s">
        <v>162</v>
      </c>
      <c r="BQ114" s="5">
        <v>1.6761666998479086</v>
      </c>
      <c r="BR114" s="5" t="s">
        <v>490</v>
      </c>
      <c r="BS114" s="5">
        <v>3.6632518118324708</v>
      </c>
      <c r="BT114" s="5" t="s">
        <v>164</v>
      </c>
      <c r="BU114" s="5">
        <v>2.383050507567205</v>
      </c>
      <c r="BV114" s="5" t="s">
        <v>481</v>
      </c>
      <c r="BW114" s="5" t="s">
        <v>481</v>
      </c>
      <c r="BX114" s="5" t="s">
        <v>481</v>
      </c>
      <c r="BY114" s="5">
        <v>0.30393927189143943</v>
      </c>
      <c r="BZ114" s="5" t="s">
        <v>481</v>
      </c>
      <c r="CA114" s="5" t="s">
        <v>481</v>
      </c>
      <c r="CB114" s="5" t="s">
        <v>481</v>
      </c>
      <c r="CC114" s="5">
        <v>14.049977164756505</v>
      </c>
      <c r="CD114" s="5" t="s">
        <v>481</v>
      </c>
      <c r="CE114" s="5">
        <v>0.40168947421446194</v>
      </c>
      <c r="CF114" s="5" t="s">
        <v>481</v>
      </c>
      <c r="CG114" s="5" t="s">
        <v>481</v>
      </c>
      <c r="CH114" s="5" t="s">
        <v>481</v>
      </c>
      <c r="CI114" s="17" t="s">
        <v>158</v>
      </c>
      <c r="CJ114" s="17" t="s">
        <v>158</v>
      </c>
      <c r="CK114" s="17" t="s">
        <v>158</v>
      </c>
      <c r="CL114" s="17" t="s">
        <v>158</v>
      </c>
      <c r="CM114" s="17" t="s">
        <v>158</v>
      </c>
      <c r="CN114" s="17" t="s">
        <v>158</v>
      </c>
      <c r="CO114" s="17" t="s">
        <v>158</v>
      </c>
      <c r="CP114" s="17" t="s">
        <v>158</v>
      </c>
      <c r="CQ114" s="17" t="s">
        <v>158</v>
      </c>
      <c r="CR114" s="17" t="s">
        <v>158</v>
      </c>
      <c r="CS114" s="17" t="s">
        <v>158</v>
      </c>
      <c r="CT114" s="17" t="s">
        <v>158</v>
      </c>
      <c r="CU114" s="17" t="s">
        <v>158</v>
      </c>
      <c r="CV114" s="17" t="s">
        <v>158</v>
      </c>
      <c r="CW114" s="17" t="s">
        <v>158</v>
      </c>
      <c r="CX114" s="17" t="s">
        <v>158</v>
      </c>
      <c r="CY114" s="67" t="s">
        <v>158</v>
      </c>
    </row>
    <row r="115" spans="1:103" s="294" customFormat="1" x14ac:dyDescent="0.2">
      <c r="A115" s="293" t="s">
        <v>32</v>
      </c>
      <c r="B115" s="294" t="s">
        <v>32</v>
      </c>
      <c r="C115" s="294" t="s">
        <v>31</v>
      </c>
      <c r="E115" s="295"/>
      <c r="F115" s="295"/>
      <c r="G115" s="296" t="s">
        <v>31</v>
      </c>
      <c r="H115" s="296">
        <v>2017</v>
      </c>
      <c r="I115" s="297" t="s">
        <v>3</v>
      </c>
      <c r="J115" s="297" t="s">
        <v>158</v>
      </c>
      <c r="K115" s="298" t="s">
        <v>158</v>
      </c>
      <c r="L115" s="299" t="s">
        <v>158</v>
      </c>
      <c r="M115" s="299">
        <v>1.4999999999999999E-2</v>
      </c>
      <c r="N115" s="299">
        <v>2.3E-2</v>
      </c>
      <c r="O115" s="299">
        <v>0.01</v>
      </c>
      <c r="P115" s="299">
        <v>0.01</v>
      </c>
      <c r="Q115" s="299">
        <v>5.0000000000000001E-3</v>
      </c>
      <c r="R115" s="299">
        <v>0.01</v>
      </c>
      <c r="S115" s="299">
        <v>5.0000000000000001E-3</v>
      </c>
      <c r="T115" s="299" t="s">
        <v>158</v>
      </c>
      <c r="U115" s="301" t="s">
        <v>158</v>
      </c>
      <c r="V115" s="299">
        <v>1.2999999999999999E-2</v>
      </c>
      <c r="W115" s="299">
        <v>0.01</v>
      </c>
      <c r="X115" s="299">
        <v>1.2999999999999999E-2</v>
      </c>
      <c r="Y115" s="299">
        <v>1.4999999999999999E-2</v>
      </c>
      <c r="Z115" s="299">
        <v>0.01</v>
      </c>
      <c r="AA115" s="299">
        <v>0.02</v>
      </c>
      <c r="AB115" s="299">
        <v>1.2999999999999999E-2</v>
      </c>
      <c r="AC115" s="299">
        <v>0.1</v>
      </c>
      <c r="AD115" s="299" t="s">
        <v>158</v>
      </c>
      <c r="AE115" s="301">
        <f t="shared" si="13"/>
        <v>8.4000000000000005E-2</v>
      </c>
      <c r="AF115" s="299">
        <v>0.3</v>
      </c>
      <c r="AG115" s="303" t="s">
        <v>158</v>
      </c>
      <c r="AH115" s="303">
        <v>0.2</v>
      </c>
      <c r="AI115" s="299">
        <v>0.2</v>
      </c>
      <c r="AJ115" s="299">
        <v>0.2</v>
      </c>
      <c r="AK115" s="299">
        <v>0.02</v>
      </c>
      <c r="AL115" s="299">
        <v>0.1</v>
      </c>
      <c r="AM115" s="299">
        <v>0.1</v>
      </c>
      <c r="AN115" s="299">
        <v>0.1</v>
      </c>
      <c r="AO115" s="299">
        <v>0.02</v>
      </c>
      <c r="AP115" s="299">
        <v>0.05</v>
      </c>
      <c r="AQ115" s="299">
        <v>0.1</v>
      </c>
      <c r="AR115" s="299">
        <v>0.05</v>
      </c>
      <c r="AS115" s="299" t="s">
        <v>158</v>
      </c>
      <c r="AT115" s="299" t="s">
        <v>158</v>
      </c>
      <c r="AU115" s="299" t="s">
        <v>158</v>
      </c>
      <c r="AV115" s="299" t="s">
        <v>158</v>
      </c>
      <c r="AW115" s="299" t="s">
        <v>158</v>
      </c>
      <c r="AX115" s="299"/>
      <c r="AY115" s="299"/>
      <c r="AZ115" s="299"/>
      <c r="BA115" s="299"/>
      <c r="BB115" s="299"/>
      <c r="BC115" s="299">
        <v>0.2</v>
      </c>
      <c r="BD115" s="299">
        <v>0.2</v>
      </c>
      <c r="BE115" s="299">
        <v>0.21</v>
      </c>
      <c r="BF115" s="299">
        <v>0.02</v>
      </c>
      <c r="BG115" s="299">
        <v>0.2</v>
      </c>
      <c r="BH115" s="299">
        <v>0.05</v>
      </c>
      <c r="BI115" s="299">
        <v>0.1</v>
      </c>
      <c r="BJ115" s="299">
        <v>0.1</v>
      </c>
      <c r="BK115" s="299">
        <v>0.05</v>
      </c>
      <c r="BL115" s="299">
        <v>0.1</v>
      </c>
      <c r="BM115" s="299">
        <v>0.05</v>
      </c>
      <c r="BN115" s="301">
        <v>0.03</v>
      </c>
      <c r="BO115" s="299">
        <v>0.04</v>
      </c>
      <c r="BP115" s="299">
        <v>0.4</v>
      </c>
      <c r="BQ115" s="299">
        <v>0.1</v>
      </c>
      <c r="BR115" s="299">
        <v>2.2999999999999998</v>
      </c>
      <c r="BS115" s="299">
        <v>0.2</v>
      </c>
      <c r="BT115" s="299">
        <v>1.7</v>
      </c>
      <c r="BU115" s="299">
        <v>2.5</v>
      </c>
      <c r="BV115" s="299">
        <v>0.2</v>
      </c>
      <c r="BW115" s="299">
        <v>0.2</v>
      </c>
      <c r="BX115" s="299">
        <v>0.2</v>
      </c>
      <c r="BY115" s="299">
        <v>0.2</v>
      </c>
      <c r="BZ115" s="299">
        <v>0.2</v>
      </c>
      <c r="CA115" s="299">
        <v>0.2</v>
      </c>
      <c r="CB115" s="299">
        <v>0.2</v>
      </c>
      <c r="CC115" s="299">
        <v>0.2</v>
      </c>
      <c r="CD115" s="299">
        <v>0.5</v>
      </c>
      <c r="CE115" s="299">
        <v>0.2</v>
      </c>
      <c r="CF115" s="299">
        <v>0.2</v>
      </c>
      <c r="CG115" s="299">
        <v>0.2</v>
      </c>
      <c r="CH115" s="299">
        <v>0.2</v>
      </c>
      <c r="CI115" s="301" t="s">
        <v>158</v>
      </c>
      <c r="CJ115" s="301" t="s">
        <v>158</v>
      </c>
      <c r="CK115" s="301" t="s">
        <v>158</v>
      </c>
      <c r="CL115" s="301" t="s">
        <v>158</v>
      </c>
      <c r="CM115" s="301" t="s">
        <v>158</v>
      </c>
      <c r="CN115" s="301" t="s">
        <v>158</v>
      </c>
      <c r="CO115" s="301" t="s">
        <v>158</v>
      </c>
      <c r="CP115" s="301" t="s">
        <v>158</v>
      </c>
      <c r="CQ115" s="301" t="s">
        <v>158</v>
      </c>
      <c r="CR115" s="301" t="s">
        <v>158</v>
      </c>
      <c r="CS115" s="301" t="s">
        <v>158</v>
      </c>
      <c r="CT115" s="301" t="s">
        <v>158</v>
      </c>
      <c r="CU115" s="301" t="s">
        <v>158</v>
      </c>
      <c r="CV115" s="301" t="s">
        <v>158</v>
      </c>
      <c r="CW115" s="301" t="s">
        <v>158</v>
      </c>
      <c r="CX115" s="301" t="s">
        <v>158</v>
      </c>
      <c r="CY115" s="304" t="s">
        <v>158</v>
      </c>
    </row>
    <row r="116" spans="1:103" x14ac:dyDescent="0.2">
      <c r="A116" s="32" t="s">
        <v>4</v>
      </c>
      <c r="B116" s="14" t="s">
        <v>4</v>
      </c>
      <c r="C116" s="14" t="s">
        <v>20</v>
      </c>
      <c r="G116" s="28">
        <v>42972</v>
      </c>
      <c r="H116" s="16">
        <v>2017</v>
      </c>
      <c r="I116" s="135" t="s">
        <v>33</v>
      </c>
      <c r="J116" s="135">
        <v>10</v>
      </c>
      <c r="K116" s="136">
        <v>1.0017439266740096</v>
      </c>
      <c r="L116" s="5">
        <v>3.963198867657407</v>
      </c>
      <c r="M116" s="5">
        <v>0.38505105900151287</v>
      </c>
      <c r="N116" s="5">
        <v>0.86286403177004534</v>
      </c>
      <c r="O116" s="5">
        <v>1.9087651285930409</v>
      </c>
      <c r="P116" s="5">
        <v>1.4936838124054463</v>
      </c>
      <c r="Q116" s="5">
        <v>2.3789759833585475</v>
      </c>
      <c r="R116" s="5">
        <v>2.476645234493192</v>
      </c>
      <c r="S116" s="5">
        <v>0.72621974281391832</v>
      </c>
      <c r="T116" s="5">
        <v>10.232204992435705</v>
      </c>
      <c r="U116" s="17">
        <f t="shared" si="15"/>
        <v>43.616541849392085</v>
      </c>
      <c r="V116" s="5" t="s">
        <v>483</v>
      </c>
      <c r="W116" s="5">
        <v>0.11424786112344715</v>
      </c>
      <c r="X116" s="5">
        <v>2.8353279637652096E-2</v>
      </c>
      <c r="Y116" s="5">
        <v>0.13238763639965007</v>
      </c>
      <c r="Z116" s="5">
        <v>1.814435125415606E-2</v>
      </c>
      <c r="AA116" s="5" t="s">
        <v>482</v>
      </c>
      <c r="AB116" s="5">
        <v>1.8173082622835412E-2</v>
      </c>
      <c r="AC116" s="5" t="s">
        <v>158</v>
      </c>
      <c r="AD116" s="5" t="s">
        <v>158</v>
      </c>
      <c r="AE116" s="17">
        <f t="shared" si="13"/>
        <v>0.29316185978358472</v>
      </c>
      <c r="AF116" s="5">
        <v>-0.03</v>
      </c>
      <c r="AG116" s="18" t="s">
        <v>158</v>
      </c>
      <c r="AH116" s="279">
        <v>13.96996596955336</v>
      </c>
      <c r="AI116" s="280">
        <v>-0.2</v>
      </c>
      <c r="AJ116" s="280">
        <v>-0.2</v>
      </c>
      <c r="AK116" s="280">
        <v>-0.02</v>
      </c>
      <c r="AL116" s="280">
        <v>-0.1</v>
      </c>
      <c r="AM116" s="280">
        <v>-0.1</v>
      </c>
      <c r="AN116" s="280">
        <v>0.47909368393338519</v>
      </c>
      <c r="AO116" s="280">
        <v>0.12785781089131476</v>
      </c>
      <c r="AP116" s="280">
        <v>-0.05</v>
      </c>
      <c r="AQ116" s="280">
        <v>0.40086082097470116</v>
      </c>
      <c r="AR116" s="280">
        <v>5.9450031043940935E-2</v>
      </c>
      <c r="AS116" s="5" t="s">
        <v>158</v>
      </c>
      <c r="AT116" s="5" t="s">
        <v>158</v>
      </c>
      <c r="AU116" s="5" t="s">
        <v>158</v>
      </c>
      <c r="AV116" s="5" t="s">
        <v>158</v>
      </c>
      <c r="AW116" s="5" t="s">
        <v>158</v>
      </c>
      <c r="BC116" s="5">
        <v>200</v>
      </c>
      <c r="BD116" s="5" t="s">
        <v>437</v>
      </c>
      <c r="BE116" s="5" t="s">
        <v>438</v>
      </c>
      <c r="BF116" s="5">
        <v>0.42399999999999999</v>
      </c>
      <c r="BG116" s="5" t="s">
        <v>437</v>
      </c>
      <c r="BH116" s="5">
        <v>0.44139515279241309</v>
      </c>
      <c r="BI116" s="5">
        <v>7.2784931506849313</v>
      </c>
      <c r="BJ116" s="5">
        <v>2.08</v>
      </c>
      <c r="BK116" s="5" t="s">
        <v>488</v>
      </c>
      <c r="BL116" s="5">
        <v>5.6167123287671235</v>
      </c>
      <c r="BM116" s="5">
        <v>0.21631401475237091</v>
      </c>
      <c r="BN116" s="17">
        <v>88</v>
      </c>
      <c r="BO116" s="5">
        <v>1.4098738861549749</v>
      </c>
      <c r="BP116" s="5">
        <v>1.2216774031039999</v>
      </c>
      <c r="BQ116" s="5">
        <v>0.50420471765517094</v>
      </c>
      <c r="BR116" s="5">
        <v>10.312670270675087</v>
      </c>
      <c r="BS116" s="5" t="s">
        <v>437</v>
      </c>
      <c r="BT116" s="5">
        <v>6.766200283945385</v>
      </c>
      <c r="BU116" s="5">
        <v>5.3492408569426493</v>
      </c>
      <c r="BV116" s="5" t="s">
        <v>437</v>
      </c>
      <c r="BW116" s="5" t="s">
        <v>437</v>
      </c>
      <c r="BX116" s="5">
        <v>1.0413250783549901</v>
      </c>
      <c r="BY116" s="5">
        <v>0.90188657518862725</v>
      </c>
      <c r="BZ116" s="5">
        <v>3.2612570967417902</v>
      </c>
      <c r="CA116" s="5" t="s">
        <v>437</v>
      </c>
      <c r="CB116" s="5" t="s">
        <v>437</v>
      </c>
      <c r="CC116" s="5" t="s">
        <v>437</v>
      </c>
      <c r="CD116" s="5">
        <v>0.39737139673571137</v>
      </c>
      <c r="CE116" s="5">
        <v>3.2062937451879505</v>
      </c>
      <c r="CF116" s="5" t="s">
        <v>437</v>
      </c>
      <c r="CG116" s="5" t="s">
        <v>437</v>
      </c>
      <c r="CH116" s="5" t="s">
        <v>437</v>
      </c>
      <c r="CI116" s="17" t="s">
        <v>158</v>
      </c>
      <c r="CJ116" s="17" t="s">
        <v>158</v>
      </c>
      <c r="CK116" s="17" t="s">
        <v>158</v>
      </c>
      <c r="CL116" s="17" t="s">
        <v>158</v>
      </c>
      <c r="CM116" s="17" t="s">
        <v>158</v>
      </c>
      <c r="CN116" s="17" t="s">
        <v>158</v>
      </c>
      <c r="CO116" s="17" t="s">
        <v>158</v>
      </c>
      <c r="CP116" s="17" t="s">
        <v>158</v>
      </c>
      <c r="CQ116" s="17" t="s">
        <v>158</v>
      </c>
      <c r="CR116" s="17" t="s">
        <v>158</v>
      </c>
      <c r="CS116" s="17" t="s">
        <v>158</v>
      </c>
      <c r="CT116" s="17" t="s">
        <v>158</v>
      </c>
      <c r="CU116" s="17" t="s">
        <v>158</v>
      </c>
      <c r="CV116" s="17" t="s">
        <v>158</v>
      </c>
      <c r="CW116" s="17" t="s">
        <v>158</v>
      </c>
      <c r="CX116" s="17" t="s">
        <v>158</v>
      </c>
      <c r="CY116" s="67" t="s">
        <v>158</v>
      </c>
    </row>
    <row r="117" spans="1:103" x14ac:dyDescent="0.2">
      <c r="A117" s="33" t="s">
        <v>82</v>
      </c>
      <c r="B117" s="55" t="s">
        <v>82</v>
      </c>
      <c r="C117" s="14" t="s">
        <v>20</v>
      </c>
      <c r="E117" s="8"/>
      <c r="F117" s="9"/>
      <c r="G117" s="2">
        <v>42974</v>
      </c>
      <c r="H117" s="1">
        <v>2017</v>
      </c>
      <c r="I117" s="142" t="s">
        <v>33</v>
      </c>
      <c r="J117" s="142">
        <v>10</v>
      </c>
      <c r="K117" s="136">
        <v>0.84397163120565966</v>
      </c>
      <c r="L117" s="5">
        <v>5.7117117117116827</v>
      </c>
      <c r="M117" s="6">
        <v>0.40412450611930228</v>
      </c>
      <c r="N117" s="6">
        <v>0.85238026404548517</v>
      </c>
      <c r="O117" s="6">
        <v>2.8678905271273005</v>
      </c>
      <c r="P117" s="6">
        <v>2.1854004047412547</v>
      </c>
      <c r="Q117" s="6">
        <v>4.5955815746362143</v>
      </c>
      <c r="R117" s="6">
        <v>4.2550544473354526</v>
      </c>
      <c r="S117" s="6">
        <v>1.9516141466705212</v>
      </c>
      <c r="T117" s="6">
        <v>17.112045870675534</v>
      </c>
      <c r="U117" s="17">
        <f t="shared" si="15"/>
        <v>88.430966835998674</v>
      </c>
      <c r="V117" s="6" t="s">
        <v>483</v>
      </c>
      <c r="W117" s="6">
        <v>0.15222446627406813</v>
      </c>
      <c r="X117" s="6">
        <v>6.388941447891397E-2</v>
      </c>
      <c r="Y117" s="6">
        <v>7.6815567958729944E-2</v>
      </c>
      <c r="Z117" s="6">
        <v>1.3629488301511847E-2</v>
      </c>
      <c r="AA117" s="6">
        <v>2.311500386978857E-2</v>
      </c>
      <c r="AB117" s="6">
        <v>2.290590432820331E-2</v>
      </c>
      <c r="AC117" s="6" t="s">
        <v>158</v>
      </c>
      <c r="AD117" s="6" t="s">
        <v>158</v>
      </c>
      <c r="AE117" s="17">
        <f t="shared" si="13"/>
        <v>0.33895035690970388</v>
      </c>
      <c r="AF117" s="6">
        <v>-0.03</v>
      </c>
      <c r="AG117" s="18" t="s">
        <v>158</v>
      </c>
      <c r="AH117" s="281">
        <v>5.0439121756487024</v>
      </c>
      <c r="AI117" s="282">
        <v>-0.2</v>
      </c>
      <c r="AJ117" s="282">
        <v>-0.2</v>
      </c>
      <c r="AK117" s="282">
        <v>-0.02</v>
      </c>
      <c r="AL117" s="282">
        <v>-0.1</v>
      </c>
      <c r="AM117" s="282">
        <v>-0.1</v>
      </c>
      <c r="AN117" s="282">
        <v>0.15537924151696605</v>
      </c>
      <c r="AO117" s="282">
        <v>3.3932135728542916E-2</v>
      </c>
      <c r="AP117" s="282">
        <v>-0.05</v>
      </c>
      <c r="AQ117" s="282">
        <v>0.22111776447105788</v>
      </c>
      <c r="AR117" s="282">
        <v>8.8223552894211577E-2</v>
      </c>
      <c r="AS117" s="5" t="s">
        <v>158</v>
      </c>
      <c r="AT117" s="5" t="s">
        <v>158</v>
      </c>
      <c r="AU117" s="5" t="s">
        <v>158</v>
      </c>
      <c r="AV117" s="5" t="s">
        <v>158</v>
      </c>
      <c r="AW117" s="5" t="s">
        <v>158</v>
      </c>
      <c r="BC117" s="6">
        <v>92.8</v>
      </c>
      <c r="BD117" s="6" t="s">
        <v>437</v>
      </c>
      <c r="BE117" s="6">
        <v>0.14780265725169561</v>
      </c>
      <c r="BF117" s="6">
        <v>0.59799999999999998</v>
      </c>
      <c r="BG117" s="6" t="s">
        <v>437</v>
      </c>
      <c r="BH117" s="6">
        <v>0.58801821053609582</v>
      </c>
      <c r="BI117" s="6">
        <v>4.856722103502741</v>
      </c>
      <c r="BJ117" s="6">
        <v>1.42</v>
      </c>
      <c r="BK117" s="6" t="s">
        <v>488</v>
      </c>
      <c r="BL117" s="6">
        <v>4.227687447737619</v>
      </c>
      <c r="BM117" s="6">
        <v>0.37840936541856357</v>
      </c>
      <c r="BN117" s="24">
        <v>170</v>
      </c>
      <c r="BO117" s="6">
        <v>3.7624004719882644</v>
      </c>
      <c r="BP117" s="6">
        <v>7.8707427292704137</v>
      </c>
      <c r="BQ117" s="6">
        <v>1.7584638960296295</v>
      </c>
      <c r="BR117" s="6">
        <v>30.164602257370525</v>
      </c>
      <c r="BS117" s="6" t="s">
        <v>437</v>
      </c>
      <c r="BT117" s="6">
        <v>35.690011421399547</v>
      </c>
      <c r="BU117" s="6">
        <v>8.9233797213010924</v>
      </c>
      <c r="BV117" s="6">
        <v>0.63484220279747672</v>
      </c>
      <c r="BW117" s="6">
        <v>0.653732724013382</v>
      </c>
      <c r="BX117" s="6">
        <v>4.8717100444812553</v>
      </c>
      <c r="BY117" s="6">
        <v>3.8344688375677043</v>
      </c>
      <c r="BZ117" s="6">
        <v>2.1170775053431505</v>
      </c>
      <c r="CA117" s="6" t="s">
        <v>437</v>
      </c>
      <c r="CB117" s="6">
        <v>0.77533309429359543</v>
      </c>
      <c r="CC117" s="6" t="s">
        <v>437</v>
      </c>
      <c r="CD117" s="6">
        <v>0.72246374011759229</v>
      </c>
      <c r="CE117" s="6">
        <v>5.6576202427395055</v>
      </c>
      <c r="CF117" s="6" t="s">
        <v>437</v>
      </c>
      <c r="CG117" s="6" t="s">
        <v>437</v>
      </c>
      <c r="CH117" s="6" t="s">
        <v>437</v>
      </c>
      <c r="CI117" s="17" t="s">
        <v>158</v>
      </c>
      <c r="CJ117" s="17" t="s">
        <v>158</v>
      </c>
      <c r="CK117" s="17" t="s">
        <v>158</v>
      </c>
      <c r="CL117" s="17" t="s">
        <v>158</v>
      </c>
      <c r="CM117" s="17" t="s">
        <v>158</v>
      </c>
      <c r="CN117" s="17" t="s">
        <v>158</v>
      </c>
      <c r="CO117" s="17" t="s">
        <v>158</v>
      </c>
      <c r="CP117" s="17" t="s">
        <v>158</v>
      </c>
      <c r="CQ117" s="17" t="s">
        <v>158</v>
      </c>
      <c r="CR117" s="17" t="s">
        <v>158</v>
      </c>
      <c r="CS117" s="17" t="s">
        <v>158</v>
      </c>
      <c r="CT117" s="17" t="s">
        <v>158</v>
      </c>
      <c r="CU117" s="17" t="s">
        <v>158</v>
      </c>
      <c r="CV117" s="17" t="s">
        <v>158</v>
      </c>
      <c r="CW117" s="17" t="s">
        <v>158</v>
      </c>
      <c r="CX117" s="17" t="s">
        <v>158</v>
      </c>
      <c r="CY117" s="67" t="s">
        <v>158</v>
      </c>
    </row>
    <row r="118" spans="1:103" x14ac:dyDescent="0.2">
      <c r="A118" s="33" t="s">
        <v>112</v>
      </c>
      <c r="B118" s="55" t="s">
        <v>24</v>
      </c>
      <c r="C118" s="14" t="s">
        <v>20</v>
      </c>
      <c r="E118" s="8"/>
      <c r="F118" s="9"/>
      <c r="G118" s="2">
        <v>42968</v>
      </c>
      <c r="H118" s="16">
        <v>2017</v>
      </c>
      <c r="I118" s="135" t="s">
        <v>33</v>
      </c>
      <c r="J118" s="135">
        <v>10</v>
      </c>
      <c r="K118" s="136">
        <v>0.71412876290924521</v>
      </c>
      <c r="L118" s="5">
        <v>5.2290076335878037</v>
      </c>
      <c r="M118" s="6">
        <v>0.52636707098826807</v>
      </c>
      <c r="N118" s="6">
        <v>1.0365231656392921</v>
      </c>
      <c r="O118" s="6">
        <v>2.4791509246371048</v>
      </c>
      <c r="P118" s="6">
        <v>2.0918174587393121</v>
      </c>
      <c r="Q118" s="6">
        <v>3.6029081328295884</v>
      </c>
      <c r="R118" s="6">
        <v>3.4178067210180951</v>
      </c>
      <c r="S118" s="6">
        <v>1.3863094054483993</v>
      </c>
      <c r="T118" s="6">
        <v>14.54088287930006</v>
      </c>
      <c r="U118" s="17">
        <f t="shared" si="15"/>
        <v>87.162610352265233</v>
      </c>
      <c r="V118" s="6" t="s">
        <v>483</v>
      </c>
      <c r="W118" s="6">
        <v>0.16378591113790711</v>
      </c>
      <c r="X118" s="6">
        <v>5.528589240371367E-2</v>
      </c>
      <c r="Y118" s="6">
        <v>5.5541953379057186E-2</v>
      </c>
      <c r="Z118" s="6" t="s">
        <v>483</v>
      </c>
      <c r="AA118" s="6">
        <v>1.9693416830964955E-2</v>
      </c>
      <c r="AB118" s="6" t="s">
        <v>483</v>
      </c>
      <c r="AC118" s="6" t="s">
        <v>158</v>
      </c>
      <c r="AD118" s="6" t="s">
        <v>158</v>
      </c>
      <c r="AE118" s="17">
        <f>SUM(V118,W118,Y118,X118,AB118,AA118)</f>
        <v>0.29430717375164295</v>
      </c>
      <c r="AF118" s="6">
        <v>-0.03</v>
      </c>
      <c r="AG118" s="18" t="s">
        <v>158</v>
      </c>
      <c r="AH118" s="281">
        <v>16.431795878312073</v>
      </c>
      <c r="AI118" s="282">
        <v>-0.2</v>
      </c>
      <c r="AJ118" s="282">
        <v>-0.2</v>
      </c>
      <c r="AK118" s="282">
        <v>2.19169120052339E-2</v>
      </c>
      <c r="AL118" s="282">
        <v>-0.1</v>
      </c>
      <c r="AM118" s="282">
        <v>-0.1</v>
      </c>
      <c r="AN118" s="282">
        <v>1.0350245338567226</v>
      </c>
      <c r="AO118" s="282">
        <v>0.23552502453385674</v>
      </c>
      <c r="AP118" s="282">
        <v>-0.05</v>
      </c>
      <c r="AQ118" s="282">
        <v>0.92792934249263992</v>
      </c>
      <c r="AR118" s="282">
        <v>4.8478900883218837E-2</v>
      </c>
      <c r="AS118" s="5" t="s">
        <v>158</v>
      </c>
      <c r="AT118" s="5" t="s">
        <v>158</v>
      </c>
      <c r="AU118" s="5" t="s">
        <v>158</v>
      </c>
      <c r="AV118" s="5" t="s">
        <v>158</v>
      </c>
      <c r="AW118" s="5" t="s">
        <v>158</v>
      </c>
      <c r="BC118" s="6">
        <v>213</v>
      </c>
      <c r="BD118" s="6" t="s">
        <v>437</v>
      </c>
      <c r="BE118" s="6" t="s">
        <v>438</v>
      </c>
      <c r="BF118" s="6">
        <v>0.47</v>
      </c>
      <c r="BG118" s="6" t="s">
        <v>437</v>
      </c>
      <c r="BH118" s="6">
        <v>0.57172696897374697</v>
      </c>
      <c r="BI118" s="6">
        <v>9.7253365155131242</v>
      </c>
      <c r="BJ118" s="6">
        <v>3.72</v>
      </c>
      <c r="BK118" s="6" t="s">
        <v>488</v>
      </c>
      <c r="BL118" s="6">
        <v>8.9071694510739832</v>
      </c>
      <c r="BM118" s="6">
        <v>0.24847923627684962</v>
      </c>
      <c r="BN118" s="24">
        <v>310</v>
      </c>
      <c r="BO118" s="6">
        <v>1.5470928635688512</v>
      </c>
      <c r="BP118" s="6">
        <v>1.1857210555583342</v>
      </c>
      <c r="BQ118" s="6">
        <v>0.51396705079173755</v>
      </c>
      <c r="BR118" s="6">
        <v>8.577870090022321</v>
      </c>
      <c r="BS118" s="6" t="s">
        <v>437</v>
      </c>
      <c r="BT118" s="6">
        <v>4.2280056209031889</v>
      </c>
      <c r="BU118" s="6" t="s">
        <v>494</v>
      </c>
      <c r="BV118" s="6">
        <v>0.64123531398228806</v>
      </c>
      <c r="BW118" s="6">
        <v>0.26080067244096022</v>
      </c>
      <c r="BX118" s="6">
        <v>1.3044144932466386</v>
      </c>
      <c r="BY118" s="6">
        <v>1.4848243284178557</v>
      </c>
      <c r="BZ118" s="6">
        <v>4.1993884650383499</v>
      </c>
      <c r="CA118" s="6" t="s">
        <v>437</v>
      </c>
      <c r="CB118" s="6">
        <v>0.20420406553216125</v>
      </c>
      <c r="CC118" s="6">
        <v>25.886505919185705</v>
      </c>
      <c r="CD118" s="6">
        <v>0.1940735455380852</v>
      </c>
      <c r="CE118" s="6">
        <v>1.003616196104157</v>
      </c>
      <c r="CF118" s="6" t="s">
        <v>437</v>
      </c>
      <c r="CG118" s="6" t="s">
        <v>437</v>
      </c>
      <c r="CH118" s="6" t="s">
        <v>437</v>
      </c>
      <c r="CI118" s="17" t="s">
        <v>158</v>
      </c>
      <c r="CJ118" s="17" t="s">
        <v>158</v>
      </c>
      <c r="CK118" s="17" t="s">
        <v>158</v>
      </c>
      <c r="CL118" s="17" t="s">
        <v>158</v>
      </c>
      <c r="CM118" s="17" t="s">
        <v>158</v>
      </c>
      <c r="CN118" s="17" t="s">
        <v>158</v>
      </c>
      <c r="CO118" s="17" t="s">
        <v>158</v>
      </c>
      <c r="CP118" s="17" t="s">
        <v>158</v>
      </c>
      <c r="CQ118" s="17" t="s">
        <v>158</v>
      </c>
      <c r="CR118" s="17" t="s">
        <v>158</v>
      </c>
      <c r="CS118" s="17" t="s">
        <v>158</v>
      </c>
      <c r="CT118" s="17" t="s">
        <v>158</v>
      </c>
      <c r="CU118" s="17" t="s">
        <v>158</v>
      </c>
      <c r="CV118" s="17" t="s">
        <v>158</v>
      </c>
      <c r="CW118" s="17" t="s">
        <v>158</v>
      </c>
      <c r="CX118" s="17" t="s">
        <v>158</v>
      </c>
      <c r="CY118" s="67" t="s">
        <v>158</v>
      </c>
    </row>
    <row r="119" spans="1:103" x14ac:dyDescent="0.2">
      <c r="A119" s="34" t="s">
        <v>21</v>
      </c>
      <c r="B119" s="56" t="s">
        <v>21</v>
      </c>
      <c r="C119" s="14" t="s">
        <v>20</v>
      </c>
      <c r="E119" s="10"/>
      <c r="F119" s="11"/>
      <c r="G119" s="3">
        <v>42961</v>
      </c>
      <c r="H119" s="1">
        <v>2017</v>
      </c>
      <c r="I119" s="142" t="s">
        <v>33</v>
      </c>
      <c r="J119" s="142">
        <v>10</v>
      </c>
      <c r="K119" s="136">
        <v>0.50703889286564841</v>
      </c>
      <c r="L119" s="5">
        <v>4.1492776886035552</v>
      </c>
      <c r="M119" s="6">
        <v>3.445519147256218E-2</v>
      </c>
      <c r="N119" s="6">
        <v>0.10729865771812079</v>
      </c>
      <c r="O119" s="6">
        <v>0.75058231346229765</v>
      </c>
      <c r="P119" s="6">
        <v>0.62582905645479669</v>
      </c>
      <c r="Q119" s="6">
        <v>2.0800582313462299</v>
      </c>
      <c r="R119" s="6">
        <v>2.0016877220686937</v>
      </c>
      <c r="S119" s="6">
        <v>0.89178839320963288</v>
      </c>
      <c r="T119" s="6">
        <v>6.4916995657323335</v>
      </c>
      <c r="U119" s="17">
        <f t="shared" si="15"/>
        <v>57.844384245606918</v>
      </c>
      <c r="V119" s="6" t="s">
        <v>483</v>
      </c>
      <c r="W119" s="6">
        <v>0.17639634160875056</v>
      </c>
      <c r="X119" s="6">
        <v>6.1427336750044054E-2</v>
      </c>
      <c r="Y119" s="6">
        <v>9.2343201756896365E-2</v>
      </c>
      <c r="Z119" s="6" t="s">
        <v>483</v>
      </c>
      <c r="AA119" s="6">
        <v>3.2108825134651069E-2</v>
      </c>
      <c r="AB119" s="6">
        <v>1.4740134460428609E-2</v>
      </c>
      <c r="AC119" s="6" t="s">
        <v>158</v>
      </c>
      <c r="AD119" s="6" t="s">
        <v>158</v>
      </c>
      <c r="AE119" s="17">
        <f t="shared" si="13"/>
        <v>0.37701583971077063</v>
      </c>
      <c r="AF119" s="6">
        <v>-0.03</v>
      </c>
      <c r="AG119" s="18" t="s">
        <v>158</v>
      </c>
      <c r="AH119" s="281">
        <v>36.719764011799413</v>
      </c>
      <c r="AI119" s="282">
        <v>-0.2</v>
      </c>
      <c r="AJ119" s="282">
        <v>-0.2</v>
      </c>
      <c r="AK119" s="282">
        <v>4.0642412323828286E-2</v>
      </c>
      <c r="AL119" s="282">
        <v>-0.1</v>
      </c>
      <c r="AM119" s="282">
        <v>-0.1</v>
      </c>
      <c r="AN119" s="282">
        <v>1.3517109144542774</v>
      </c>
      <c r="AO119" s="282">
        <v>1.056047197640118</v>
      </c>
      <c r="AP119" s="282">
        <v>-0.05</v>
      </c>
      <c r="AQ119" s="282">
        <v>1.0585644051130778</v>
      </c>
      <c r="AR119" s="282">
        <v>4.5722713864306784E-2</v>
      </c>
      <c r="AS119" s="5" t="s">
        <v>158</v>
      </c>
      <c r="AT119" s="5" t="s">
        <v>158</v>
      </c>
      <c r="AU119" s="5" t="s">
        <v>158</v>
      </c>
      <c r="AV119" s="5" t="s">
        <v>158</v>
      </c>
      <c r="AW119" s="5" t="s">
        <v>158</v>
      </c>
      <c r="BC119" s="6">
        <v>587</v>
      </c>
      <c r="BD119" s="6" t="s">
        <v>437</v>
      </c>
      <c r="BE119" s="6" t="s">
        <v>438</v>
      </c>
      <c r="BF119" s="6">
        <v>0.60899999999999999</v>
      </c>
      <c r="BG119" s="6" t="s">
        <v>437</v>
      </c>
      <c r="BH119" s="6">
        <v>0.54630310994305742</v>
      </c>
      <c r="BI119" s="6">
        <v>19.587483574244416</v>
      </c>
      <c r="BJ119" s="6">
        <v>14.8</v>
      </c>
      <c r="BK119" s="6">
        <v>1.7</v>
      </c>
      <c r="BL119" s="6">
        <v>13.677463863337712</v>
      </c>
      <c r="BM119" s="6">
        <v>0.28830705212439772</v>
      </c>
      <c r="BN119" s="24">
        <v>68</v>
      </c>
      <c r="BO119" s="6">
        <v>0.95745339478638347</v>
      </c>
      <c r="BP119" s="6">
        <v>0.55054281442904895</v>
      </c>
      <c r="BQ119" s="6">
        <v>4.031719246854939</v>
      </c>
      <c r="BR119" s="6">
        <v>5.2795278025854735</v>
      </c>
      <c r="BS119" s="6" t="s">
        <v>437</v>
      </c>
      <c r="BT119" s="6">
        <v>2.7754233961210208</v>
      </c>
      <c r="BU119" s="6" t="s">
        <v>494</v>
      </c>
      <c r="BV119" s="6" t="s">
        <v>437</v>
      </c>
      <c r="BW119" s="6" t="s">
        <v>437</v>
      </c>
      <c r="BX119" s="6">
        <v>0.75246197355842348</v>
      </c>
      <c r="BY119" s="6">
        <v>1.1208792380866111</v>
      </c>
      <c r="BZ119" s="6">
        <v>3.8334489820177549</v>
      </c>
      <c r="CA119" s="6" t="s">
        <v>437</v>
      </c>
      <c r="CB119" s="6" t="s">
        <v>437</v>
      </c>
      <c r="CC119" s="6" t="s">
        <v>437</v>
      </c>
      <c r="CD119" s="6" t="s">
        <v>437</v>
      </c>
      <c r="CE119" s="6">
        <v>0.54570643268730235</v>
      </c>
      <c r="CF119" s="6" t="s">
        <v>437</v>
      </c>
      <c r="CG119" s="6" t="s">
        <v>437</v>
      </c>
      <c r="CH119" s="6" t="s">
        <v>437</v>
      </c>
      <c r="CI119" s="17" t="s">
        <v>158</v>
      </c>
      <c r="CJ119" s="17" t="s">
        <v>158</v>
      </c>
      <c r="CK119" s="17" t="s">
        <v>158</v>
      </c>
      <c r="CL119" s="17" t="s">
        <v>158</v>
      </c>
      <c r="CM119" s="17" t="s">
        <v>158</v>
      </c>
      <c r="CN119" s="17" t="s">
        <v>158</v>
      </c>
      <c r="CO119" s="17" t="s">
        <v>158</v>
      </c>
      <c r="CP119" s="17" t="s">
        <v>158</v>
      </c>
      <c r="CQ119" s="17" t="s">
        <v>158</v>
      </c>
      <c r="CR119" s="17" t="s">
        <v>158</v>
      </c>
      <c r="CS119" s="17" t="s">
        <v>158</v>
      </c>
      <c r="CT119" s="17" t="s">
        <v>158</v>
      </c>
      <c r="CU119" s="17" t="s">
        <v>158</v>
      </c>
      <c r="CV119" s="17" t="s">
        <v>158</v>
      </c>
      <c r="CW119" s="17" t="s">
        <v>158</v>
      </c>
      <c r="CX119" s="17" t="s">
        <v>158</v>
      </c>
      <c r="CY119" s="67" t="s">
        <v>158</v>
      </c>
    </row>
    <row r="120" spans="1:103" x14ac:dyDescent="0.2">
      <c r="A120" s="35" t="s">
        <v>22</v>
      </c>
      <c r="B120" s="57" t="s">
        <v>22</v>
      </c>
      <c r="C120" s="14" t="s">
        <v>20</v>
      </c>
      <c r="E120" s="12"/>
      <c r="F120" s="13"/>
      <c r="G120" s="4">
        <v>42985</v>
      </c>
      <c r="H120" s="16">
        <v>2017</v>
      </c>
      <c r="I120" s="135" t="s">
        <v>33</v>
      </c>
      <c r="J120" s="135">
        <v>10</v>
      </c>
      <c r="K120" s="136">
        <v>0.42030051486814662</v>
      </c>
      <c r="L120" s="5">
        <v>4.7704590818362007</v>
      </c>
      <c r="M120" s="6">
        <v>0.71336541616537241</v>
      </c>
      <c r="N120" s="6">
        <v>1.6686700207809251</v>
      </c>
      <c r="O120" s="6">
        <v>3.7139943125888655</v>
      </c>
      <c r="P120" s="6">
        <v>2.6614568522366837</v>
      </c>
      <c r="Q120" s="6">
        <v>5.305080389368916</v>
      </c>
      <c r="R120" s="6">
        <v>4.9528929235480685</v>
      </c>
      <c r="S120" s="6">
        <v>1.9803237449414852</v>
      </c>
      <c r="T120" s="6">
        <v>20.995783659630316</v>
      </c>
      <c r="U120" s="17">
        <f t="shared" si="15"/>
        <v>218.10973528244824</v>
      </c>
      <c r="V120" s="6" t="s">
        <v>483</v>
      </c>
      <c r="W120" s="6">
        <v>0.25535616727969934</v>
      </c>
      <c r="X120" s="6">
        <v>9.5357270999735233E-2</v>
      </c>
      <c r="Y120" s="6">
        <v>0.26902597589390986</v>
      </c>
      <c r="Z120" s="6" t="s">
        <v>483</v>
      </c>
      <c r="AA120" s="6">
        <v>3.1730525449955339E-2</v>
      </c>
      <c r="AB120" s="6">
        <v>2.6055483691934601E-2</v>
      </c>
      <c r="AC120" s="6" t="s">
        <v>158</v>
      </c>
      <c r="AD120" s="6" t="s">
        <v>158</v>
      </c>
      <c r="AE120" s="17">
        <f t="shared" si="13"/>
        <v>0.67752542331523435</v>
      </c>
      <c r="AF120" s="6">
        <v>-0.03</v>
      </c>
      <c r="AG120" s="18" t="s">
        <v>158</v>
      </c>
      <c r="AH120" s="281">
        <v>17.311219512195123</v>
      </c>
      <c r="AI120" s="282">
        <v>-0.2</v>
      </c>
      <c r="AJ120" s="282">
        <v>-0.2</v>
      </c>
      <c r="AK120" s="282">
        <v>-0.02</v>
      </c>
      <c r="AL120" s="282">
        <v>-0.1</v>
      </c>
      <c r="AM120" s="282">
        <v>-0.1</v>
      </c>
      <c r="AN120" s="282">
        <v>0.57725853658536586</v>
      </c>
      <c r="AO120" s="282">
        <v>0.28390243902439027</v>
      </c>
      <c r="AP120" s="282">
        <v>-0.05</v>
      </c>
      <c r="AQ120" s="282">
        <v>0.71176585365853662</v>
      </c>
      <c r="AR120" s="282">
        <v>7.8439024390243903E-2</v>
      </c>
      <c r="AS120" s="5" t="s">
        <v>158</v>
      </c>
      <c r="AT120" s="5" t="s">
        <v>158</v>
      </c>
      <c r="AU120" s="5" t="s">
        <v>158</v>
      </c>
      <c r="AV120" s="5" t="s">
        <v>158</v>
      </c>
      <c r="AW120" s="5" t="s">
        <v>158</v>
      </c>
      <c r="BC120" s="6">
        <v>192</v>
      </c>
      <c r="BD120" s="6" t="s">
        <v>437</v>
      </c>
      <c r="BE120" s="6" t="s">
        <v>438</v>
      </c>
      <c r="BF120" s="6">
        <v>0.26500000000000001</v>
      </c>
      <c r="BG120" s="6" t="s">
        <v>437</v>
      </c>
      <c r="BH120" s="6">
        <v>0.42019573503657154</v>
      </c>
      <c r="BI120" s="6">
        <v>7.5175543422272577</v>
      </c>
      <c r="BJ120" s="6">
        <v>2.85</v>
      </c>
      <c r="BK120" s="6" t="s">
        <v>488</v>
      </c>
      <c r="BL120" s="6">
        <v>8.3241578242505394</v>
      </c>
      <c r="BM120" s="6">
        <v>0.2990439888740084</v>
      </c>
      <c r="BN120" s="24">
        <v>83</v>
      </c>
      <c r="BO120" s="6">
        <v>2.9999785292300758</v>
      </c>
      <c r="BP120" s="6">
        <v>0.18418420460123613</v>
      </c>
      <c r="BQ120" s="6">
        <v>0.29240110574376638</v>
      </c>
      <c r="BR120" s="6">
        <v>6.3669350065018637</v>
      </c>
      <c r="BS120" s="6" t="s">
        <v>437</v>
      </c>
      <c r="BT120" s="6">
        <v>16.233059670336107</v>
      </c>
      <c r="BU120" s="6" t="s">
        <v>494</v>
      </c>
      <c r="BV120" s="6" t="s">
        <v>437</v>
      </c>
      <c r="BW120" s="6" t="s">
        <v>437</v>
      </c>
      <c r="BX120" s="6">
        <v>0.84820274349753311</v>
      </c>
      <c r="BY120" s="6">
        <v>1.5876104345265103</v>
      </c>
      <c r="BZ120" s="6">
        <v>4.9392908468709829</v>
      </c>
      <c r="CA120" s="6" t="s">
        <v>437</v>
      </c>
      <c r="CB120" s="6" t="s">
        <v>437</v>
      </c>
      <c r="CC120" s="6" t="s">
        <v>437</v>
      </c>
      <c r="CD120" s="6">
        <v>0.42577950477359999</v>
      </c>
      <c r="CE120" s="6">
        <v>1.6028701491040183</v>
      </c>
      <c r="CF120" s="6" t="s">
        <v>437</v>
      </c>
      <c r="CG120" s="6" t="s">
        <v>437</v>
      </c>
      <c r="CH120" s="6" t="s">
        <v>437</v>
      </c>
      <c r="CI120" s="17" t="s">
        <v>158</v>
      </c>
      <c r="CJ120" s="17" t="s">
        <v>158</v>
      </c>
      <c r="CK120" s="17" t="s">
        <v>158</v>
      </c>
      <c r="CL120" s="17" t="s">
        <v>158</v>
      </c>
      <c r="CM120" s="17" t="s">
        <v>158</v>
      </c>
      <c r="CN120" s="17" t="s">
        <v>158</v>
      </c>
      <c r="CO120" s="17" t="s">
        <v>158</v>
      </c>
      <c r="CP120" s="17" t="s">
        <v>158</v>
      </c>
      <c r="CQ120" s="17" t="s">
        <v>158</v>
      </c>
      <c r="CR120" s="17" t="s">
        <v>158</v>
      </c>
      <c r="CS120" s="17" t="s">
        <v>158</v>
      </c>
      <c r="CT120" s="17" t="s">
        <v>158</v>
      </c>
      <c r="CU120" s="17" t="s">
        <v>158</v>
      </c>
      <c r="CV120" s="17" t="s">
        <v>158</v>
      </c>
      <c r="CW120" s="17" t="s">
        <v>158</v>
      </c>
      <c r="CX120" s="17" t="s">
        <v>158</v>
      </c>
      <c r="CY120" s="67" t="s">
        <v>158</v>
      </c>
    </row>
    <row r="121" spans="1:103" x14ac:dyDescent="0.2">
      <c r="A121" s="35" t="s">
        <v>25</v>
      </c>
      <c r="B121" s="57" t="s">
        <v>25</v>
      </c>
      <c r="C121" s="14" t="s">
        <v>20</v>
      </c>
      <c r="E121" s="12"/>
      <c r="F121" s="13"/>
      <c r="G121" s="4">
        <v>42962</v>
      </c>
      <c r="H121" s="1">
        <v>2017</v>
      </c>
      <c r="I121" s="142" t="s">
        <v>33</v>
      </c>
      <c r="J121" s="142">
        <v>10</v>
      </c>
      <c r="K121" s="136">
        <v>0.45115831094437497</v>
      </c>
      <c r="L121" s="5">
        <v>3.6928386540120557</v>
      </c>
      <c r="M121" s="6">
        <v>3.4289932638184001E-2</v>
      </c>
      <c r="N121" s="6">
        <v>9.1302943619082769E-2</v>
      </c>
      <c r="O121" s="6">
        <v>0.38661068561409989</v>
      </c>
      <c r="P121" s="6">
        <v>0.29720402325366801</v>
      </c>
      <c r="Q121" s="6">
        <v>0.82254775306819228</v>
      </c>
      <c r="R121" s="6">
        <v>0.77604503091261423</v>
      </c>
      <c r="S121" s="6">
        <v>0.32070683768570635</v>
      </c>
      <c r="T121" s="6">
        <v>2.7287072067915479</v>
      </c>
      <c r="U121" s="17">
        <f t="shared" si="15"/>
        <v>26.947338933513173</v>
      </c>
      <c r="V121" s="6" t="s">
        <v>483</v>
      </c>
      <c r="W121" s="6">
        <v>5.6953680545536747E-2</v>
      </c>
      <c r="X121" s="6" t="s">
        <v>484</v>
      </c>
      <c r="Y121" s="6">
        <v>6.0711184030465694E-2</v>
      </c>
      <c r="Z121" s="6">
        <v>1.2471803597822488E-2</v>
      </c>
      <c r="AA121" s="6" t="s">
        <v>482</v>
      </c>
      <c r="AB121" s="6">
        <v>1.3801074500573902E-2</v>
      </c>
      <c r="AC121" s="6" t="s">
        <v>158</v>
      </c>
      <c r="AD121" s="7" t="s">
        <v>158</v>
      </c>
      <c r="AE121" s="17">
        <f t="shared" si="13"/>
        <v>0.13146593907657636</v>
      </c>
      <c r="AF121" s="6">
        <v>-0.03</v>
      </c>
      <c r="AG121" s="18" t="s">
        <v>158</v>
      </c>
      <c r="AH121" s="281">
        <v>35.969260326609032</v>
      </c>
      <c r="AI121" s="282">
        <v>-0.2</v>
      </c>
      <c r="AJ121" s="282">
        <v>-0.2</v>
      </c>
      <c r="AK121" s="282">
        <v>-0.02</v>
      </c>
      <c r="AL121" s="282">
        <v>-0.1</v>
      </c>
      <c r="AM121" s="282">
        <v>-0.1</v>
      </c>
      <c r="AN121" s="282">
        <v>0.85945244956772338</v>
      </c>
      <c r="AO121" s="282">
        <v>0.41690682036503357</v>
      </c>
      <c r="AP121" s="282">
        <v>-0.05</v>
      </c>
      <c r="AQ121" s="282">
        <v>0.40303554274735831</v>
      </c>
      <c r="AR121" s="282">
        <v>-0.05</v>
      </c>
      <c r="AS121" s="5" t="s">
        <v>158</v>
      </c>
      <c r="AT121" s="5" t="s">
        <v>158</v>
      </c>
      <c r="AU121" s="5" t="s">
        <v>158</v>
      </c>
      <c r="AV121" s="5" t="s">
        <v>158</v>
      </c>
      <c r="AW121" s="5" t="s">
        <v>158</v>
      </c>
      <c r="BC121" s="6">
        <v>579</v>
      </c>
      <c r="BD121" s="6" t="s">
        <v>437</v>
      </c>
      <c r="BE121" s="6" t="s">
        <v>438</v>
      </c>
      <c r="BF121" s="6">
        <v>0.42699999999999999</v>
      </c>
      <c r="BG121" s="6" t="s">
        <v>437</v>
      </c>
      <c r="BH121" s="6">
        <v>0.63869239228231534</v>
      </c>
      <c r="BI121" s="6">
        <v>12.783454963510948</v>
      </c>
      <c r="BJ121" s="6">
        <v>7.17</v>
      </c>
      <c r="BK121" s="6">
        <v>3.2</v>
      </c>
      <c r="BL121" s="6">
        <v>6.3783464960511846</v>
      </c>
      <c r="BM121" s="6">
        <v>0.25720483854843551</v>
      </c>
      <c r="BN121" s="24">
        <v>130</v>
      </c>
      <c r="BO121" s="6">
        <v>0.86808938352401754</v>
      </c>
      <c r="BP121" s="6">
        <v>0.30351418923293927</v>
      </c>
      <c r="BQ121" s="6">
        <v>0.23707257465100043</v>
      </c>
      <c r="BR121" s="6">
        <v>4.9382036276577743</v>
      </c>
      <c r="BS121" s="6" t="s">
        <v>437</v>
      </c>
      <c r="BT121" s="6">
        <v>2.4737963202353841</v>
      </c>
      <c r="BU121" s="6" t="s">
        <v>494</v>
      </c>
      <c r="BV121" s="6" t="s">
        <v>437</v>
      </c>
      <c r="BW121" s="6" t="s">
        <v>437</v>
      </c>
      <c r="BX121" s="6">
        <v>1.334697716239625</v>
      </c>
      <c r="BY121" s="6">
        <v>1.3162901845739678</v>
      </c>
      <c r="BZ121" s="6">
        <v>2.9396617180144951</v>
      </c>
      <c r="CA121" s="6" t="s">
        <v>437</v>
      </c>
      <c r="CB121" s="6" t="s">
        <v>437</v>
      </c>
      <c r="CC121" s="6" t="s">
        <v>437</v>
      </c>
      <c r="CD121" s="6" t="s">
        <v>437</v>
      </c>
      <c r="CE121" s="6" t="s">
        <v>479</v>
      </c>
      <c r="CF121" s="6" t="s">
        <v>437</v>
      </c>
      <c r="CG121" s="6" t="s">
        <v>437</v>
      </c>
      <c r="CH121" s="6" t="s">
        <v>437</v>
      </c>
      <c r="CI121" s="17" t="s">
        <v>158</v>
      </c>
      <c r="CJ121" s="17" t="s">
        <v>158</v>
      </c>
      <c r="CK121" s="17" t="s">
        <v>158</v>
      </c>
      <c r="CL121" s="17" t="s">
        <v>158</v>
      </c>
      <c r="CM121" s="17" t="s">
        <v>158</v>
      </c>
      <c r="CN121" s="17" t="s">
        <v>158</v>
      </c>
      <c r="CO121" s="17" t="s">
        <v>158</v>
      </c>
      <c r="CP121" s="17" t="s">
        <v>158</v>
      </c>
      <c r="CQ121" s="17" t="s">
        <v>158</v>
      </c>
      <c r="CR121" s="17" t="s">
        <v>158</v>
      </c>
      <c r="CS121" s="17" t="s">
        <v>158</v>
      </c>
      <c r="CT121" s="17" t="s">
        <v>158</v>
      </c>
      <c r="CU121" s="17" t="s">
        <v>158</v>
      </c>
      <c r="CV121" s="17" t="s">
        <v>158</v>
      </c>
      <c r="CW121" s="17" t="s">
        <v>158</v>
      </c>
      <c r="CX121" s="17" t="s">
        <v>158</v>
      </c>
      <c r="CY121" s="67" t="s">
        <v>158</v>
      </c>
    </row>
    <row r="122" spans="1:103" x14ac:dyDescent="0.2">
      <c r="A122" s="35" t="s">
        <v>5</v>
      </c>
      <c r="B122" s="57" t="s">
        <v>5</v>
      </c>
      <c r="C122" s="14" t="s">
        <v>20</v>
      </c>
      <c r="E122" s="12"/>
      <c r="F122" s="13"/>
      <c r="G122" s="4">
        <v>42968</v>
      </c>
      <c r="H122" s="16">
        <v>2017</v>
      </c>
      <c r="I122" s="135" t="s">
        <v>33</v>
      </c>
      <c r="J122" s="135">
        <v>10</v>
      </c>
      <c r="K122" s="136">
        <v>0.32914989344067203</v>
      </c>
      <c r="L122" s="5">
        <v>7.303705468843205</v>
      </c>
      <c r="M122" s="6">
        <v>0.85847941888619861</v>
      </c>
      <c r="N122" s="6">
        <v>1.8717142857142859</v>
      </c>
      <c r="O122" s="6">
        <v>4.2495108958837768</v>
      </c>
      <c r="P122" s="6">
        <v>3.3886585956416471</v>
      </c>
      <c r="Q122" s="6">
        <v>4.8051961259079903</v>
      </c>
      <c r="R122" s="6">
        <v>4.73496368038741</v>
      </c>
      <c r="S122" s="6">
        <v>1.4049588377723972</v>
      </c>
      <c r="T122" s="6">
        <v>21.313481840193706</v>
      </c>
      <c r="U122" s="17">
        <f t="shared" si="15"/>
        <v>272.28967108541593</v>
      </c>
      <c r="V122" s="6">
        <v>1.4188479380229126E-2</v>
      </c>
      <c r="W122" s="6">
        <v>0.31560819344274726</v>
      </c>
      <c r="X122" s="6">
        <v>0.12461929479743412</v>
      </c>
      <c r="Y122" s="6">
        <v>0.28000000000000003</v>
      </c>
      <c r="Z122" s="6">
        <v>2.5940984890961076E-2</v>
      </c>
      <c r="AA122" s="6">
        <v>4.4061211569325985E-2</v>
      </c>
      <c r="AB122" s="6">
        <v>3.5086570997494314E-2</v>
      </c>
      <c r="AC122" s="6" t="s">
        <v>158</v>
      </c>
      <c r="AD122" s="6" t="s">
        <v>158</v>
      </c>
      <c r="AE122" s="17">
        <f t="shared" si="13"/>
        <v>0.81356375018723093</v>
      </c>
      <c r="AF122" s="6">
        <v>-0.03</v>
      </c>
      <c r="AG122" s="18" t="s">
        <v>158</v>
      </c>
      <c r="AH122" s="281">
        <v>14.945098039215686</v>
      </c>
      <c r="AI122" s="282">
        <v>-0.2</v>
      </c>
      <c r="AJ122" s="282">
        <v>-0.2</v>
      </c>
      <c r="AK122" s="282">
        <v>-0.02</v>
      </c>
      <c r="AL122" s="282">
        <v>-0.1</v>
      </c>
      <c r="AM122" s="282">
        <v>-0.1</v>
      </c>
      <c r="AN122" s="282">
        <v>0.42910784313725492</v>
      </c>
      <c r="AO122" s="282">
        <v>0.16666666666666666</v>
      </c>
      <c r="AP122" s="282">
        <v>-0.05</v>
      </c>
      <c r="AQ122" s="282">
        <v>0.43682352941176472</v>
      </c>
      <c r="AR122" s="282">
        <v>6.0392156862745093E-2</v>
      </c>
      <c r="AS122" s="5" t="s">
        <v>158</v>
      </c>
      <c r="AT122" s="5" t="s">
        <v>158</v>
      </c>
      <c r="AU122" s="5" t="s">
        <v>158</v>
      </c>
      <c r="AV122" s="5" t="s">
        <v>158</v>
      </c>
      <c r="AW122" s="5" t="s">
        <v>158</v>
      </c>
      <c r="BC122" s="6">
        <v>306</v>
      </c>
      <c r="BD122" s="6" t="s">
        <v>437</v>
      </c>
      <c r="BE122" s="6" t="s">
        <v>438</v>
      </c>
      <c r="BF122" s="6">
        <v>0.20699999999999999</v>
      </c>
      <c r="BG122" s="6" t="s">
        <v>437</v>
      </c>
      <c r="BH122" s="6">
        <v>0.34745155126922028</v>
      </c>
      <c r="BI122" s="6">
        <v>9.4507233190792466</v>
      </c>
      <c r="BJ122" s="6">
        <v>4.55</v>
      </c>
      <c r="BK122" s="6" t="s">
        <v>488</v>
      </c>
      <c r="BL122" s="6">
        <v>9.5444090619597848</v>
      </c>
      <c r="BM122" s="6">
        <v>0.24500227458829954</v>
      </c>
      <c r="BN122" s="24">
        <v>110</v>
      </c>
      <c r="BO122" s="6">
        <v>0.97729124279127555</v>
      </c>
      <c r="BP122" s="6">
        <v>0.42200429980447113</v>
      </c>
      <c r="BQ122" s="6" t="s">
        <v>438</v>
      </c>
      <c r="BR122" s="6">
        <v>2.5612225038126497</v>
      </c>
      <c r="BS122" s="6" t="s">
        <v>437</v>
      </c>
      <c r="BT122" s="6">
        <v>1.7169193010677768</v>
      </c>
      <c r="BU122" s="6" t="s">
        <v>494</v>
      </c>
      <c r="BV122" s="6" t="s">
        <v>437</v>
      </c>
      <c r="BW122" s="6" t="s">
        <v>437</v>
      </c>
      <c r="BX122" s="6">
        <v>0.70619700486637704</v>
      </c>
      <c r="BY122" s="6">
        <v>0.88274755045956688</v>
      </c>
      <c r="BZ122" s="6">
        <v>5.1620708424307242</v>
      </c>
      <c r="CA122" s="6" t="s">
        <v>437</v>
      </c>
      <c r="CB122" s="6" t="s">
        <v>437</v>
      </c>
      <c r="CC122" s="6" t="s">
        <v>437</v>
      </c>
      <c r="CD122" s="6" t="s">
        <v>437</v>
      </c>
      <c r="CE122" s="6">
        <v>0.76036983173790562</v>
      </c>
      <c r="CF122" s="6" t="s">
        <v>437</v>
      </c>
      <c r="CG122" s="6" t="s">
        <v>437</v>
      </c>
      <c r="CH122" s="6" t="s">
        <v>437</v>
      </c>
      <c r="CI122" s="17" t="s">
        <v>158</v>
      </c>
      <c r="CJ122" s="17" t="s">
        <v>158</v>
      </c>
      <c r="CK122" s="17" t="s">
        <v>158</v>
      </c>
      <c r="CL122" s="17" t="s">
        <v>158</v>
      </c>
      <c r="CM122" s="17" t="s">
        <v>158</v>
      </c>
      <c r="CN122" s="17" t="s">
        <v>158</v>
      </c>
      <c r="CO122" s="17" t="s">
        <v>158</v>
      </c>
      <c r="CP122" s="17" t="s">
        <v>158</v>
      </c>
      <c r="CQ122" s="17" t="s">
        <v>158</v>
      </c>
      <c r="CR122" s="17" t="s">
        <v>158</v>
      </c>
      <c r="CS122" s="17" t="s">
        <v>158</v>
      </c>
      <c r="CT122" s="17" t="s">
        <v>158</v>
      </c>
      <c r="CU122" s="17" t="s">
        <v>158</v>
      </c>
      <c r="CV122" s="17" t="s">
        <v>158</v>
      </c>
      <c r="CW122" s="17" t="s">
        <v>158</v>
      </c>
      <c r="CX122" s="17" t="s">
        <v>158</v>
      </c>
      <c r="CY122" s="67" t="s">
        <v>158</v>
      </c>
    </row>
    <row r="123" spans="1:103" x14ac:dyDescent="0.2">
      <c r="A123" s="35" t="s">
        <v>23</v>
      </c>
      <c r="B123" s="57" t="s">
        <v>23</v>
      </c>
      <c r="C123" s="14" t="s">
        <v>20</v>
      </c>
      <c r="E123" s="12"/>
      <c r="F123" s="13"/>
      <c r="G123" s="4">
        <v>42969</v>
      </c>
      <c r="H123" s="1">
        <v>2017</v>
      </c>
      <c r="I123" s="142" t="s">
        <v>33</v>
      </c>
      <c r="J123" s="142">
        <v>10</v>
      </c>
      <c r="K123" s="136">
        <v>0.37161564324900703</v>
      </c>
      <c r="L123" s="5">
        <v>4.7382042604022478</v>
      </c>
      <c r="M123" s="6">
        <v>0.32140354292388557</v>
      </c>
      <c r="N123" s="6">
        <v>1.2512993965349426</v>
      </c>
      <c r="O123" s="6">
        <v>3.3881253649990271</v>
      </c>
      <c r="P123" s="6">
        <v>2.9017130620985014</v>
      </c>
      <c r="Q123" s="6">
        <v>5.0958876776328603</v>
      </c>
      <c r="R123" s="6">
        <v>4.7924274868600349</v>
      </c>
      <c r="S123" s="6">
        <v>1.9367821685808837</v>
      </c>
      <c r="T123" s="6">
        <v>19.687638699630135</v>
      </c>
      <c r="U123" s="17">
        <f t="shared" si="15"/>
        <v>225.85063280401189</v>
      </c>
      <c r="V123" s="6" t="s">
        <v>483</v>
      </c>
      <c r="W123" s="6">
        <v>9.9613608519580982E-2</v>
      </c>
      <c r="X123" s="6">
        <v>3.8676569267013919E-2</v>
      </c>
      <c r="Y123" s="6">
        <v>4.7492991967385323E-2</v>
      </c>
      <c r="Z123" s="6" t="s">
        <v>483</v>
      </c>
      <c r="AA123" s="6" t="s">
        <v>482</v>
      </c>
      <c r="AB123" s="6" t="s">
        <v>483</v>
      </c>
      <c r="AC123" s="6" t="s">
        <v>158</v>
      </c>
      <c r="AD123" s="6" t="s">
        <v>158</v>
      </c>
      <c r="AE123" s="17">
        <f t="shared" si="13"/>
        <v>0.18578316975398024</v>
      </c>
      <c r="AF123" s="6">
        <v>-0.03</v>
      </c>
      <c r="AG123" s="18" t="s">
        <v>158</v>
      </c>
      <c r="AH123" s="281">
        <v>10.774634146341462</v>
      </c>
      <c r="AI123" s="282">
        <v>-0.2</v>
      </c>
      <c r="AJ123" s="282">
        <v>-0.2</v>
      </c>
      <c r="AK123" s="282">
        <v>2.3739837398373997E-2</v>
      </c>
      <c r="AL123" s="282">
        <v>-0.1</v>
      </c>
      <c r="AM123" s="282">
        <v>-0.1</v>
      </c>
      <c r="AN123" s="282">
        <v>0.48360000000000009</v>
      </c>
      <c r="AO123" s="282">
        <v>0.22731707317073171</v>
      </c>
      <c r="AP123" s="282">
        <v>-0.05</v>
      </c>
      <c r="AQ123" s="282">
        <v>0.7224975609756098</v>
      </c>
      <c r="AR123" s="282">
        <v>2.9073170731707319E-2</v>
      </c>
      <c r="AS123" s="5" t="s">
        <v>158</v>
      </c>
      <c r="AT123" s="5" t="s">
        <v>158</v>
      </c>
      <c r="AU123" s="5" t="s">
        <v>158</v>
      </c>
      <c r="AV123" s="5" t="s">
        <v>158</v>
      </c>
      <c r="AW123" s="5" t="s">
        <v>158</v>
      </c>
      <c r="BC123" s="6">
        <v>177</v>
      </c>
      <c r="BD123" s="6" t="s">
        <v>437</v>
      </c>
      <c r="BE123" s="6" t="s">
        <v>438</v>
      </c>
      <c r="BF123" s="6">
        <v>0.378</v>
      </c>
      <c r="BG123" s="6" t="s">
        <v>437</v>
      </c>
      <c r="BH123" s="6">
        <v>0.6286248794599808</v>
      </c>
      <c r="BI123" s="6">
        <v>8.3773288331726139</v>
      </c>
      <c r="BJ123" s="6">
        <v>2.61</v>
      </c>
      <c r="BK123" s="6" t="s">
        <v>488</v>
      </c>
      <c r="BL123" s="6">
        <v>9.3830858244937314</v>
      </c>
      <c r="BM123" s="6">
        <v>0.21531533269045325</v>
      </c>
      <c r="BN123" s="24">
        <v>320</v>
      </c>
      <c r="BO123" s="6">
        <v>0.92128477383202068</v>
      </c>
      <c r="BP123" s="6">
        <v>0.13728450199393563</v>
      </c>
      <c r="BQ123" s="6">
        <v>0.34650635190176066</v>
      </c>
      <c r="BR123" s="6">
        <v>5.6675155314329482</v>
      </c>
      <c r="BS123" s="6" t="s">
        <v>437</v>
      </c>
      <c r="BT123" s="6">
        <v>2.0823541043755656</v>
      </c>
      <c r="BU123" s="6" t="s">
        <v>494</v>
      </c>
      <c r="BV123" s="6" t="s">
        <v>437</v>
      </c>
      <c r="BW123" s="6" t="s">
        <v>437</v>
      </c>
      <c r="BX123" s="6">
        <v>0.60062519480696819</v>
      </c>
      <c r="BY123" s="6">
        <v>1.1188270596144783</v>
      </c>
      <c r="BZ123" s="6">
        <v>2.6917106200840069</v>
      </c>
      <c r="CA123" s="6" t="s">
        <v>437</v>
      </c>
      <c r="CB123" s="6" t="s">
        <v>437</v>
      </c>
      <c r="CC123" s="6" t="s">
        <v>437</v>
      </c>
      <c r="CD123" s="6" t="s">
        <v>437</v>
      </c>
      <c r="CE123" s="6">
        <v>0.87598084948298449</v>
      </c>
      <c r="CF123" s="6" t="s">
        <v>437</v>
      </c>
      <c r="CG123" s="6" t="s">
        <v>437</v>
      </c>
      <c r="CH123" s="6" t="s">
        <v>437</v>
      </c>
      <c r="CI123" s="17" t="s">
        <v>158</v>
      </c>
      <c r="CJ123" s="17" t="s">
        <v>158</v>
      </c>
      <c r="CK123" s="17" t="s">
        <v>158</v>
      </c>
      <c r="CL123" s="17" t="s">
        <v>158</v>
      </c>
      <c r="CM123" s="17" t="s">
        <v>158</v>
      </c>
      <c r="CN123" s="17" t="s">
        <v>158</v>
      </c>
      <c r="CO123" s="17" t="s">
        <v>158</v>
      </c>
      <c r="CP123" s="17" t="s">
        <v>158</v>
      </c>
      <c r="CQ123" s="17" t="s">
        <v>158</v>
      </c>
      <c r="CR123" s="17" t="s">
        <v>158</v>
      </c>
      <c r="CS123" s="17" t="s">
        <v>158</v>
      </c>
      <c r="CT123" s="17" t="s">
        <v>158</v>
      </c>
      <c r="CU123" s="17" t="s">
        <v>158</v>
      </c>
      <c r="CV123" s="17" t="s">
        <v>158</v>
      </c>
      <c r="CW123" s="17" t="s">
        <v>158</v>
      </c>
      <c r="CX123" s="17" t="s">
        <v>158</v>
      </c>
      <c r="CY123" s="67" t="s">
        <v>158</v>
      </c>
    </row>
    <row r="124" spans="1:103" x14ac:dyDescent="0.2">
      <c r="A124" s="35" t="s">
        <v>6</v>
      </c>
      <c r="B124" s="57" t="s">
        <v>6</v>
      </c>
      <c r="C124" s="14" t="s">
        <v>20</v>
      </c>
      <c r="E124" s="12"/>
      <c r="F124" s="13"/>
      <c r="G124" s="4">
        <v>42957</v>
      </c>
      <c r="H124" s="16">
        <v>2017</v>
      </c>
      <c r="I124" s="135" t="s">
        <v>33</v>
      </c>
      <c r="J124" s="135">
        <v>10</v>
      </c>
      <c r="K124" s="136">
        <v>0.48081485464840734</v>
      </c>
      <c r="L124" s="5">
        <v>3.2548551589453578</v>
      </c>
      <c r="M124" s="6">
        <v>8.2224723141090181E-2</v>
      </c>
      <c r="N124" s="6">
        <v>0.32061577808622999</v>
      </c>
      <c r="O124" s="6">
        <v>1.2296579169630801</v>
      </c>
      <c r="P124" s="6">
        <v>0.98014140774538916</v>
      </c>
      <c r="Q124" s="6">
        <v>2.5194324532310421</v>
      </c>
      <c r="R124" s="6">
        <v>2.1226321948808735</v>
      </c>
      <c r="S124" s="6">
        <v>0.9565257534529541</v>
      </c>
      <c r="T124" s="6">
        <v>8.2112302275006606</v>
      </c>
      <c r="U124" s="17">
        <f t="shared" si="15"/>
        <v>75.196187782540079</v>
      </c>
      <c r="V124" s="6" t="s">
        <v>483</v>
      </c>
      <c r="W124" s="6">
        <v>0.11200465291645169</v>
      </c>
      <c r="X124" s="6">
        <v>3.2600730663002821E-2</v>
      </c>
      <c r="Y124" s="6">
        <v>8.0072189468369498E-2</v>
      </c>
      <c r="Z124" s="6">
        <v>1.4072387936954478E-2</v>
      </c>
      <c r="AA124" s="6" t="s">
        <v>482</v>
      </c>
      <c r="AB124" s="6">
        <v>1.6514954792030481E-2</v>
      </c>
      <c r="AC124" s="6" t="s">
        <v>158</v>
      </c>
      <c r="AD124" s="6" t="s">
        <v>158</v>
      </c>
      <c r="AE124" s="17">
        <f t="shared" si="13"/>
        <v>0.24119252783985451</v>
      </c>
      <c r="AF124" s="6">
        <v>-0.03</v>
      </c>
      <c r="AG124" s="18" t="s">
        <v>158</v>
      </c>
      <c r="AH124" s="281">
        <v>5.368318756073859</v>
      </c>
      <c r="AI124" s="282">
        <v>-0.2</v>
      </c>
      <c r="AJ124" s="282">
        <v>-0.2</v>
      </c>
      <c r="AK124" s="282">
        <v>-0.02</v>
      </c>
      <c r="AL124" s="282">
        <v>-0.1</v>
      </c>
      <c r="AM124" s="282">
        <v>-0.1</v>
      </c>
      <c r="AN124" s="282">
        <v>0.26694849368318763</v>
      </c>
      <c r="AO124" s="282">
        <v>9.3294460641399429E-2</v>
      </c>
      <c r="AP124" s="282">
        <v>-0.05</v>
      </c>
      <c r="AQ124" s="282">
        <v>7.6151603498542275E-2</v>
      </c>
      <c r="AR124" s="282">
        <v>-0.05</v>
      </c>
      <c r="AS124" s="5" t="s">
        <v>158</v>
      </c>
      <c r="AT124" s="5" t="s">
        <v>158</v>
      </c>
      <c r="AU124" s="5" t="s">
        <v>158</v>
      </c>
      <c r="AV124" s="5" t="s">
        <v>158</v>
      </c>
      <c r="AW124" s="5" t="s">
        <v>158</v>
      </c>
      <c r="BC124" s="6">
        <v>109</v>
      </c>
      <c r="BD124" s="6" t="s">
        <v>437</v>
      </c>
      <c r="BE124" s="6" t="s">
        <v>438</v>
      </c>
      <c r="BF124" s="6">
        <v>0.69499999999999995</v>
      </c>
      <c r="BG124" s="6" t="s">
        <v>437</v>
      </c>
      <c r="BH124" s="6">
        <v>0.28119681908548705</v>
      </c>
      <c r="BI124" s="6">
        <v>6.7965109343936376</v>
      </c>
      <c r="BJ124" s="6">
        <v>1.98</v>
      </c>
      <c r="BK124" s="6" t="s">
        <v>488</v>
      </c>
      <c r="BL124" s="6">
        <v>2.8929025844930418</v>
      </c>
      <c r="BM124" s="6">
        <v>0.241831013916501</v>
      </c>
      <c r="BN124" s="24">
        <v>21</v>
      </c>
      <c r="BO124" s="6">
        <v>1.2145236651513172</v>
      </c>
      <c r="BP124" s="6">
        <v>0.89553904943832818</v>
      </c>
      <c r="BQ124" s="6">
        <v>0.30758130386348109</v>
      </c>
      <c r="BR124" s="6">
        <v>3.0280272724070523</v>
      </c>
      <c r="BS124" s="6" t="s">
        <v>437</v>
      </c>
      <c r="BT124" s="6" t="s">
        <v>165</v>
      </c>
      <c r="BU124" s="6" t="s">
        <v>494</v>
      </c>
      <c r="BV124" s="6" t="s">
        <v>437</v>
      </c>
      <c r="BW124" s="6" t="s">
        <v>437</v>
      </c>
      <c r="BX124" s="6">
        <v>1.5837381982123049</v>
      </c>
      <c r="BY124" s="6">
        <v>0.93085258534294002</v>
      </c>
      <c r="BZ124" s="6">
        <v>3.3816033005238704</v>
      </c>
      <c r="CA124" s="6" t="s">
        <v>437</v>
      </c>
      <c r="CB124" s="6">
        <v>0.22565808572658203</v>
      </c>
      <c r="CC124" s="6" t="s">
        <v>437</v>
      </c>
      <c r="CD124" s="6" t="s">
        <v>437</v>
      </c>
      <c r="CE124" s="6">
        <v>0.54499501303601094</v>
      </c>
      <c r="CF124" s="6" t="s">
        <v>437</v>
      </c>
      <c r="CG124" s="6" t="s">
        <v>437</v>
      </c>
      <c r="CH124" s="6" t="s">
        <v>437</v>
      </c>
      <c r="CI124" s="17" t="s">
        <v>158</v>
      </c>
      <c r="CJ124" s="17" t="s">
        <v>158</v>
      </c>
      <c r="CK124" s="17" t="s">
        <v>158</v>
      </c>
      <c r="CL124" s="17" t="s">
        <v>158</v>
      </c>
      <c r="CM124" s="17" t="s">
        <v>158</v>
      </c>
      <c r="CN124" s="17" t="s">
        <v>158</v>
      </c>
      <c r="CO124" s="17" t="s">
        <v>158</v>
      </c>
      <c r="CP124" s="17" t="s">
        <v>158</v>
      </c>
      <c r="CQ124" s="17" t="s">
        <v>158</v>
      </c>
      <c r="CR124" s="17" t="s">
        <v>158</v>
      </c>
      <c r="CS124" s="17" t="s">
        <v>158</v>
      </c>
      <c r="CT124" s="17" t="s">
        <v>158</v>
      </c>
      <c r="CU124" s="17" t="s">
        <v>158</v>
      </c>
      <c r="CV124" s="17" t="s">
        <v>158</v>
      </c>
      <c r="CW124" s="17" t="s">
        <v>158</v>
      </c>
      <c r="CX124" s="17" t="s">
        <v>158</v>
      </c>
      <c r="CY124" s="67" t="s">
        <v>158</v>
      </c>
    </row>
    <row r="125" spans="1:103" x14ac:dyDescent="0.2">
      <c r="A125" s="35" t="s">
        <v>81</v>
      </c>
      <c r="B125" s="57" t="s">
        <v>81</v>
      </c>
      <c r="C125" s="14" t="s">
        <v>20</v>
      </c>
      <c r="E125" s="12"/>
      <c r="F125" s="13"/>
      <c r="G125" s="4">
        <v>42964</v>
      </c>
      <c r="H125" s="1">
        <v>2017</v>
      </c>
      <c r="I125" s="142" t="s">
        <v>33</v>
      </c>
      <c r="J125" s="142">
        <v>10</v>
      </c>
      <c r="K125" s="136">
        <v>0.82981511136988539</v>
      </c>
      <c r="L125" s="5">
        <v>5.8032829261988059</v>
      </c>
      <c r="M125" s="6">
        <v>9.6332518337408315E-2</v>
      </c>
      <c r="N125" s="6">
        <v>0.19850855745721271</v>
      </c>
      <c r="O125" s="6">
        <v>0.60342298288508556</v>
      </c>
      <c r="P125" s="6">
        <v>0.49694865525672371</v>
      </c>
      <c r="Q125" s="6">
        <v>1.2166601466992664</v>
      </c>
      <c r="R125" s="6">
        <v>1.1225330073349633</v>
      </c>
      <c r="S125" s="6">
        <v>0.57712469437652814</v>
      </c>
      <c r="T125" s="6">
        <v>4.3115305623471887</v>
      </c>
      <c r="U125" s="17">
        <f t="shared" si="15"/>
        <v>22.984529052461038</v>
      </c>
      <c r="V125" s="6" t="s">
        <v>483</v>
      </c>
      <c r="W125" s="6">
        <v>0.16390767365384104</v>
      </c>
      <c r="X125" s="6">
        <v>7.6315005839863906E-2</v>
      </c>
      <c r="Y125" s="6">
        <v>0.22087258579075278</v>
      </c>
      <c r="Z125" s="6">
        <v>2.2385735046360079E-2</v>
      </c>
      <c r="AA125" s="6">
        <v>6.2646140349434942E-2</v>
      </c>
      <c r="AB125" s="6">
        <v>4.0497829765687783E-2</v>
      </c>
      <c r="AC125" s="6" t="s">
        <v>158</v>
      </c>
      <c r="AD125" s="6" t="s">
        <v>158</v>
      </c>
      <c r="AE125" s="17">
        <f t="shared" si="13"/>
        <v>0.56423923539958043</v>
      </c>
      <c r="AF125" s="6">
        <v>0.03</v>
      </c>
      <c r="AG125" s="18">
        <f>(AF125/K125)*5</f>
        <v>0.18076315789474498</v>
      </c>
      <c r="AH125" s="281">
        <v>9.7039999999999988</v>
      </c>
      <c r="AI125" s="282">
        <v>-0.2</v>
      </c>
      <c r="AJ125" s="282">
        <v>-0.2</v>
      </c>
      <c r="AK125" s="282">
        <v>-0.02</v>
      </c>
      <c r="AL125" s="282">
        <v>-0.1</v>
      </c>
      <c r="AM125" s="282">
        <v>-0.1</v>
      </c>
      <c r="AN125" s="282">
        <v>1.96469</v>
      </c>
      <c r="AO125" s="282">
        <v>1.6240000000000001</v>
      </c>
      <c r="AP125" s="282">
        <v>-0.05</v>
      </c>
      <c r="AQ125" s="282">
        <v>1.7265599999999999</v>
      </c>
      <c r="AR125" s="282">
        <v>0.55840000000000001</v>
      </c>
      <c r="AS125" s="5" t="s">
        <v>158</v>
      </c>
      <c r="AT125" s="5" t="s">
        <v>158</v>
      </c>
      <c r="AU125" s="5" t="s">
        <v>158</v>
      </c>
      <c r="AV125" s="5" t="s">
        <v>158</v>
      </c>
      <c r="AW125" s="5" t="s">
        <v>158</v>
      </c>
      <c r="BC125" s="6">
        <v>132</v>
      </c>
      <c r="BD125" s="6" t="s">
        <v>437</v>
      </c>
      <c r="BE125" s="6" t="s">
        <v>438</v>
      </c>
      <c r="BF125" s="6">
        <v>0.26100000000000001</v>
      </c>
      <c r="BG125" s="6" t="s">
        <v>437</v>
      </c>
      <c r="BH125" s="6">
        <v>0.44500000000000001</v>
      </c>
      <c r="BI125" s="6">
        <v>20.437106374807989</v>
      </c>
      <c r="BJ125" s="6">
        <v>18.399999999999999</v>
      </c>
      <c r="BK125" s="6" t="s">
        <v>488</v>
      </c>
      <c r="BL125" s="6">
        <v>16.407699692780337</v>
      </c>
      <c r="BM125" s="6">
        <v>4.5115994623655915</v>
      </c>
      <c r="BN125" s="24">
        <v>27</v>
      </c>
      <c r="BO125" s="6">
        <v>1.3611720482917833</v>
      </c>
      <c r="BP125" s="6">
        <v>1.6444438182484455</v>
      </c>
      <c r="BQ125" s="6">
        <v>9.7071580569010898</v>
      </c>
      <c r="BR125" s="6">
        <v>15.005279966887915</v>
      </c>
      <c r="BS125" s="6" t="s">
        <v>437</v>
      </c>
      <c r="BT125" s="6">
        <v>2.0702666919764683</v>
      </c>
      <c r="BU125" s="6">
        <v>2.9984145867685736</v>
      </c>
      <c r="BV125" s="6">
        <v>0.29066590515646618</v>
      </c>
      <c r="BW125" s="6" t="s">
        <v>437</v>
      </c>
      <c r="BX125" s="6">
        <v>2.4973528841141155</v>
      </c>
      <c r="BY125" s="6">
        <v>8.3150129123901717</v>
      </c>
      <c r="BZ125" s="6">
        <v>3.2680258926121724</v>
      </c>
      <c r="CA125" s="6" t="s">
        <v>437</v>
      </c>
      <c r="CB125" s="6">
        <v>0.41465581003103635</v>
      </c>
      <c r="CC125" s="6">
        <v>40.090261065902574</v>
      </c>
      <c r="CD125" s="6">
        <v>0.30592828108136355</v>
      </c>
      <c r="CE125" s="6">
        <v>1.3980677827969616</v>
      </c>
      <c r="CF125" s="6" t="s">
        <v>437</v>
      </c>
      <c r="CG125" s="6" t="s">
        <v>437</v>
      </c>
      <c r="CH125" s="6" t="s">
        <v>437</v>
      </c>
      <c r="CI125" s="17" t="s">
        <v>158</v>
      </c>
      <c r="CJ125" s="17" t="s">
        <v>158</v>
      </c>
      <c r="CK125" s="17" t="s">
        <v>158</v>
      </c>
      <c r="CL125" s="17" t="s">
        <v>158</v>
      </c>
      <c r="CM125" s="17" t="s">
        <v>158</v>
      </c>
      <c r="CN125" s="17" t="s">
        <v>158</v>
      </c>
      <c r="CO125" s="17" t="s">
        <v>158</v>
      </c>
      <c r="CP125" s="17" t="s">
        <v>158</v>
      </c>
      <c r="CQ125" s="17" t="s">
        <v>158</v>
      </c>
      <c r="CR125" s="17" t="s">
        <v>158</v>
      </c>
      <c r="CS125" s="17" t="s">
        <v>158</v>
      </c>
      <c r="CT125" s="17" t="s">
        <v>158</v>
      </c>
      <c r="CU125" s="17" t="s">
        <v>158</v>
      </c>
      <c r="CV125" s="17" t="s">
        <v>158</v>
      </c>
      <c r="CW125" s="17" t="s">
        <v>158</v>
      </c>
      <c r="CX125" s="17" t="s">
        <v>158</v>
      </c>
      <c r="CY125" s="67" t="s">
        <v>158</v>
      </c>
    </row>
    <row r="126" spans="1:103" x14ac:dyDescent="0.2">
      <c r="A126" s="35" t="s">
        <v>26</v>
      </c>
      <c r="B126" s="57" t="s">
        <v>26</v>
      </c>
      <c r="C126" s="14" t="s">
        <v>20</v>
      </c>
      <c r="E126" s="12"/>
      <c r="F126" s="13"/>
      <c r="G126" s="4">
        <v>42954</v>
      </c>
      <c r="H126" s="16">
        <v>2017</v>
      </c>
      <c r="I126" s="135" t="s">
        <v>33</v>
      </c>
      <c r="J126" s="135">
        <v>10</v>
      </c>
      <c r="K126" s="136">
        <v>0.43270805070873586</v>
      </c>
      <c r="L126" s="5">
        <v>8.1821929101401167</v>
      </c>
      <c r="M126" s="6">
        <v>5.03813286777543E-2</v>
      </c>
      <c r="N126" s="6">
        <v>8.2500229716070947E-2</v>
      </c>
      <c r="O126" s="6">
        <v>0.41545529725259583</v>
      </c>
      <c r="P126" s="6">
        <v>0.4735826518423229</v>
      </c>
      <c r="Q126" s="6">
        <v>1.0826380593586327</v>
      </c>
      <c r="R126" s="6">
        <v>1.0548470090967565</v>
      </c>
      <c r="S126" s="6">
        <v>0.47786455940457595</v>
      </c>
      <c r="T126" s="6">
        <v>3.6372691353487094</v>
      </c>
      <c r="U126" s="17">
        <f t="shared" si="15"/>
        <v>36.556824842114203</v>
      </c>
      <c r="V126" s="6" t="s">
        <v>483</v>
      </c>
      <c r="W126" s="6">
        <v>2.2025394862093706E-2</v>
      </c>
      <c r="X126" s="6" t="s">
        <v>484</v>
      </c>
      <c r="Y126" s="6">
        <v>2.2455996196163387E-2</v>
      </c>
      <c r="Z126" s="6" t="s">
        <v>483</v>
      </c>
      <c r="AA126" s="6" t="s">
        <v>482</v>
      </c>
      <c r="AB126" s="6" t="s">
        <v>483</v>
      </c>
      <c r="AC126" s="6" t="s">
        <v>158</v>
      </c>
      <c r="AD126" s="6" t="s">
        <v>158</v>
      </c>
      <c r="AE126" s="17">
        <f t="shared" si="13"/>
        <v>4.4481391058257089E-2</v>
      </c>
      <c r="AF126" s="6">
        <v>-0.03</v>
      </c>
      <c r="AG126" s="18" t="s">
        <v>158</v>
      </c>
      <c r="AH126" s="281">
        <v>4.3474827245804546</v>
      </c>
      <c r="AI126" s="282">
        <v>-0.2</v>
      </c>
      <c r="AJ126" s="282">
        <v>-0.2</v>
      </c>
      <c r="AK126" s="282">
        <v>-0.02</v>
      </c>
      <c r="AL126" s="282">
        <v>-0.1</v>
      </c>
      <c r="AM126" s="282">
        <v>-0.1</v>
      </c>
      <c r="AN126" s="282">
        <v>0.14974333662388944</v>
      </c>
      <c r="AO126" s="282">
        <v>-0.02</v>
      </c>
      <c r="AP126" s="282">
        <v>-0.05</v>
      </c>
      <c r="AQ126" s="282">
        <v>9.1470878578479783E-2</v>
      </c>
      <c r="AR126" s="282">
        <v>-0.05</v>
      </c>
      <c r="AS126" s="5" t="s">
        <v>158</v>
      </c>
      <c r="AT126" s="5" t="s">
        <v>158</v>
      </c>
      <c r="AU126" s="5" t="s">
        <v>158</v>
      </c>
      <c r="AV126" s="5" t="s">
        <v>158</v>
      </c>
      <c r="AW126" s="5" t="s">
        <v>158</v>
      </c>
      <c r="BC126" s="6">
        <v>91.4</v>
      </c>
      <c r="BD126" s="6" t="s">
        <v>437</v>
      </c>
      <c r="BE126" s="6" t="s">
        <v>438</v>
      </c>
      <c r="BF126" s="6">
        <v>0.40799999999999997</v>
      </c>
      <c r="BG126" s="6" t="s">
        <v>437</v>
      </c>
      <c r="BH126" s="6">
        <v>0.53300000000000003</v>
      </c>
      <c r="BI126" s="6">
        <v>4.3335108868330066</v>
      </c>
      <c r="BJ126" s="6">
        <v>0.504</v>
      </c>
      <c r="BK126" s="6" t="s">
        <v>488</v>
      </c>
      <c r="BL126" s="6">
        <v>2.8130641996075134</v>
      </c>
      <c r="BM126" s="6" t="s">
        <v>488</v>
      </c>
      <c r="BN126" s="24">
        <v>40</v>
      </c>
      <c r="BO126" s="6">
        <v>0.76673258977894021</v>
      </c>
      <c r="BP126" s="6">
        <v>4.672681813702078E-2</v>
      </c>
      <c r="BQ126" s="6">
        <v>0.29004837542681988</v>
      </c>
      <c r="BR126" s="6">
        <v>2.948287810410855</v>
      </c>
      <c r="BS126" s="6" t="s">
        <v>437</v>
      </c>
      <c r="BT126" s="6" t="s">
        <v>165</v>
      </c>
      <c r="BU126" s="6" t="s">
        <v>494</v>
      </c>
      <c r="BV126" s="6" t="s">
        <v>437</v>
      </c>
      <c r="BW126" s="6" t="s">
        <v>437</v>
      </c>
      <c r="BX126" s="6">
        <v>0.85883562054246732</v>
      </c>
      <c r="BY126" s="6">
        <v>0.77377127161330528</v>
      </c>
      <c r="BZ126" s="6">
        <v>2.9813387349800138</v>
      </c>
      <c r="CA126" s="6" t="s">
        <v>437</v>
      </c>
      <c r="CB126" s="6" t="s">
        <v>437</v>
      </c>
      <c r="CC126" s="6" t="s">
        <v>437</v>
      </c>
      <c r="CD126" s="6">
        <v>0.16991732975048457</v>
      </c>
      <c r="CE126" s="6">
        <v>0.54</v>
      </c>
      <c r="CF126" s="6" t="s">
        <v>437</v>
      </c>
      <c r="CG126" s="6" t="s">
        <v>437</v>
      </c>
      <c r="CH126" s="6" t="s">
        <v>437</v>
      </c>
      <c r="CI126" s="17" t="s">
        <v>158</v>
      </c>
      <c r="CJ126" s="17" t="s">
        <v>158</v>
      </c>
      <c r="CK126" s="17" t="s">
        <v>158</v>
      </c>
      <c r="CL126" s="17" t="s">
        <v>158</v>
      </c>
      <c r="CM126" s="17" t="s">
        <v>158</v>
      </c>
      <c r="CN126" s="17" t="s">
        <v>158</v>
      </c>
      <c r="CO126" s="17" t="s">
        <v>158</v>
      </c>
      <c r="CP126" s="17" t="s">
        <v>158</v>
      </c>
      <c r="CQ126" s="17" t="s">
        <v>158</v>
      </c>
      <c r="CR126" s="17" t="s">
        <v>158</v>
      </c>
      <c r="CS126" s="17" t="s">
        <v>158</v>
      </c>
      <c r="CT126" s="17" t="s">
        <v>158</v>
      </c>
      <c r="CU126" s="17" t="s">
        <v>158</v>
      </c>
      <c r="CV126" s="17" t="s">
        <v>158</v>
      </c>
      <c r="CW126" s="17" t="s">
        <v>158</v>
      </c>
      <c r="CX126" s="17" t="s">
        <v>158</v>
      </c>
      <c r="CY126" s="67" t="s">
        <v>158</v>
      </c>
    </row>
    <row r="127" spans="1:103" x14ac:dyDescent="0.2">
      <c r="A127" s="35" t="s">
        <v>7</v>
      </c>
      <c r="B127" s="57" t="s">
        <v>7</v>
      </c>
      <c r="C127" s="14" t="s">
        <v>20</v>
      </c>
      <c r="E127" s="12"/>
      <c r="F127" s="13"/>
      <c r="G127" s="4">
        <v>42956</v>
      </c>
      <c r="H127" s="1">
        <v>2017</v>
      </c>
      <c r="I127" s="142" t="s">
        <v>33</v>
      </c>
      <c r="J127" s="142">
        <v>10</v>
      </c>
      <c r="K127" s="136">
        <v>0.46805819101833057</v>
      </c>
      <c r="L127" s="5">
        <v>3.1455884252680653</v>
      </c>
      <c r="M127" s="6">
        <v>7.6562804284323271E-2</v>
      </c>
      <c r="N127" s="6">
        <v>0.40957643622200585</v>
      </c>
      <c r="O127" s="6">
        <v>1.5403992210321324</v>
      </c>
      <c r="P127" s="6">
        <v>1.3516553067185979</v>
      </c>
      <c r="Q127" s="6">
        <v>3.1436757546251219</v>
      </c>
      <c r="R127" s="6">
        <v>2.7204284323271666</v>
      </c>
      <c r="S127" s="6">
        <v>1.2466309639727362</v>
      </c>
      <c r="T127" s="6">
        <v>10.488928919182083</v>
      </c>
      <c r="U127" s="17">
        <f t="shared" si="15"/>
        <v>97.608307981791555</v>
      </c>
      <c r="V127" s="6" t="s">
        <v>483</v>
      </c>
      <c r="W127" s="6">
        <v>0.12084940924830651</v>
      </c>
      <c r="X127" s="6">
        <v>4.4641664891511834E-2</v>
      </c>
      <c r="Y127" s="6">
        <v>0.12377145078534192</v>
      </c>
      <c r="Z127" s="6" t="s">
        <v>483</v>
      </c>
      <c r="AA127" s="6">
        <v>2.6555868919140128E-2</v>
      </c>
      <c r="AB127" s="6">
        <v>2.2398682882786458E-2</v>
      </c>
      <c r="AC127" s="6" t="s">
        <v>158</v>
      </c>
      <c r="AD127" s="6" t="s">
        <v>158</v>
      </c>
      <c r="AE127" s="17">
        <f t="shared" si="13"/>
        <v>0.33821707672708684</v>
      </c>
      <c r="AF127" s="6">
        <v>0.12</v>
      </c>
      <c r="AG127" s="18">
        <f>(AF127/K127)*5</f>
        <v>1.2818918918919253</v>
      </c>
      <c r="AH127" s="281">
        <v>11.090217203388498</v>
      </c>
      <c r="AI127" s="282">
        <v>-0.2</v>
      </c>
      <c r="AJ127" s="282">
        <v>-0.2</v>
      </c>
      <c r="AK127" s="282">
        <v>-0.02</v>
      </c>
      <c r="AL127" s="282">
        <v>-0.1</v>
      </c>
      <c r="AM127" s="282">
        <v>-0.1</v>
      </c>
      <c r="AN127" s="282">
        <v>1.6104819986012227</v>
      </c>
      <c r="AO127" s="282">
        <v>1.1080751882062645</v>
      </c>
      <c r="AP127" s="282">
        <v>-0.05</v>
      </c>
      <c r="AQ127" s="282">
        <v>0.90754027378314239</v>
      </c>
      <c r="AR127" s="282">
        <v>-0.05</v>
      </c>
      <c r="AS127" s="5" t="s">
        <v>158</v>
      </c>
      <c r="AT127" s="5" t="s">
        <v>158</v>
      </c>
      <c r="AU127" s="5" t="s">
        <v>158</v>
      </c>
      <c r="AV127" s="5" t="s">
        <v>158</v>
      </c>
      <c r="AW127" s="5" t="s">
        <v>158</v>
      </c>
      <c r="BC127" s="6">
        <v>235</v>
      </c>
      <c r="BD127" s="6" t="s">
        <v>437</v>
      </c>
      <c r="BE127" s="6" t="s">
        <v>438</v>
      </c>
      <c r="BF127" s="6">
        <v>0.40799999999999997</v>
      </c>
      <c r="BG127" s="6" t="s">
        <v>437</v>
      </c>
      <c r="BH127" s="6">
        <v>0.58099999999999996</v>
      </c>
      <c r="BI127" s="6">
        <v>26.279533630620588</v>
      </c>
      <c r="BJ127" s="6">
        <v>18.899999999999999</v>
      </c>
      <c r="BK127" s="6" t="s">
        <v>488</v>
      </c>
      <c r="BL127" s="6">
        <v>14.762411742846524</v>
      </c>
      <c r="BM127" s="6">
        <v>0.42110925306577479</v>
      </c>
      <c r="BN127" s="24">
        <v>160</v>
      </c>
      <c r="BO127" s="6">
        <v>1.02959689227896</v>
      </c>
      <c r="BP127" s="6">
        <v>0.43569599142915366</v>
      </c>
      <c r="BQ127" s="6">
        <v>0.14792084186189128</v>
      </c>
      <c r="BR127" s="6">
        <v>2.4661024357520311</v>
      </c>
      <c r="BS127" s="6">
        <v>0.2216714311777937</v>
      </c>
      <c r="BT127" s="6">
        <v>1.9359517680412279</v>
      </c>
      <c r="BU127" s="6" t="s">
        <v>494</v>
      </c>
      <c r="BV127" s="6" t="s">
        <v>437</v>
      </c>
      <c r="BW127" s="6" t="s">
        <v>437</v>
      </c>
      <c r="BX127" s="6">
        <v>1.6030273911431345</v>
      </c>
      <c r="BY127" s="6">
        <v>2.0619313969650945</v>
      </c>
      <c r="BZ127" s="6">
        <v>2.1148820418676868</v>
      </c>
      <c r="CA127" s="6" t="s">
        <v>437</v>
      </c>
      <c r="CB127" s="6">
        <v>0.22514680442846036</v>
      </c>
      <c r="CC127" s="6">
        <v>10.00967189666185</v>
      </c>
      <c r="CD127" s="6">
        <v>0.22868096315545913</v>
      </c>
      <c r="CE127" s="6" t="s">
        <v>479</v>
      </c>
      <c r="CF127" s="6" t="s">
        <v>437</v>
      </c>
      <c r="CG127" s="6" t="s">
        <v>437</v>
      </c>
      <c r="CH127" s="6" t="s">
        <v>437</v>
      </c>
      <c r="CI127" s="17" t="s">
        <v>158</v>
      </c>
      <c r="CJ127" s="17" t="s">
        <v>158</v>
      </c>
      <c r="CK127" s="17" t="s">
        <v>158</v>
      </c>
      <c r="CL127" s="17" t="s">
        <v>158</v>
      </c>
      <c r="CM127" s="17" t="s">
        <v>158</v>
      </c>
      <c r="CN127" s="17" t="s">
        <v>158</v>
      </c>
      <c r="CO127" s="17" t="s">
        <v>158</v>
      </c>
      <c r="CP127" s="17" t="s">
        <v>158</v>
      </c>
      <c r="CQ127" s="17" t="s">
        <v>158</v>
      </c>
      <c r="CR127" s="17" t="s">
        <v>158</v>
      </c>
      <c r="CS127" s="17" t="s">
        <v>158</v>
      </c>
      <c r="CT127" s="17" t="s">
        <v>158</v>
      </c>
      <c r="CU127" s="17" t="s">
        <v>158</v>
      </c>
      <c r="CV127" s="17" t="s">
        <v>158</v>
      </c>
      <c r="CW127" s="17" t="s">
        <v>158</v>
      </c>
      <c r="CX127" s="17" t="s">
        <v>158</v>
      </c>
      <c r="CY127" s="67" t="s">
        <v>158</v>
      </c>
    </row>
    <row r="128" spans="1:103" s="294" customFormat="1" x14ac:dyDescent="0.2">
      <c r="A128" s="293" t="s">
        <v>32</v>
      </c>
      <c r="B128" s="294" t="s">
        <v>32</v>
      </c>
      <c r="C128" s="294" t="s">
        <v>31</v>
      </c>
      <c r="E128" s="295"/>
      <c r="F128" s="295"/>
      <c r="G128" s="296" t="s">
        <v>31</v>
      </c>
      <c r="H128" s="296">
        <v>2016</v>
      </c>
      <c r="I128" s="305" t="s">
        <v>3</v>
      </c>
      <c r="J128" s="305" t="s">
        <v>158</v>
      </c>
      <c r="K128" s="298" t="s">
        <v>158</v>
      </c>
      <c r="L128" s="299" t="s">
        <v>158</v>
      </c>
      <c r="M128" s="299">
        <v>1.4999999999999999E-2</v>
      </c>
      <c r="N128" s="299">
        <v>2.3E-2</v>
      </c>
      <c r="O128" s="299">
        <v>0.01</v>
      </c>
      <c r="P128" s="299">
        <v>0.01</v>
      </c>
      <c r="Q128" s="299">
        <v>5.0000000000000001E-3</v>
      </c>
      <c r="R128" s="299">
        <v>0.01</v>
      </c>
      <c r="S128" s="299">
        <v>5.0000000000000001E-3</v>
      </c>
      <c r="T128" s="299" t="s">
        <v>158</v>
      </c>
      <c r="U128" s="301" t="s">
        <v>158</v>
      </c>
      <c r="V128" s="299">
        <v>1.2999999999999999E-2</v>
      </c>
      <c r="W128" s="299">
        <v>0.01</v>
      </c>
      <c r="X128" s="299">
        <v>1.2999999999999999E-2</v>
      </c>
      <c r="Y128" s="299">
        <v>1.4999999999999999E-2</v>
      </c>
      <c r="Z128" s="299">
        <v>0.01</v>
      </c>
      <c r="AA128" s="299">
        <v>0.02</v>
      </c>
      <c r="AB128" s="299">
        <v>1.2999999999999999E-2</v>
      </c>
      <c r="AC128" s="299">
        <v>0.1</v>
      </c>
      <c r="AD128" s="299" t="s">
        <v>158</v>
      </c>
      <c r="AE128" s="301">
        <f t="shared" si="13"/>
        <v>8.4000000000000005E-2</v>
      </c>
      <c r="AF128" s="299">
        <v>0.3</v>
      </c>
      <c r="AG128" s="303" t="s">
        <v>158</v>
      </c>
      <c r="AH128" s="303">
        <v>0.2</v>
      </c>
      <c r="AI128" s="299">
        <v>0.2</v>
      </c>
      <c r="AJ128" s="299">
        <v>0.2</v>
      </c>
      <c r="AK128" s="299">
        <v>0.02</v>
      </c>
      <c r="AL128" s="299">
        <v>0.1</v>
      </c>
      <c r="AM128" s="299">
        <v>0.1</v>
      </c>
      <c r="AN128" s="299">
        <v>0.1</v>
      </c>
      <c r="AO128" s="299">
        <v>0.02</v>
      </c>
      <c r="AP128" s="299">
        <v>0.05</v>
      </c>
      <c r="AQ128" s="299">
        <v>0.1</v>
      </c>
      <c r="AR128" s="299">
        <v>0.05</v>
      </c>
      <c r="AS128" s="299" t="s">
        <v>158</v>
      </c>
      <c r="AT128" s="299" t="s">
        <v>158</v>
      </c>
      <c r="AU128" s="299" t="s">
        <v>158</v>
      </c>
      <c r="AV128" s="299" t="s">
        <v>158</v>
      </c>
      <c r="AW128" s="299" t="s">
        <v>158</v>
      </c>
      <c r="AX128" s="299"/>
      <c r="AY128" s="299"/>
      <c r="AZ128" s="299"/>
      <c r="BA128" s="299"/>
      <c r="BB128" s="299"/>
      <c r="BC128" s="299">
        <v>0.2</v>
      </c>
      <c r="BD128" s="299">
        <v>0.2</v>
      </c>
      <c r="BE128" s="299">
        <v>0.21</v>
      </c>
      <c r="BF128" s="299">
        <v>0.02</v>
      </c>
      <c r="BG128" s="299">
        <v>0.2</v>
      </c>
      <c r="BH128" s="299">
        <v>0.05</v>
      </c>
      <c r="BI128" s="299">
        <v>0.1</v>
      </c>
      <c r="BJ128" s="299">
        <v>0.1</v>
      </c>
      <c r="BK128" s="299">
        <v>0.05</v>
      </c>
      <c r="BL128" s="299">
        <v>0.1</v>
      </c>
      <c r="BM128" s="299">
        <v>0.05</v>
      </c>
      <c r="BN128" s="301">
        <v>0.03</v>
      </c>
      <c r="BO128" s="299" t="s">
        <v>158</v>
      </c>
      <c r="BP128" s="299" t="s">
        <v>158</v>
      </c>
      <c r="BQ128" s="299" t="s">
        <v>158</v>
      </c>
      <c r="BR128" s="299" t="s">
        <v>158</v>
      </c>
      <c r="BS128" s="299" t="s">
        <v>158</v>
      </c>
      <c r="BT128" s="299" t="s">
        <v>158</v>
      </c>
      <c r="BU128" s="299" t="s">
        <v>158</v>
      </c>
      <c r="BV128" s="299" t="s">
        <v>158</v>
      </c>
      <c r="BW128" s="299" t="s">
        <v>158</v>
      </c>
      <c r="BX128" s="299" t="s">
        <v>158</v>
      </c>
      <c r="BY128" s="299" t="s">
        <v>158</v>
      </c>
      <c r="BZ128" s="299" t="s">
        <v>158</v>
      </c>
      <c r="CA128" s="299" t="s">
        <v>158</v>
      </c>
      <c r="CB128" s="299" t="s">
        <v>158</v>
      </c>
      <c r="CC128" s="299" t="s">
        <v>158</v>
      </c>
      <c r="CD128" s="299" t="s">
        <v>158</v>
      </c>
      <c r="CE128" s="299" t="s">
        <v>158</v>
      </c>
      <c r="CF128" s="299" t="s">
        <v>158</v>
      </c>
      <c r="CG128" s="299" t="s">
        <v>158</v>
      </c>
      <c r="CH128" s="299" t="s">
        <v>158</v>
      </c>
      <c r="CI128" s="301" t="s">
        <v>158</v>
      </c>
      <c r="CJ128" s="301" t="s">
        <v>158</v>
      </c>
      <c r="CK128" s="301" t="s">
        <v>158</v>
      </c>
      <c r="CL128" s="301" t="s">
        <v>158</v>
      </c>
      <c r="CM128" s="301" t="s">
        <v>158</v>
      </c>
      <c r="CN128" s="301" t="s">
        <v>158</v>
      </c>
      <c r="CO128" s="301" t="s">
        <v>158</v>
      </c>
      <c r="CP128" s="301" t="s">
        <v>158</v>
      </c>
      <c r="CQ128" s="301" t="s">
        <v>158</v>
      </c>
      <c r="CR128" s="301" t="s">
        <v>158</v>
      </c>
      <c r="CS128" s="301" t="s">
        <v>158</v>
      </c>
      <c r="CT128" s="301" t="s">
        <v>158</v>
      </c>
      <c r="CU128" s="301" t="s">
        <v>158</v>
      </c>
      <c r="CV128" s="301" t="s">
        <v>158</v>
      </c>
      <c r="CW128" s="301" t="s">
        <v>158</v>
      </c>
      <c r="CX128" s="301" t="s">
        <v>158</v>
      </c>
      <c r="CY128" s="304" t="s">
        <v>158</v>
      </c>
    </row>
    <row r="129" spans="1:103" x14ac:dyDescent="0.2">
      <c r="A129" s="32" t="s">
        <v>21</v>
      </c>
      <c r="B129" s="14" t="s">
        <v>21</v>
      </c>
      <c r="C129" s="14" t="s">
        <v>20</v>
      </c>
      <c r="G129" s="28">
        <v>42614</v>
      </c>
      <c r="H129" s="16">
        <v>2016</v>
      </c>
      <c r="I129" s="135" t="s">
        <v>33</v>
      </c>
      <c r="J129" s="135">
        <v>10</v>
      </c>
      <c r="K129" s="136">
        <v>0.66067168287758504</v>
      </c>
      <c r="L129" s="5">
        <v>2.8733346589779099</v>
      </c>
      <c r="M129" s="5" t="s">
        <v>485</v>
      </c>
      <c r="N129" s="5">
        <v>0.13023213306525316</v>
      </c>
      <c r="O129" s="5">
        <v>1.297569000182782</v>
      </c>
      <c r="P129" s="5">
        <v>1.0118351306890878</v>
      </c>
      <c r="Q129" s="5">
        <v>5.6161181518598653</v>
      </c>
      <c r="R129" s="5">
        <v>4.4733788756080939</v>
      </c>
      <c r="S129" s="5">
        <v>1.9288064339243283</v>
      </c>
      <c r="T129" s="5">
        <v>14.45793972532941</v>
      </c>
      <c r="U129" s="17">
        <f t="shared" si="15"/>
        <v>101.7608665780499</v>
      </c>
      <c r="V129" s="5" t="s">
        <v>495</v>
      </c>
      <c r="W129" s="5">
        <v>0.2511431386121587</v>
      </c>
      <c r="X129" s="5">
        <v>8.5350901242628369E-2</v>
      </c>
      <c r="Y129" s="5">
        <v>6.2817256224294335E-2</v>
      </c>
      <c r="Z129" s="5">
        <v>2.1274782168147783E-2</v>
      </c>
      <c r="AA129" s="5">
        <v>4.6955584311947463E-2</v>
      </c>
      <c r="AB129" s="5">
        <v>1.2840401071899843E-2</v>
      </c>
      <c r="AC129" s="5" t="s">
        <v>438</v>
      </c>
      <c r="AD129" s="5">
        <v>0.480382063631076</v>
      </c>
      <c r="AE129" s="17">
        <f t="shared" ref="AE129:AE155" si="16">SUM(V129,W129,Y129,X129,AB129,AA129)</f>
        <v>0.45910728146292873</v>
      </c>
      <c r="AF129" s="5">
        <v>-0.1</v>
      </c>
      <c r="AG129" s="18" t="s">
        <v>158</v>
      </c>
      <c r="AH129" s="279">
        <v>19.739661185849528</v>
      </c>
      <c r="AI129" s="280">
        <v>-0.5</v>
      </c>
      <c r="AJ129" s="280">
        <v>-0.2</v>
      </c>
      <c r="AK129" s="280">
        <v>-0.02</v>
      </c>
      <c r="AL129" s="280">
        <v>-0.1</v>
      </c>
      <c r="AM129" s="280">
        <v>-0.1</v>
      </c>
      <c r="AN129" s="280">
        <v>0.70112938050157791</v>
      </c>
      <c r="AO129" s="280">
        <v>0.67796047168244478</v>
      </c>
      <c r="AP129" s="280">
        <v>-0.05</v>
      </c>
      <c r="AQ129" s="280">
        <v>0.39760837070254113</v>
      </c>
      <c r="AR129" s="280">
        <v>-0.05</v>
      </c>
      <c r="AS129" s="5" t="s">
        <v>158</v>
      </c>
      <c r="AT129" s="5" t="s">
        <v>158</v>
      </c>
      <c r="AU129" s="5" t="s">
        <v>158</v>
      </c>
      <c r="AV129" s="5" t="s">
        <v>158</v>
      </c>
      <c r="AW129" s="5" t="s">
        <v>158</v>
      </c>
      <c r="BC129" s="5">
        <v>320</v>
      </c>
      <c r="BD129" s="5" t="s">
        <v>480</v>
      </c>
      <c r="BE129" s="5" t="s">
        <v>438</v>
      </c>
      <c r="BF129" s="5">
        <v>8.8244978597299975E-2</v>
      </c>
      <c r="BG129" s="5" t="s">
        <v>437</v>
      </c>
      <c r="BH129" s="5">
        <v>0.2446493249917682</v>
      </c>
      <c r="BI129" s="5">
        <v>8.4818077049720113</v>
      </c>
      <c r="BJ129" s="5">
        <v>7.0003292723081998</v>
      </c>
      <c r="BK129" s="5" t="s">
        <v>488</v>
      </c>
      <c r="BL129" s="5">
        <v>6.4260783668093504</v>
      </c>
      <c r="BM129" s="5">
        <v>0.25384425419822187</v>
      </c>
      <c r="BN129" s="17">
        <v>100</v>
      </c>
      <c r="BO129" s="5" t="s">
        <v>158</v>
      </c>
      <c r="BP129" s="5" t="s">
        <v>158</v>
      </c>
      <c r="BQ129" s="5" t="s">
        <v>158</v>
      </c>
      <c r="BR129" s="5" t="s">
        <v>158</v>
      </c>
      <c r="BS129" s="5" t="s">
        <v>158</v>
      </c>
      <c r="BT129" s="5" t="s">
        <v>158</v>
      </c>
      <c r="BU129" s="5" t="s">
        <v>158</v>
      </c>
      <c r="BV129" s="5" t="s">
        <v>158</v>
      </c>
      <c r="BW129" s="5" t="s">
        <v>158</v>
      </c>
      <c r="BX129" s="5" t="s">
        <v>158</v>
      </c>
      <c r="BY129" s="5" t="s">
        <v>158</v>
      </c>
      <c r="BZ129" s="5" t="s">
        <v>158</v>
      </c>
      <c r="CA129" s="5" t="s">
        <v>158</v>
      </c>
      <c r="CB129" s="5" t="s">
        <v>158</v>
      </c>
      <c r="CC129" s="5" t="s">
        <v>158</v>
      </c>
      <c r="CD129" s="5" t="s">
        <v>158</v>
      </c>
      <c r="CE129" s="5" t="s">
        <v>158</v>
      </c>
      <c r="CF129" s="5" t="s">
        <v>158</v>
      </c>
      <c r="CG129" s="5" t="s">
        <v>158</v>
      </c>
      <c r="CH129" s="5" t="s">
        <v>158</v>
      </c>
      <c r="CI129" s="17" t="s">
        <v>158</v>
      </c>
      <c r="CJ129" s="17" t="s">
        <v>158</v>
      </c>
      <c r="CK129" s="17" t="s">
        <v>158</v>
      </c>
      <c r="CL129" s="17" t="s">
        <v>158</v>
      </c>
      <c r="CM129" s="17" t="s">
        <v>158</v>
      </c>
      <c r="CN129" s="17" t="s">
        <v>158</v>
      </c>
      <c r="CO129" s="17" t="s">
        <v>158</v>
      </c>
      <c r="CP129" s="17" t="s">
        <v>158</v>
      </c>
      <c r="CQ129" s="17" t="s">
        <v>158</v>
      </c>
      <c r="CR129" s="17" t="s">
        <v>158</v>
      </c>
      <c r="CS129" s="17" t="s">
        <v>158</v>
      </c>
      <c r="CT129" s="17" t="s">
        <v>158</v>
      </c>
      <c r="CU129" s="17" t="s">
        <v>158</v>
      </c>
      <c r="CV129" s="17" t="s">
        <v>158</v>
      </c>
      <c r="CW129" s="17" t="s">
        <v>158</v>
      </c>
      <c r="CX129" s="17" t="s">
        <v>158</v>
      </c>
      <c r="CY129" s="67" t="s">
        <v>158</v>
      </c>
    </row>
    <row r="130" spans="1:103" x14ac:dyDescent="0.2">
      <c r="A130" s="32" t="s">
        <v>22</v>
      </c>
      <c r="B130" s="14" t="s">
        <v>22</v>
      </c>
      <c r="C130" s="14" t="s">
        <v>20</v>
      </c>
      <c r="G130" s="28">
        <v>42622</v>
      </c>
      <c r="H130" s="16">
        <v>2016</v>
      </c>
      <c r="I130" s="135" t="s">
        <v>33</v>
      </c>
      <c r="J130" s="135">
        <v>10</v>
      </c>
      <c r="K130" s="136">
        <v>0.77300741669277995</v>
      </c>
      <c r="L130" s="5">
        <v>3.0766619279000098</v>
      </c>
      <c r="M130" s="5">
        <v>0.12132208709297765</v>
      </c>
      <c r="N130" s="5">
        <v>1.2118477834444881</v>
      </c>
      <c r="O130" s="5">
        <v>4.4219616338628036</v>
      </c>
      <c r="P130" s="5">
        <v>3.2032687649718539</v>
      </c>
      <c r="Q130" s="5">
        <v>9.3394304210469503</v>
      </c>
      <c r="R130" s="5">
        <v>7.8275574323083426</v>
      </c>
      <c r="S130" s="5">
        <v>2.7995292271479011</v>
      </c>
      <c r="T130" s="5">
        <v>28.924917349875319</v>
      </c>
      <c r="U130" s="17">
        <f t="shared" si="15"/>
        <v>166.37387966437936</v>
      </c>
      <c r="V130" s="5" t="s">
        <v>491</v>
      </c>
      <c r="W130" s="5">
        <v>0.19571812144278775</v>
      </c>
      <c r="X130" s="5">
        <v>7.7131717232803432E-2</v>
      </c>
      <c r="Y130" s="5">
        <v>0.15874111842481453</v>
      </c>
      <c r="Z130" s="5">
        <v>2.9321607861908423E-2</v>
      </c>
      <c r="AA130" s="5">
        <v>5.1421144821868957E-2</v>
      </c>
      <c r="AB130" s="5">
        <v>3.2065994804648619E-2</v>
      </c>
      <c r="AC130" s="5" t="s">
        <v>438</v>
      </c>
      <c r="AD130" s="5">
        <v>0.54439970458883169</v>
      </c>
      <c r="AE130" s="17">
        <f t="shared" si="16"/>
        <v>0.51507809672692328</v>
      </c>
      <c r="AF130" s="5">
        <v>-0.1</v>
      </c>
      <c r="AG130" s="18" t="s">
        <v>158</v>
      </c>
      <c r="AH130" s="279">
        <v>5.9728672696162306</v>
      </c>
      <c r="AI130" s="280">
        <v>-0.5</v>
      </c>
      <c r="AJ130" s="280">
        <v>-0.2</v>
      </c>
      <c r="AK130" s="280">
        <v>-0.02</v>
      </c>
      <c r="AL130" s="280">
        <v>-0.1</v>
      </c>
      <c r="AM130" s="280">
        <v>-0.1</v>
      </c>
      <c r="AN130" s="280">
        <v>0.23816507781308563</v>
      </c>
      <c r="AO130" s="280">
        <v>0.12336022162470464</v>
      </c>
      <c r="AP130" s="280">
        <v>-0.05</v>
      </c>
      <c r="AQ130" s="280">
        <v>0.21494337162877858</v>
      </c>
      <c r="AR130" s="280">
        <v>0.122</v>
      </c>
      <c r="AS130" s="5" t="s">
        <v>158</v>
      </c>
      <c r="AT130" s="5" t="s">
        <v>158</v>
      </c>
      <c r="AU130" s="5" t="s">
        <v>158</v>
      </c>
      <c r="AV130" s="5" t="s">
        <v>158</v>
      </c>
      <c r="AW130" s="5" t="s">
        <v>158</v>
      </c>
      <c r="BC130" s="5">
        <v>130</v>
      </c>
      <c r="BD130" s="5" t="s">
        <v>480</v>
      </c>
      <c r="BE130" s="5" t="s">
        <v>438</v>
      </c>
      <c r="BF130" s="5">
        <v>8.4673255642425158E-2</v>
      </c>
      <c r="BG130" s="5" t="s">
        <v>437</v>
      </c>
      <c r="BH130" s="5">
        <v>0.50685941879333241</v>
      </c>
      <c r="BI130" s="5">
        <v>4.4724148104440182</v>
      </c>
      <c r="BJ130" s="5">
        <v>1.8911343856025964</v>
      </c>
      <c r="BK130" s="5" t="s">
        <v>488</v>
      </c>
      <c r="BL130" s="5">
        <v>4.9907065938929049</v>
      </c>
      <c r="BM130" s="5">
        <v>0.99304469685794383</v>
      </c>
      <c r="BN130" s="17">
        <v>120</v>
      </c>
      <c r="BO130" s="5" t="s">
        <v>158</v>
      </c>
      <c r="BP130" s="5" t="s">
        <v>158</v>
      </c>
      <c r="BQ130" s="5" t="s">
        <v>158</v>
      </c>
      <c r="BR130" s="5" t="s">
        <v>158</v>
      </c>
      <c r="BS130" s="5" t="s">
        <v>158</v>
      </c>
      <c r="BT130" s="5" t="s">
        <v>158</v>
      </c>
      <c r="BU130" s="5" t="s">
        <v>158</v>
      </c>
      <c r="BV130" s="5" t="s">
        <v>158</v>
      </c>
      <c r="BW130" s="5" t="s">
        <v>158</v>
      </c>
      <c r="BX130" s="5" t="s">
        <v>158</v>
      </c>
      <c r="BY130" s="5" t="s">
        <v>158</v>
      </c>
      <c r="BZ130" s="5" t="s">
        <v>158</v>
      </c>
      <c r="CA130" s="5" t="s">
        <v>158</v>
      </c>
      <c r="CB130" s="5" t="s">
        <v>158</v>
      </c>
      <c r="CC130" s="5" t="s">
        <v>158</v>
      </c>
      <c r="CD130" s="5" t="s">
        <v>158</v>
      </c>
      <c r="CE130" s="5" t="s">
        <v>158</v>
      </c>
      <c r="CF130" s="5" t="s">
        <v>158</v>
      </c>
      <c r="CG130" s="5" t="s">
        <v>158</v>
      </c>
      <c r="CH130" s="5" t="s">
        <v>158</v>
      </c>
      <c r="CI130" s="17" t="s">
        <v>158</v>
      </c>
      <c r="CJ130" s="17" t="s">
        <v>158</v>
      </c>
      <c r="CK130" s="17" t="s">
        <v>158</v>
      </c>
      <c r="CL130" s="17" t="s">
        <v>158</v>
      </c>
      <c r="CM130" s="17" t="s">
        <v>158</v>
      </c>
      <c r="CN130" s="17" t="s">
        <v>158</v>
      </c>
      <c r="CO130" s="17" t="s">
        <v>158</v>
      </c>
      <c r="CP130" s="17" t="s">
        <v>158</v>
      </c>
      <c r="CQ130" s="17" t="s">
        <v>158</v>
      </c>
      <c r="CR130" s="17" t="s">
        <v>158</v>
      </c>
      <c r="CS130" s="17" t="s">
        <v>158</v>
      </c>
      <c r="CT130" s="17" t="s">
        <v>158</v>
      </c>
      <c r="CU130" s="17" t="s">
        <v>158</v>
      </c>
      <c r="CV130" s="17" t="s">
        <v>158</v>
      </c>
      <c r="CW130" s="17" t="s">
        <v>158</v>
      </c>
      <c r="CX130" s="17" t="s">
        <v>158</v>
      </c>
      <c r="CY130" s="67" t="s">
        <v>158</v>
      </c>
    </row>
    <row r="131" spans="1:103" x14ac:dyDescent="0.2">
      <c r="A131" s="32" t="s">
        <v>23</v>
      </c>
      <c r="B131" s="14" t="s">
        <v>23</v>
      </c>
      <c r="C131" s="14" t="s">
        <v>20</v>
      </c>
      <c r="G131" s="28">
        <v>42627</v>
      </c>
      <c r="H131" s="16">
        <v>2016</v>
      </c>
      <c r="I131" s="135" t="s">
        <v>33</v>
      </c>
      <c r="J131" s="135">
        <v>10</v>
      </c>
      <c r="K131" s="136">
        <v>0.71662571662572006</v>
      </c>
      <c r="L131" s="5">
        <v>3.1573743713192699</v>
      </c>
      <c r="M131" s="5">
        <v>0.3024430523827647</v>
      </c>
      <c r="N131" s="5">
        <v>1.7931659333722441</v>
      </c>
      <c r="O131" s="5">
        <v>6.4924432824580691</v>
      </c>
      <c r="P131" s="5">
        <v>4.7824289781256848</v>
      </c>
      <c r="Q131" s="5">
        <v>9.8990612258406614</v>
      </c>
      <c r="R131" s="5">
        <v>8.6676067013755986</v>
      </c>
      <c r="S131" s="5">
        <v>3.5683876039350384</v>
      </c>
      <c r="T131" s="5">
        <v>35.505536777490057</v>
      </c>
      <c r="U131" s="17">
        <f t="shared" si="15"/>
        <v>214.35951213156412</v>
      </c>
      <c r="V131" s="5" t="s">
        <v>491</v>
      </c>
      <c r="W131" s="5">
        <v>5.8149948861757832E-2</v>
      </c>
      <c r="X131" s="5">
        <v>1.7721482106999017E-2</v>
      </c>
      <c r="Y131" s="5">
        <v>1.8086875371105329E-2</v>
      </c>
      <c r="Z131" s="5" t="s">
        <v>491</v>
      </c>
      <c r="AA131" s="5">
        <v>2.0214889958979045E-2</v>
      </c>
      <c r="AB131" s="5">
        <v>3.3030907942994653E-2</v>
      </c>
      <c r="AC131" s="5" t="s">
        <v>438</v>
      </c>
      <c r="AD131" s="5">
        <v>0.14720410424183586</v>
      </c>
      <c r="AE131" s="17">
        <f t="shared" si="16"/>
        <v>0.14720410424183586</v>
      </c>
      <c r="AF131" s="5">
        <v>-0.1</v>
      </c>
      <c r="AG131" s="18" t="s">
        <v>158</v>
      </c>
      <c r="AH131" s="279">
        <v>7.2426350245499185</v>
      </c>
      <c r="AI131" s="280">
        <v>-0.5</v>
      </c>
      <c r="AJ131" s="280">
        <v>-0.2</v>
      </c>
      <c r="AK131" s="280">
        <v>-0.02</v>
      </c>
      <c r="AL131" s="280">
        <v>-0.1</v>
      </c>
      <c r="AM131" s="280">
        <v>-0.1</v>
      </c>
      <c r="AN131" s="280">
        <v>0.57144026186579377</v>
      </c>
      <c r="AO131" s="280">
        <v>0.25973813420621927</v>
      </c>
      <c r="AP131" s="280">
        <v>-0.05</v>
      </c>
      <c r="AQ131" s="280">
        <v>0.54893617021276597</v>
      </c>
      <c r="AR131" s="280">
        <v>7.6972176759410801E-2</v>
      </c>
      <c r="AS131" s="5" t="s">
        <v>158</v>
      </c>
      <c r="AT131" s="5" t="s">
        <v>158</v>
      </c>
      <c r="AU131" s="5" t="s">
        <v>158</v>
      </c>
      <c r="AV131" s="5" t="s">
        <v>158</v>
      </c>
      <c r="AW131" s="5" t="s">
        <v>158</v>
      </c>
      <c r="BC131" s="5">
        <v>120</v>
      </c>
      <c r="BD131" s="5" t="s">
        <v>480</v>
      </c>
      <c r="BE131" s="5" t="s">
        <v>438</v>
      </c>
      <c r="BF131" s="5">
        <v>0.19066286528866713</v>
      </c>
      <c r="BG131" s="5" t="s">
        <v>437</v>
      </c>
      <c r="BH131" s="5">
        <v>0.5659301496792587</v>
      </c>
      <c r="BI131" s="5">
        <v>9.3226122594440479</v>
      </c>
      <c r="BJ131" s="5">
        <v>2.622950819672131</v>
      </c>
      <c r="BK131" s="5" t="s">
        <v>488</v>
      </c>
      <c r="BL131" s="5">
        <v>10.786172487526729</v>
      </c>
      <c r="BM131" s="5">
        <v>0.37630969351389876</v>
      </c>
      <c r="BN131" s="17">
        <v>550</v>
      </c>
      <c r="BO131" s="5" t="s">
        <v>158</v>
      </c>
      <c r="BP131" s="5" t="s">
        <v>158</v>
      </c>
      <c r="BQ131" s="5" t="s">
        <v>158</v>
      </c>
      <c r="BR131" s="5" t="s">
        <v>158</v>
      </c>
      <c r="BS131" s="5" t="s">
        <v>158</v>
      </c>
      <c r="BT131" s="5" t="s">
        <v>158</v>
      </c>
      <c r="BU131" s="5" t="s">
        <v>158</v>
      </c>
      <c r="BV131" s="5" t="s">
        <v>158</v>
      </c>
      <c r="BW131" s="5" t="s">
        <v>158</v>
      </c>
      <c r="BX131" s="5" t="s">
        <v>158</v>
      </c>
      <c r="BY131" s="5" t="s">
        <v>158</v>
      </c>
      <c r="BZ131" s="5" t="s">
        <v>158</v>
      </c>
      <c r="CA131" s="5" t="s">
        <v>158</v>
      </c>
      <c r="CB131" s="5" t="s">
        <v>158</v>
      </c>
      <c r="CC131" s="5" t="s">
        <v>158</v>
      </c>
      <c r="CD131" s="5" t="s">
        <v>158</v>
      </c>
      <c r="CE131" s="5" t="s">
        <v>158</v>
      </c>
      <c r="CF131" s="5" t="s">
        <v>158</v>
      </c>
      <c r="CG131" s="5" t="s">
        <v>158</v>
      </c>
      <c r="CH131" s="5" t="s">
        <v>158</v>
      </c>
      <c r="CI131" s="17" t="s">
        <v>158</v>
      </c>
      <c r="CJ131" s="17" t="s">
        <v>158</v>
      </c>
      <c r="CK131" s="17" t="s">
        <v>158</v>
      </c>
      <c r="CL131" s="17" t="s">
        <v>158</v>
      </c>
      <c r="CM131" s="17" t="s">
        <v>158</v>
      </c>
      <c r="CN131" s="17" t="s">
        <v>158</v>
      </c>
      <c r="CO131" s="17" t="s">
        <v>158</v>
      </c>
      <c r="CP131" s="17" t="s">
        <v>158</v>
      </c>
      <c r="CQ131" s="17" t="s">
        <v>158</v>
      </c>
      <c r="CR131" s="17" t="s">
        <v>158</v>
      </c>
      <c r="CS131" s="17" t="s">
        <v>158</v>
      </c>
      <c r="CT131" s="17" t="s">
        <v>158</v>
      </c>
      <c r="CU131" s="17" t="s">
        <v>158</v>
      </c>
      <c r="CV131" s="17" t="s">
        <v>158</v>
      </c>
      <c r="CW131" s="17" t="s">
        <v>158</v>
      </c>
      <c r="CX131" s="17" t="s">
        <v>158</v>
      </c>
      <c r="CY131" s="67" t="s">
        <v>158</v>
      </c>
    </row>
    <row r="132" spans="1:103" x14ac:dyDescent="0.2">
      <c r="A132" s="32" t="s">
        <v>112</v>
      </c>
      <c r="B132" s="14" t="s">
        <v>24</v>
      </c>
      <c r="C132" s="14" t="s">
        <v>20</v>
      </c>
      <c r="G132" s="28">
        <v>42628</v>
      </c>
      <c r="H132" s="16">
        <v>2016</v>
      </c>
      <c r="I132" s="135" t="s">
        <v>33</v>
      </c>
      <c r="J132" s="135">
        <v>10</v>
      </c>
      <c r="K132" s="136">
        <v>0.86699695121952303</v>
      </c>
      <c r="L132" s="5">
        <v>2.6028627668316702</v>
      </c>
      <c r="M132" s="5">
        <v>0.6131520940484938</v>
      </c>
      <c r="N132" s="5">
        <v>1.5917523879500368</v>
      </c>
      <c r="O132" s="5">
        <v>5.4773144746509921</v>
      </c>
      <c r="P132" s="5">
        <v>4.5570352681851576</v>
      </c>
      <c r="Q132" s="5">
        <v>9.7462750652746166</v>
      </c>
      <c r="R132" s="5">
        <v>8.2110250757482994</v>
      </c>
      <c r="S132" s="5">
        <v>2.4138501102130787</v>
      </c>
      <c r="T132" s="5">
        <v>32.610404476070677</v>
      </c>
      <c r="U132" s="17">
        <f t="shared" si="15"/>
        <v>161.78470505822128</v>
      </c>
      <c r="V132" s="5" t="s">
        <v>495</v>
      </c>
      <c r="W132" s="5">
        <v>0.13278378205448788</v>
      </c>
      <c r="X132" s="5">
        <v>4.4649858232545088E-2</v>
      </c>
      <c r="Y132" s="5">
        <v>3.7305364580716524E-2</v>
      </c>
      <c r="Z132" s="5" t="s">
        <v>495</v>
      </c>
      <c r="AA132" s="5" t="s">
        <v>496</v>
      </c>
      <c r="AB132" s="5">
        <v>1.6437676268378217E-2</v>
      </c>
      <c r="AC132" s="5" t="s">
        <v>438</v>
      </c>
      <c r="AD132" s="5">
        <v>0.23117668113612772</v>
      </c>
      <c r="AE132" s="17">
        <f t="shared" si="16"/>
        <v>0.23117668113612772</v>
      </c>
      <c r="AF132" s="5">
        <v>-0.1</v>
      </c>
      <c r="AG132" s="18" t="s">
        <v>158</v>
      </c>
      <c r="AH132" s="279">
        <v>3.9796431264136722</v>
      </c>
      <c r="AI132" s="280">
        <v>-0.5</v>
      </c>
      <c r="AJ132" s="280">
        <v>-0.2</v>
      </c>
      <c r="AK132" s="280">
        <v>-0.02</v>
      </c>
      <c r="AL132" s="280">
        <v>-0.1</v>
      </c>
      <c r="AM132" s="280">
        <v>-0.1</v>
      </c>
      <c r="AN132" s="280">
        <v>0.34372120298232389</v>
      </c>
      <c r="AO132" s="280">
        <v>8.49459663231968E-2</v>
      </c>
      <c r="AP132" s="280">
        <v>-0.05</v>
      </c>
      <c r="AQ132" s="280">
        <v>0.26958197201977047</v>
      </c>
      <c r="AR132" s="280">
        <v>5.6597134958532289E-2</v>
      </c>
      <c r="AS132" s="5" t="s">
        <v>158</v>
      </c>
      <c r="AT132" s="5" t="s">
        <v>158</v>
      </c>
      <c r="AU132" s="5" t="s">
        <v>158</v>
      </c>
      <c r="AV132" s="5" t="s">
        <v>158</v>
      </c>
      <c r="AW132" s="5" t="s">
        <v>158</v>
      </c>
      <c r="BC132" s="5">
        <v>58.777171969967824</v>
      </c>
      <c r="BD132" s="5" t="s">
        <v>480</v>
      </c>
      <c r="BE132" s="5" t="s">
        <v>438</v>
      </c>
      <c r="BF132" s="5">
        <v>0.12477654629960672</v>
      </c>
      <c r="BG132" s="5" t="s">
        <v>437</v>
      </c>
      <c r="BH132" s="5">
        <v>0.31212012870933137</v>
      </c>
      <c r="BI132" s="5">
        <v>3.3640507686807295</v>
      </c>
      <c r="BJ132" s="5">
        <v>0.99928494815874136</v>
      </c>
      <c r="BK132" s="5" t="s">
        <v>488</v>
      </c>
      <c r="BL132" s="5">
        <v>3.1519485162674297</v>
      </c>
      <c r="BM132" s="5">
        <v>0.37573292813728992</v>
      </c>
      <c r="BN132" s="17">
        <v>180</v>
      </c>
      <c r="BO132" s="5" t="s">
        <v>158</v>
      </c>
      <c r="BP132" s="5" t="s">
        <v>158</v>
      </c>
      <c r="BQ132" s="5" t="s">
        <v>158</v>
      </c>
      <c r="BR132" s="5" t="s">
        <v>158</v>
      </c>
      <c r="BS132" s="5" t="s">
        <v>158</v>
      </c>
      <c r="BT132" s="5" t="s">
        <v>158</v>
      </c>
      <c r="BU132" s="5" t="s">
        <v>158</v>
      </c>
      <c r="BV132" s="5" t="s">
        <v>158</v>
      </c>
      <c r="BW132" s="5" t="s">
        <v>158</v>
      </c>
      <c r="BX132" s="5" t="s">
        <v>158</v>
      </c>
      <c r="BY132" s="5" t="s">
        <v>158</v>
      </c>
      <c r="BZ132" s="5" t="s">
        <v>158</v>
      </c>
      <c r="CA132" s="5" t="s">
        <v>158</v>
      </c>
      <c r="CB132" s="5" t="s">
        <v>158</v>
      </c>
      <c r="CC132" s="5" t="s">
        <v>158</v>
      </c>
      <c r="CD132" s="5" t="s">
        <v>158</v>
      </c>
      <c r="CE132" s="5" t="s">
        <v>158</v>
      </c>
      <c r="CF132" s="5" t="s">
        <v>158</v>
      </c>
      <c r="CG132" s="5" t="s">
        <v>158</v>
      </c>
      <c r="CH132" s="5" t="s">
        <v>158</v>
      </c>
      <c r="CI132" s="17" t="s">
        <v>158</v>
      </c>
      <c r="CJ132" s="17" t="s">
        <v>158</v>
      </c>
      <c r="CK132" s="17" t="s">
        <v>158</v>
      </c>
      <c r="CL132" s="17" t="s">
        <v>158</v>
      </c>
      <c r="CM132" s="17" t="s">
        <v>158</v>
      </c>
      <c r="CN132" s="17" t="s">
        <v>158</v>
      </c>
      <c r="CO132" s="17" t="s">
        <v>158</v>
      </c>
      <c r="CP132" s="17" t="s">
        <v>158</v>
      </c>
      <c r="CQ132" s="17" t="s">
        <v>158</v>
      </c>
      <c r="CR132" s="17" t="s">
        <v>158</v>
      </c>
      <c r="CS132" s="17" t="s">
        <v>158</v>
      </c>
      <c r="CT132" s="17" t="s">
        <v>158</v>
      </c>
      <c r="CU132" s="17" t="s">
        <v>158</v>
      </c>
      <c r="CV132" s="17" t="s">
        <v>158</v>
      </c>
      <c r="CW132" s="17" t="s">
        <v>158</v>
      </c>
      <c r="CX132" s="17" t="s">
        <v>158</v>
      </c>
      <c r="CY132" s="67" t="s">
        <v>158</v>
      </c>
    </row>
    <row r="133" spans="1:103" x14ac:dyDescent="0.2">
      <c r="A133" s="32" t="s">
        <v>5</v>
      </c>
      <c r="B133" s="14" t="s">
        <v>5</v>
      </c>
      <c r="C133" s="14" t="s">
        <v>20</v>
      </c>
      <c r="G133" s="28">
        <v>42618</v>
      </c>
      <c r="H133" s="16">
        <v>2016</v>
      </c>
      <c r="I133" s="135" t="s">
        <v>33</v>
      </c>
      <c r="J133" s="135">
        <v>10</v>
      </c>
      <c r="K133" s="136">
        <v>0.87816695265973299</v>
      </c>
      <c r="L133" s="5">
        <v>3.8339464762316702</v>
      </c>
      <c r="M133" s="5">
        <v>0.41313978697332454</v>
      </c>
      <c r="N133" s="5">
        <v>1.2746724479215761</v>
      </c>
      <c r="O133" s="5">
        <v>4.0666415307757564</v>
      </c>
      <c r="P133" s="5">
        <v>3.5572516004659125</v>
      </c>
      <c r="Q133" s="5">
        <v>6.2800051138069506</v>
      </c>
      <c r="R133" s="5">
        <v>5.7288372456901753</v>
      </c>
      <c r="S133" s="5">
        <v>1.5359600339334529</v>
      </c>
      <c r="T133" s="5">
        <v>22.856507759567148</v>
      </c>
      <c r="U133" s="17">
        <f t="shared" si="15"/>
        <v>109.88375331506697</v>
      </c>
      <c r="V133" s="5" t="s">
        <v>491</v>
      </c>
      <c r="W133" s="5">
        <v>0.18480389189407989</v>
      </c>
      <c r="X133" s="5">
        <v>6.6627344567112487E-2</v>
      </c>
      <c r="Y133" s="5">
        <v>0.11688781725797104</v>
      </c>
      <c r="Z133" s="5" t="s">
        <v>491</v>
      </c>
      <c r="AA133" s="5">
        <v>3.6213314938798091E-2</v>
      </c>
      <c r="AB133" s="5">
        <v>6.7013963587811406E-2</v>
      </c>
      <c r="AC133" s="5" t="s">
        <v>438</v>
      </c>
      <c r="AD133" s="5">
        <v>0.47154633224577291</v>
      </c>
      <c r="AE133" s="17">
        <f t="shared" si="16"/>
        <v>0.47154633224577291</v>
      </c>
      <c r="AF133" s="5">
        <v>-0.1</v>
      </c>
      <c r="AG133" s="18" t="s">
        <v>158</v>
      </c>
      <c r="AH133" s="279">
        <v>9.6906600844016246</v>
      </c>
      <c r="AI133" s="280">
        <v>-0.5</v>
      </c>
      <c r="AJ133" s="280">
        <v>-0.2</v>
      </c>
      <c r="AK133" s="280">
        <v>-0.02</v>
      </c>
      <c r="AL133" s="280">
        <v>-0.1</v>
      </c>
      <c r="AM133" s="280">
        <v>-0.1</v>
      </c>
      <c r="AN133" s="280">
        <v>0.54168325503622894</v>
      </c>
      <c r="AO133" s="280">
        <v>0.25352336969503936</v>
      </c>
      <c r="AP133" s="280">
        <v>-0.05</v>
      </c>
      <c r="AQ133" s="280">
        <v>0.35177960028664701</v>
      </c>
      <c r="AR133" s="280">
        <v>6.4941476232184089E-2</v>
      </c>
      <c r="AS133" s="5" t="s">
        <v>158</v>
      </c>
      <c r="AT133" s="5" t="s">
        <v>158</v>
      </c>
      <c r="AU133" s="5" t="s">
        <v>158</v>
      </c>
      <c r="AV133" s="5" t="s">
        <v>158</v>
      </c>
      <c r="AW133" s="5" t="s">
        <v>158</v>
      </c>
      <c r="BC133" s="5">
        <v>130</v>
      </c>
      <c r="BD133" s="5" t="s">
        <v>480</v>
      </c>
      <c r="BE133" s="5" t="s">
        <v>438</v>
      </c>
      <c r="BF133" s="5">
        <v>0.51915740587162051</v>
      </c>
      <c r="BG133" s="5" t="s">
        <v>437</v>
      </c>
      <c r="BH133" s="5">
        <v>0.48034499917067514</v>
      </c>
      <c r="BI133" s="5">
        <v>6.106899983413502</v>
      </c>
      <c r="BJ133" s="5">
        <v>3.9011444684027201</v>
      </c>
      <c r="BK133" s="5" t="s">
        <v>488</v>
      </c>
      <c r="BL133" s="5">
        <v>5.5783712058384474</v>
      </c>
      <c r="BM133" s="5">
        <v>0.43819041300381489</v>
      </c>
      <c r="BN133" s="17">
        <v>79</v>
      </c>
      <c r="BO133" s="5" t="s">
        <v>158</v>
      </c>
      <c r="BP133" s="5" t="s">
        <v>158</v>
      </c>
      <c r="BQ133" s="5" t="s">
        <v>158</v>
      </c>
      <c r="BR133" s="5" t="s">
        <v>158</v>
      </c>
      <c r="BS133" s="5" t="s">
        <v>158</v>
      </c>
      <c r="BT133" s="5" t="s">
        <v>158</v>
      </c>
      <c r="BU133" s="5" t="s">
        <v>158</v>
      </c>
      <c r="BV133" s="5" t="s">
        <v>158</v>
      </c>
      <c r="BW133" s="5" t="s">
        <v>158</v>
      </c>
      <c r="BX133" s="5" t="s">
        <v>158</v>
      </c>
      <c r="BY133" s="5" t="s">
        <v>158</v>
      </c>
      <c r="BZ133" s="5" t="s">
        <v>158</v>
      </c>
      <c r="CA133" s="5" t="s">
        <v>158</v>
      </c>
      <c r="CB133" s="5" t="s">
        <v>158</v>
      </c>
      <c r="CC133" s="5" t="s">
        <v>158</v>
      </c>
      <c r="CD133" s="5" t="s">
        <v>158</v>
      </c>
      <c r="CE133" s="5" t="s">
        <v>158</v>
      </c>
      <c r="CF133" s="5" t="s">
        <v>158</v>
      </c>
      <c r="CG133" s="5" t="s">
        <v>158</v>
      </c>
      <c r="CH133" s="5" t="s">
        <v>158</v>
      </c>
      <c r="CI133" s="17" t="s">
        <v>158</v>
      </c>
      <c r="CJ133" s="17" t="s">
        <v>158</v>
      </c>
      <c r="CK133" s="17" t="s">
        <v>158</v>
      </c>
      <c r="CL133" s="17" t="s">
        <v>158</v>
      </c>
      <c r="CM133" s="17" t="s">
        <v>158</v>
      </c>
      <c r="CN133" s="17" t="s">
        <v>158</v>
      </c>
      <c r="CO133" s="17" t="s">
        <v>158</v>
      </c>
      <c r="CP133" s="17" t="s">
        <v>158</v>
      </c>
      <c r="CQ133" s="17" t="s">
        <v>158</v>
      </c>
      <c r="CR133" s="17" t="s">
        <v>158</v>
      </c>
      <c r="CS133" s="17" t="s">
        <v>158</v>
      </c>
      <c r="CT133" s="17" t="s">
        <v>158</v>
      </c>
      <c r="CU133" s="17" t="s">
        <v>158</v>
      </c>
      <c r="CV133" s="17" t="s">
        <v>158</v>
      </c>
      <c r="CW133" s="17" t="s">
        <v>158</v>
      </c>
      <c r="CX133" s="17" t="s">
        <v>158</v>
      </c>
      <c r="CY133" s="67" t="s">
        <v>158</v>
      </c>
    </row>
    <row r="134" spans="1:103" x14ac:dyDescent="0.2">
      <c r="A134" s="32" t="s">
        <v>25</v>
      </c>
      <c r="B134" s="14" t="s">
        <v>25</v>
      </c>
      <c r="C134" s="14" t="s">
        <v>20</v>
      </c>
      <c r="G134" s="28">
        <v>42614</v>
      </c>
      <c r="H134" s="16">
        <v>2016</v>
      </c>
      <c r="I134" s="135" t="s">
        <v>33</v>
      </c>
      <c r="J134" s="135">
        <v>10</v>
      </c>
      <c r="K134" s="136">
        <v>0.78</v>
      </c>
      <c r="L134" s="5">
        <v>3.4751201893744899</v>
      </c>
      <c r="M134" s="5" t="s">
        <v>485</v>
      </c>
      <c r="N134" s="5">
        <v>9.2588990468780386E-2</v>
      </c>
      <c r="O134" s="5">
        <v>0.60153666601828437</v>
      </c>
      <c r="P134" s="5">
        <v>0.48599494261816767</v>
      </c>
      <c r="Q134" s="5">
        <v>2.1393697724178176</v>
      </c>
      <c r="R134" s="5">
        <v>1.6382999416455941</v>
      </c>
      <c r="S134" s="5">
        <v>1.0202295273293134</v>
      </c>
      <c r="T134" s="5">
        <v>5.9780198404979572</v>
      </c>
      <c r="U134" s="17">
        <f t="shared" si="15"/>
        <v>35.205287806921724</v>
      </c>
      <c r="V134" s="5" t="s">
        <v>491</v>
      </c>
      <c r="W134" s="5">
        <v>0.10290584877190584</v>
      </c>
      <c r="X134" s="5">
        <v>3.6896214685725341E-2</v>
      </c>
      <c r="Y134" s="5" t="s">
        <v>485</v>
      </c>
      <c r="Z134" s="5" t="s">
        <v>491</v>
      </c>
      <c r="AA134" s="5">
        <v>3.2284187850009673E-2</v>
      </c>
      <c r="AB134" s="5">
        <v>3.0842929463848527E-2</v>
      </c>
      <c r="AC134" s="5" t="s">
        <v>438</v>
      </c>
      <c r="AD134" s="5">
        <v>0.20292918077148939</v>
      </c>
      <c r="AE134" s="17">
        <f t="shared" si="16"/>
        <v>0.20292918077148939</v>
      </c>
      <c r="AF134" s="5">
        <v>-0.1</v>
      </c>
      <c r="AG134" s="18" t="s">
        <v>158</v>
      </c>
      <c r="AH134" s="279">
        <v>25.741143317230275</v>
      </c>
      <c r="AI134" s="280">
        <v>-0.5</v>
      </c>
      <c r="AJ134" s="280">
        <v>-0.2</v>
      </c>
      <c r="AK134" s="280">
        <v>-0.02</v>
      </c>
      <c r="AL134" s="280">
        <v>-0.1</v>
      </c>
      <c r="AM134" s="280">
        <v>-0.1</v>
      </c>
      <c r="AN134" s="280">
        <v>1.0735104669887281</v>
      </c>
      <c r="AO134" s="280">
        <v>0.62431561996779394</v>
      </c>
      <c r="AP134" s="280">
        <v>-0.05</v>
      </c>
      <c r="AQ134" s="280">
        <v>0.65442834138486305</v>
      </c>
      <c r="AR134" s="280">
        <v>-0.05</v>
      </c>
      <c r="AS134" s="5" t="s">
        <v>158</v>
      </c>
      <c r="AT134" s="5" t="s">
        <v>158</v>
      </c>
      <c r="AU134" s="5" t="s">
        <v>158</v>
      </c>
      <c r="AV134" s="5" t="s">
        <v>158</v>
      </c>
      <c r="AW134" s="5" t="s">
        <v>158</v>
      </c>
      <c r="BC134" s="5">
        <v>400.44162249705528</v>
      </c>
      <c r="BD134" s="5" t="s">
        <v>480</v>
      </c>
      <c r="BE134" s="5" t="s">
        <v>438</v>
      </c>
      <c r="BF134" s="5">
        <v>0.31654888103651352</v>
      </c>
      <c r="BG134" s="5" t="s">
        <v>437</v>
      </c>
      <c r="BH134" s="5">
        <v>0.49705535924617195</v>
      </c>
      <c r="BI134" s="5">
        <v>11.383760306242637</v>
      </c>
      <c r="BJ134" s="5">
        <v>6.4958775029446416</v>
      </c>
      <c r="BK134" s="5" t="s">
        <v>488</v>
      </c>
      <c r="BL134" s="5">
        <v>6.159010600706714</v>
      </c>
      <c r="BM134" s="5">
        <v>0.17400618374558302</v>
      </c>
      <c r="BN134" s="17">
        <v>140</v>
      </c>
      <c r="BO134" s="5" t="s">
        <v>158</v>
      </c>
      <c r="BP134" s="5" t="s">
        <v>158</v>
      </c>
      <c r="BQ134" s="5" t="s">
        <v>158</v>
      </c>
      <c r="BR134" s="5" t="s">
        <v>158</v>
      </c>
      <c r="BS134" s="5" t="s">
        <v>158</v>
      </c>
      <c r="BT134" s="5" t="s">
        <v>158</v>
      </c>
      <c r="BU134" s="5" t="s">
        <v>158</v>
      </c>
      <c r="BV134" s="5" t="s">
        <v>158</v>
      </c>
      <c r="BW134" s="5" t="s">
        <v>158</v>
      </c>
      <c r="BX134" s="5" t="s">
        <v>158</v>
      </c>
      <c r="BY134" s="5" t="s">
        <v>158</v>
      </c>
      <c r="BZ134" s="5" t="s">
        <v>158</v>
      </c>
      <c r="CA134" s="5" t="s">
        <v>158</v>
      </c>
      <c r="CB134" s="5" t="s">
        <v>158</v>
      </c>
      <c r="CC134" s="5" t="s">
        <v>158</v>
      </c>
      <c r="CD134" s="5" t="s">
        <v>158</v>
      </c>
      <c r="CE134" s="5" t="s">
        <v>158</v>
      </c>
      <c r="CF134" s="5" t="s">
        <v>158</v>
      </c>
      <c r="CG134" s="5" t="s">
        <v>158</v>
      </c>
      <c r="CH134" s="5" t="s">
        <v>158</v>
      </c>
      <c r="CI134" s="17" t="s">
        <v>158</v>
      </c>
      <c r="CJ134" s="17" t="s">
        <v>158</v>
      </c>
      <c r="CK134" s="17" t="s">
        <v>158</v>
      </c>
      <c r="CL134" s="17" t="s">
        <v>158</v>
      </c>
      <c r="CM134" s="17" t="s">
        <v>158</v>
      </c>
      <c r="CN134" s="17" t="s">
        <v>158</v>
      </c>
      <c r="CO134" s="17" t="s">
        <v>158</v>
      </c>
      <c r="CP134" s="17" t="s">
        <v>158</v>
      </c>
      <c r="CQ134" s="17" t="s">
        <v>158</v>
      </c>
      <c r="CR134" s="17" t="s">
        <v>158</v>
      </c>
      <c r="CS134" s="17" t="s">
        <v>158</v>
      </c>
      <c r="CT134" s="17" t="s">
        <v>158</v>
      </c>
      <c r="CU134" s="17" t="s">
        <v>158</v>
      </c>
      <c r="CV134" s="17" t="s">
        <v>158</v>
      </c>
      <c r="CW134" s="17" t="s">
        <v>158</v>
      </c>
      <c r="CX134" s="17" t="s">
        <v>158</v>
      </c>
      <c r="CY134" s="67" t="s">
        <v>158</v>
      </c>
    </row>
    <row r="135" spans="1:103" x14ac:dyDescent="0.2">
      <c r="A135" s="32" t="s">
        <v>26</v>
      </c>
      <c r="B135" s="14" t="s">
        <v>26</v>
      </c>
      <c r="C135" s="14" t="s">
        <v>20</v>
      </c>
      <c r="G135" s="28">
        <v>42578</v>
      </c>
      <c r="H135" s="16">
        <v>2016</v>
      </c>
      <c r="I135" s="135" t="s">
        <v>33</v>
      </c>
      <c r="J135" s="135">
        <v>10</v>
      </c>
      <c r="K135" s="136">
        <v>0.72761784245490901</v>
      </c>
      <c r="L135" s="5">
        <v>4.60380932337159</v>
      </c>
      <c r="M135" s="5" t="s">
        <v>485</v>
      </c>
      <c r="N135" s="5">
        <v>6.9868073878627979E-2</v>
      </c>
      <c r="O135" s="5">
        <v>0.17878627968337732</v>
      </c>
      <c r="P135" s="5">
        <v>0.13646437994722954</v>
      </c>
      <c r="Q135" s="5">
        <v>0.36928759894459107</v>
      </c>
      <c r="R135" s="5">
        <v>0.32147757255936676</v>
      </c>
      <c r="S135" s="5">
        <v>0.27313984168865435</v>
      </c>
      <c r="T135" s="5">
        <v>1.3490237467018471</v>
      </c>
      <c r="U135" s="17">
        <f t="shared" si="15"/>
        <v>8.3323916485030427</v>
      </c>
      <c r="V135" s="5" t="s">
        <v>491</v>
      </c>
      <c r="W135" s="5" t="s">
        <v>484</v>
      </c>
      <c r="X135" s="5" t="s">
        <v>484</v>
      </c>
      <c r="Y135" s="5" t="s">
        <v>485</v>
      </c>
      <c r="Z135" s="5">
        <v>1.6173615936354916E-2</v>
      </c>
      <c r="AA135" s="5" t="s">
        <v>482</v>
      </c>
      <c r="AB135" s="5">
        <v>5.5213378541349549E-2</v>
      </c>
      <c r="AC135" s="5" t="s">
        <v>438</v>
      </c>
      <c r="AD135" s="5">
        <v>7.1386994477704468E-2</v>
      </c>
      <c r="AE135" s="17">
        <f t="shared" si="16"/>
        <v>5.5213378541349549E-2</v>
      </c>
      <c r="AF135" s="5">
        <v>-0.1</v>
      </c>
      <c r="AG135" s="18" t="s">
        <v>158</v>
      </c>
      <c r="AH135" s="279">
        <v>1.7408253268231217</v>
      </c>
      <c r="AI135" s="280">
        <v>-0.5</v>
      </c>
      <c r="AJ135" s="280">
        <v>-0.2</v>
      </c>
      <c r="AK135" s="280">
        <v>-0.02</v>
      </c>
      <c r="AL135" s="280">
        <v>-0.1</v>
      </c>
      <c r="AM135" s="280">
        <v>-0.1</v>
      </c>
      <c r="AN135" s="280">
        <v>0.18451724681052134</v>
      </c>
      <c r="AO135" s="280">
        <v>-0.02</v>
      </c>
      <c r="AP135" s="280">
        <v>-0.05</v>
      </c>
      <c r="AQ135" s="280">
        <v>-0.1</v>
      </c>
      <c r="AR135" s="280">
        <v>-0.05</v>
      </c>
      <c r="AS135" s="5" t="s">
        <v>158</v>
      </c>
      <c r="AT135" s="5" t="s">
        <v>158</v>
      </c>
      <c r="AU135" s="5" t="s">
        <v>158</v>
      </c>
      <c r="AV135" s="5" t="s">
        <v>158</v>
      </c>
      <c r="AW135" s="5" t="s">
        <v>158</v>
      </c>
      <c r="BC135" s="5">
        <v>48.426714871995301</v>
      </c>
      <c r="BD135" s="5" t="s">
        <v>480</v>
      </c>
      <c r="BE135" s="5" t="s">
        <v>438</v>
      </c>
      <c r="BF135" s="5">
        <v>0.12702755520812975</v>
      </c>
      <c r="BG135" s="5" t="s">
        <v>437</v>
      </c>
      <c r="BH135" s="5">
        <v>0.24545632206370915</v>
      </c>
      <c r="BI135" s="5">
        <v>2.1923978893883129</v>
      </c>
      <c r="BJ135" s="5" t="s">
        <v>479</v>
      </c>
      <c r="BK135" s="5" t="s">
        <v>488</v>
      </c>
      <c r="BL135" s="5">
        <v>1.6712917725229623</v>
      </c>
      <c r="BM135" s="5">
        <v>5.7621653312487787E-2</v>
      </c>
      <c r="BN135" s="17">
        <v>46</v>
      </c>
      <c r="BO135" s="5" t="s">
        <v>158</v>
      </c>
      <c r="BP135" s="5" t="s">
        <v>158</v>
      </c>
      <c r="BQ135" s="5" t="s">
        <v>158</v>
      </c>
      <c r="BR135" s="5" t="s">
        <v>158</v>
      </c>
      <c r="BS135" s="5" t="s">
        <v>158</v>
      </c>
      <c r="BT135" s="5" t="s">
        <v>158</v>
      </c>
      <c r="BU135" s="5" t="s">
        <v>158</v>
      </c>
      <c r="BV135" s="5" t="s">
        <v>158</v>
      </c>
      <c r="BW135" s="5" t="s">
        <v>158</v>
      </c>
      <c r="BX135" s="5" t="s">
        <v>158</v>
      </c>
      <c r="BY135" s="5" t="s">
        <v>158</v>
      </c>
      <c r="BZ135" s="5" t="s">
        <v>158</v>
      </c>
      <c r="CA135" s="5" t="s">
        <v>158</v>
      </c>
      <c r="CB135" s="5" t="s">
        <v>158</v>
      </c>
      <c r="CC135" s="5" t="s">
        <v>158</v>
      </c>
      <c r="CD135" s="5" t="s">
        <v>158</v>
      </c>
      <c r="CE135" s="5" t="s">
        <v>158</v>
      </c>
      <c r="CF135" s="5" t="s">
        <v>158</v>
      </c>
      <c r="CG135" s="5" t="s">
        <v>158</v>
      </c>
      <c r="CH135" s="5" t="s">
        <v>158</v>
      </c>
      <c r="CI135" s="17" t="s">
        <v>158</v>
      </c>
      <c r="CJ135" s="17" t="s">
        <v>158</v>
      </c>
      <c r="CK135" s="17" t="s">
        <v>158</v>
      </c>
      <c r="CL135" s="17" t="s">
        <v>158</v>
      </c>
      <c r="CM135" s="17" t="s">
        <v>158</v>
      </c>
      <c r="CN135" s="17" t="s">
        <v>158</v>
      </c>
      <c r="CO135" s="17" t="s">
        <v>158</v>
      </c>
      <c r="CP135" s="17" t="s">
        <v>158</v>
      </c>
      <c r="CQ135" s="17" t="s">
        <v>158</v>
      </c>
      <c r="CR135" s="17" t="s">
        <v>158</v>
      </c>
      <c r="CS135" s="17" t="s">
        <v>158</v>
      </c>
      <c r="CT135" s="17" t="s">
        <v>158</v>
      </c>
      <c r="CU135" s="17" t="s">
        <v>158</v>
      </c>
      <c r="CV135" s="17" t="s">
        <v>158</v>
      </c>
      <c r="CW135" s="17" t="s">
        <v>158</v>
      </c>
      <c r="CX135" s="17" t="s">
        <v>158</v>
      </c>
      <c r="CY135" s="67" t="s">
        <v>158</v>
      </c>
    </row>
    <row r="136" spans="1:103" x14ac:dyDescent="0.2">
      <c r="A136" s="32" t="s">
        <v>81</v>
      </c>
      <c r="B136" s="14" t="s">
        <v>81</v>
      </c>
      <c r="C136" s="14" t="s">
        <v>20</v>
      </c>
      <c r="G136" s="28">
        <v>42577</v>
      </c>
      <c r="H136" s="16">
        <v>2016</v>
      </c>
      <c r="I136" s="135" t="s">
        <v>33</v>
      </c>
      <c r="J136" s="135">
        <v>10</v>
      </c>
      <c r="K136" s="136">
        <v>0.75</v>
      </c>
      <c r="L136" s="5">
        <v>3.0173202973378701</v>
      </c>
      <c r="M136" s="5">
        <v>7.0046631610278784E-2</v>
      </c>
      <c r="N136" s="5">
        <v>0.2133148129774779</v>
      </c>
      <c r="O136" s="5">
        <v>0.96090882031947611</v>
      </c>
      <c r="P136" s="5">
        <v>0.5939081258061315</v>
      </c>
      <c r="Q136" s="5">
        <v>2.0702450639944439</v>
      </c>
      <c r="R136" s="5">
        <v>1.6700069451334458</v>
      </c>
      <c r="S136" s="5">
        <v>0.89641829546581997</v>
      </c>
      <c r="T136" s="5">
        <v>6.4748486953070739</v>
      </c>
      <c r="U136" s="17">
        <f t="shared" si="15"/>
        <v>39.206270463339621</v>
      </c>
      <c r="V136" s="5" t="s">
        <v>491</v>
      </c>
      <c r="W136" s="5">
        <v>0.2919158603780575</v>
      </c>
      <c r="X136" s="5">
        <v>6.7986226580042497E-2</v>
      </c>
      <c r="Y136" s="5">
        <v>0.17081539428235679</v>
      </c>
      <c r="Z136" s="5">
        <v>3.3993113290021248E-2</v>
      </c>
      <c r="AA136" s="5">
        <v>6.4303639306956872E-2</v>
      </c>
      <c r="AB136" s="5">
        <v>6.968588224454357E-2</v>
      </c>
      <c r="AC136" s="5" t="s">
        <v>438</v>
      </c>
      <c r="AD136" s="5">
        <v>0.69870011608197846</v>
      </c>
      <c r="AE136" s="17">
        <f t="shared" si="16"/>
        <v>0.66470700279195727</v>
      </c>
      <c r="AF136" s="5">
        <v>0.18</v>
      </c>
      <c r="AG136" s="18">
        <f>(AF136/K136)*5</f>
        <v>1.2</v>
      </c>
      <c r="AH136" s="279">
        <v>7.4743157399419662</v>
      </c>
      <c r="AI136" s="280">
        <v>-0.5</v>
      </c>
      <c r="AJ136" s="280">
        <v>-0.2</v>
      </c>
      <c r="AK136" s="280">
        <v>-0.02</v>
      </c>
      <c r="AL136" s="280">
        <v>-0.1</v>
      </c>
      <c r="AM136" s="280">
        <v>-0.1</v>
      </c>
      <c r="AN136" s="280">
        <v>1.2260214885107052</v>
      </c>
      <c r="AO136" s="280">
        <v>1.461375578386009</v>
      </c>
      <c r="AP136" s="280">
        <v>-0.05</v>
      </c>
      <c r="AQ136" s="280">
        <v>1.0828954591796722</v>
      </c>
      <c r="AR136" s="280">
        <v>0.42683711081483816</v>
      </c>
      <c r="AS136" s="5" t="s">
        <v>158</v>
      </c>
      <c r="AT136" s="5" t="s">
        <v>158</v>
      </c>
      <c r="AU136" s="5" t="s">
        <v>158</v>
      </c>
      <c r="AV136" s="5" t="s">
        <v>158</v>
      </c>
      <c r="AW136" s="5" t="s">
        <v>158</v>
      </c>
      <c r="BC136" s="5">
        <v>150.10377714825307</v>
      </c>
      <c r="BD136" s="5" t="s">
        <v>480</v>
      </c>
      <c r="BE136" s="5" t="s">
        <v>438</v>
      </c>
      <c r="BF136" s="5">
        <v>0.19641170915958453</v>
      </c>
      <c r="BG136" s="5" t="s">
        <v>437</v>
      </c>
      <c r="BH136" s="5">
        <v>0.67724268177525981</v>
      </c>
      <c r="BI136" s="5">
        <v>25.839187913125588</v>
      </c>
      <c r="BJ136" s="5">
        <v>22.04343720491029</v>
      </c>
      <c r="BK136" s="5" t="s">
        <v>488</v>
      </c>
      <c r="BL136" s="5">
        <v>23.367705382436263</v>
      </c>
      <c r="BM136" s="5">
        <v>4.7727762039660053</v>
      </c>
      <c r="BN136" s="17">
        <v>26</v>
      </c>
      <c r="BO136" s="5" t="s">
        <v>158</v>
      </c>
      <c r="BP136" s="5" t="s">
        <v>158</v>
      </c>
      <c r="BQ136" s="5" t="s">
        <v>158</v>
      </c>
      <c r="BR136" s="5" t="s">
        <v>158</v>
      </c>
      <c r="BS136" s="5" t="s">
        <v>158</v>
      </c>
      <c r="BT136" s="5" t="s">
        <v>158</v>
      </c>
      <c r="BU136" s="5" t="s">
        <v>158</v>
      </c>
      <c r="BV136" s="5" t="s">
        <v>158</v>
      </c>
      <c r="BW136" s="5" t="s">
        <v>158</v>
      </c>
      <c r="BX136" s="5" t="s">
        <v>158</v>
      </c>
      <c r="BY136" s="5" t="s">
        <v>158</v>
      </c>
      <c r="BZ136" s="5" t="s">
        <v>158</v>
      </c>
      <c r="CA136" s="5" t="s">
        <v>158</v>
      </c>
      <c r="CB136" s="5" t="s">
        <v>158</v>
      </c>
      <c r="CC136" s="5" t="s">
        <v>158</v>
      </c>
      <c r="CD136" s="5" t="s">
        <v>158</v>
      </c>
      <c r="CE136" s="5" t="s">
        <v>158</v>
      </c>
      <c r="CF136" s="5" t="s">
        <v>158</v>
      </c>
      <c r="CG136" s="5" t="s">
        <v>158</v>
      </c>
      <c r="CH136" s="5" t="s">
        <v>158</v>
      </c>
      <c r="CI136" s="17" t="s">
        <v>158</v>
      </c>
      <c r="CJ136" s="17" t="s">
        <v>158</v>
      </c>
      <c r="CK136" s="17" t="s">
        <v>158</v>
      </c>
      <c r="CL136" s="17" t="s">
        <v>158</v>
      </c>
      <c r="CM136" s="17" t="s">
        <v>158</v>
      </c>
      <c r="CN136" s="17" t="s">
        <v>158</v>
      </c>
      <c r="CO136" s="17" t="s">
        <v>158</v>
      </c>
      <c r="CP136" s="17" t="s">
        <v>158</v>
      </c>
      <c r="CQ136" s="17" t="s">
        <v>158</v>
      </c>
      <c r="CR136" s="17" t="s">
        <v>158</v>
      </c>
      <c r="CS136" s="17" t="s">
        <v>158</v>
      </c>
      <c r="CT136" s="17" t="s">
        <v>158</v>
      </c>
      <c r="CU136" s="17" t="s">
        <v>158</v>
      </c>
      <c r="CV136" s="17" t="s">
        <v>158</v>
      </c>
      <c r="CW136" s="17" t="s">
        <v>158</v>
      </c>
      <c r="CX136" s="17" t="s">
        <v>158</v>
      </c>
      <c r="CY136" s="67" t="s">
        <v>158</v>
      </c>
    </row>
    <row r="137" spans="1:103" x14ac:dyDescent="0.2">
      <c r="A137" s="32" t="s">
        <v>6</v>
      </c>
      <c r="B137" s="14" t="s">
        <v>6</v>
      </c>
      <c r="C137" s="14" t="s">
        <v>20</v>
      </c>
      <c r="G137" s="28">
        <v>42615</v>
      </c>
      <c r="H137" s="16">
        <v>2016</v>
      </c>
      <c r="I137" s="135" t="s">
        <v>33</v>
      </c>
      <c r="J137" s="135">
        <v>10</v>
      </c>
      <c r="K137" s="136">
        <v>0.80902916500199296</v>
      </c>
      <c r="L137" s="5">
        <v>3.4291477559253898</v>
      </c>
      <c r="M137" s="5">
        <v>4.0583136327817182E-2</v>
      </c>
      <c r="N137" s="5">
        <v>0.16430260047281325</v>
      </c>
      <c r="O137" s="5">
        <v>0.61485421591804579</v>
      </c>
      <c r="P137" s="5">
        <v>0.47488179669030733</v>
      </c>
      <c r="Q137" s="5">
        <v>1.4137115839243499</v>
      </c>
      <c r="R137" s="5">
        <v>1.1817375886524824</v>
      </c>
      <c r="S137" s="5">
        <v>0.67671394799054374</v>
      </c>
      <c r="T137" s="5">
        <v>4.5667848699763596</v>
      </c>
      <c r="U137" s="17">
        <f t="shared" si="15"/>
        <v>25.288971339345796</v>
      </c>
      <c r="V137" s="5" t="s">
        <v>491</v>
      </c>
      <c r="W137" s="5">
        <v>7.1661841444215363E-2</v>
      </c>
      <c r="X137" s="5">
        <v>1.758024384702165E-2</v>
      </c>
      <c r="Y137" s="5">
        <v>3.5905413280781506E-2</v>
      </c>
      <c r="Z137" s="5">
        <v>5.6316374357408334E-2</v>
      </c>
      <c r="AA137" s="5">
        <v>2.0708931311322114E-2</v>
      </c>
      <c r="AB137" s="5">
        <v>4.5142490556335249E-2</v>
      </c>
      <c r="AC137" s="5" t="s">
        <v>438</v>
      </c>
      <c r="AD137" s="5">
        <v>0.2473152947970842</v>
      </c>
      <c r="AE137" s="17">
        <f t="shared" si="16"/>
        <v>0.19099892043967587</v>
      </c>
      <c r="AF137" s="5">
        <v>-0.1</v>
      </c>
      <c r="AG137" s="18" t="s">
        <v>158</v>
      </c>
      <c r="AH137" s="279">
        <v>1.1459341723136494</v>
      </c>
      <c r="AI137" s="280">
        <v>-0.5</v>
      </c>
      <c r="AJ137" s="280">
        <v>-0.2</v>
      </c>
      <c r="AK137" s="280">
        <v>-0.02</v>
      </c>
      <c r="AL137" s="280">
        <v>-0.1</v>
      </c>
      <c r="AM137" s="280">
        <v>-0.1</v>
      </c>
      <c r="AN137" s="280">
        <v>0.17852533075185542</v>
      </c>
      <c r="AO137" s="280">
        <v>2.5653436592449178E-2</v>
      </c>
      <c r="AP137" s="280">
        <v>-0.05</v>
      </c>
      <c r="AQ137" s="280">
        <v>-0.1</v>
      </c>
      <c r="AR137" s="280">
        <v>-0.05</v>
      </c>
      <c r="AS137" s="5" t="s">
        <v>158</v>
      </c>
      <c r="AT137" s="5" t="s">
        <v>158</v>
      </c>
      <c r="AU137" s="5" t="s">
        <v>158</v>
      </c>
      <c r="AV137" s="5" t="s">
        <v>158</v>
      </c>
      <c r="AW137" s="5" t="s">
        <v>158</v>
      </c>
      <c r="BC137" s="5">
        <v>30.385279787391113</v>
      </c>
      <c r="BD137" s="5" t="s">
        <v>480</v>
      </c>
      <c r="BE137" s="5" t="s">
        <v>438</v>
      </c>
      <c r="BF137" s="5" t="s">
        <v>482</v>
      </c>
      <c r="BG137" s="5" t="s">
        <v>437</v>
      </c>
      <c r="BH137" s="5">
        <v>0.12933707367488556</v>
      </c>
      <c r="BI137" s="5">
        <v>2.3650524139967519</v>
      </c>
      <c r="BJ137" s="5">
        <v>0.80761848516167123</v>
      </c>
      <c r="BK137" s="5" t="s">
        <v>488</v>
      </c>
      <c r="BL137" s="5">
        <v>1.4516462424331906</v>
      </c>
      <c r="BM137" s="5">
        <v>6.8928096855160201E-2</v>
      </c>
      <c r="BN137" s="17">
        <v>50</v>
      </c>
      <c r="BO137" s="5" t="s">
        <v>158</v>
      </c>
      <c r="BP137" s="5" t="s">
        <v>158</v>
      </c>
      <c r="BQ137" s="5" t="s">
        <v>158</v>
      </c>
      <c r="BR137" s="5" t="s">
        <v>158</v>
      </c>
      <c r="BS137" s="5" t="s">
        <v>158</v>
      </c>
      <c r="BT137" s="5" t="s">
        <v>158</v>
      </c>
      <c r="BU137" s="5" t="s">
        <v>158</v>
      </c>
      <c r="BV137" s="5" t="s">
        <v>158</v>
      </c>
      <c r="BW137" s="5" t="s">
        <v>158</v>
      </c>
      <c r="BX137" s="5" t="s">
        <v>158</v>
      </c>
      <c r="BY137" s="5" t="s">
        <v>158</v>
      </c>
      <c r="BZ137" s="5" t="s">
        <v>158</v>
      </c>
      <c r="CA137" s="5" t="s">
        <v>158</v>
      </c>
      <c r="CB137" s="5" t="s">
        <v>158</v>
      </c>
      <c r="CC137" s="5" t="s">
        <v>158</v>
      </c>
      <c r="CD137" s="5" t="s">
        <v>158</v>
      </c>
      <c r="CE137" s="5" t="s">
        <v>158</v>
      </c>
      <c r="CF137" s="5" t="s">
        <v>158</v>
      </c>
      <c r="CG137" s="5" t="s">
        <v>158</v>
      </c>
      <c r="CH137" s="5" t="s">
        <v>158</v>
      </c>
      <c r="CI137" s="17" t="s">
        <v>158</v>
      </c>
      <c r="CJ137" s="17" t="s">
        <v>158</v>
      </c>
      <c r="CK137" s="17" t="s">
        <v>158</v>
      </c>
      <c r="CL137" s="17" t="s">
        <v>158</v>
      </c>
      <c r="CM137" s="17" t="s">
        <v>158</v>
      </c>
      <c r="CN137" s="17" t="s">
        <v>158</v>
      </c>
      <c r="CO137" s="17" t="s">
        <v>158</v>
      </c>
      <c r="CP137" s="17" t="s">
        <v>158</v>
      </c>
      <c r="CQ137" s="17" t="s">
        <v>158</v>
      </c>
      <c r="CR137" s="17" t="s">
        <v>158</v>
      </c>
      <c r="CS137" s="17" t="s">
        <v>158</v>
      </c>
      <c r="CT137" s="17" t="s">
        <v>158</v>
      </c>
      <c r="CU137" s="17" t="s">
        <v>158</v>
      </c>
      <c r="CV137" s="17" t="s">
        <v>158</v>
      </c>
      <c r="CW137" s="17" t="s">
        <v>158</v>
      </c>
      <c r="CX137" s="17" t="s">
        <v>158</v>
      </c>
      <c r="CY137" s="67" t="s">
        <v>158</v>
      </c>
    </row>
    <row r="138" spans="1:103" x14ac:dyDescent="0.2">
      <c r="A138" s="32" t="s">
        <v>82</v>
      </c>
      <c r="B138" s="14" t="s">
        <v>82</v>
      </c>
      <c r="C138" s="14" t="s">
        <v>20</v>
      </c>
      <c r="G138" s="28">
        <v>42627</v>
      </c>
      <c r="H138" s="16">
        <v>2016</v>
      </c>
      <c r="I138" s="135" t="s">
        <v>33</v>
      </c>
      <c r="J138" s="135">
        <v>10</v>
      </c>
      <c r="K138" s="136">
        <v>1.16434827408554</v>
      </c>
      <c r="L138" s="5">
        <v>3.5887980332424698</v>
      </c>
      <c r="M138" s="5">
        <v>0.12750635413724937</v>
      </c>
      <c r="N138" s="5">
        <v>1.3024569330697544</v>
      </c>
      <c r="O138" s="5">
        <v>4.3155888167184413</v>
      </c>
      <c r="P138" s="5">
        <v>1.5372776051962724</v>
      </c>
      <c r="Q138" s="5">
        <v>8.3256265781441847</v>
      </c>
      <c r="R138" s="5">
        <v>4.2278025499559302</v>
      </c>
      <c r="S138" s="5">
        <v>2.4538266026546176</v>
      </c>
      <c r="T138" s="5">
        <v>22.290085439876453</v>
      </c>
      <c r="U138" s="17">
        <f t="shared" si="15"/>
        <v>89.117699130782384</v>
      </c>
      <c r="V138" s="5" t="s">
        <v>496</v>
      </c>
      <c r="W138" s="5">
        <v>0.11567622206152006</v>
      </c>
      <c r="X138" s="5">
        <v>5.3375140145840466E-2</v>
      </c>
      <c r="Y138" s="5">
        <v>2.9917073636124961E-2</v>
      </c>
      <c r="Z138" s="5">
        <v>4.481203167653823E-2</v>
      </c>
      <c r="AA138" s="5" t="s">
        <v>497</v>
      </c>
      <c r="AB138" s="5">
        <v>3.6294050825534524E-2</v>
      </c>
      <c r="AC138" s="5" t="s">
        <v>437</v>
      </c>
      <c r="AD138" s="5">
        <v>0.28007451834555824</v>
      </c>
      <c r="AE138" s="17">
        <f t="shared" si="16"/>
        <v>0.23526248666902</v>
      </c>
      <c r="AF138" s="5">
        <v>-0.1</v>
      </c>
      <c r="AG138" s="18" t="s">
        <v>158</v>
      </c>
      <c r="AH138" s="279">
        <v>3.5701480904130944</v>
      </c>
      <c r="AI138" s="280">
        <v>-0.5</v>
      </c>
      <c r="AJ138" s="280">
        <v>-0.2</v>
      </c>
      <c r="AK138" s="280">
        <v>-0.02</v>
      </c>
      <c r="AL138" s="280">
        <v>-0.1</v>
      </c>
      <c r="AM138" s="280">
        <v>-0.1</v>
      </c>
      <c r="AN138" s="280">
        <v>0.25042868277474667</v>
      </c>
      <c r="AO138" s="280">
        <v>4.6297739672642252E-2</v>
      </c>
      <c r="AP138" s="280">
        <v>-0.05</v>
      </c>
      <c r="AQ138" s="280">
        <v>0.22743569758378801</v>
      </c>
      <c r="AR138" s="280">
        <v>7.0038971161340613E-2</v>
      </c>
      <c r="AS138" s="5" t="s">
        <v>158</v>
      </c>
      <c r="AT138" s="5" t="s">
        <v>158</v>
      </c>
      <c r="AU138" s="5" t="s">
        <v>158</v>
      </c>
      <c r="AV138" s="5" t="s">
        <v>158</v>
      </c>
      <c r="AW138" s="5" t="s">
        <v>158</v>
      </c>
      <c r="BC138" s="5">
        <v>59.335231516056758</v>
      </c>
      <c r="BD138" s="5" t="s">
        <v>480</v>
      </c>
      <c r="BE138" s="5" t="s">
        <v>438</v>
      </c>
      <c r="BF138" s="5">
        <v>5.7318894697535483E-2</v>
      </c>
      <c r="BG138" s="5" t="s">
        <v>437</v>
      </c>
      <c r="BH138" s="5">
        <v>0.26624346527259152</v>
      </c>
      <c r="BI138" s="5">
        <v>2.7853808812546679</v>
      </c>
      <c r="BJ138" s="5">
        <v>0.8644510828976848</v>
      </c>
      <c r="BK138" s="5" t="s">
        <v>488</v>
      </c>
      <c r="BL138" s="5">
        <v>2.9746079163554895</v>
      </c>
      <c r="BM138" s="5">
        <v>0.36255601194921583</v>
      </c>
      <c r="BN138" s="17">
        <v>210</v>
      </c>
      <c r="BO138" s="5" t="s">
        <v>158</v>
      </c>
      <c r="BP138" s="5" t="s">
        <v>158</v>
      </c>
      <c r="BQ138" s="5" t="s">
        <v>158</v>
      </c>
      <c r="BR138" s="5" t="s">
        <v>158</v>
      </c>
      <c r="BS138" s="5" t="s">
        <v>158</v>
      </c>
      <c r="BT138" s="5" t="s">
        <v>158</v>
      </c>
      <c r="BU138" s="5" t="s">
        <v>158</v>
      </c>
      <c r="BV138" s="5" t="s">
        <v>158</v>
      </c>
      <c r="BW138" s="5" t="s">
        <v>158</v>
      </c>
      <c r="BX138" s="5" t="s">
        <v>158</v>
      </c>
      <c r="BY138" s="5" t="s">
        <v>158</v>
      </c>
      <c r="BZ138" s="5" t="s">
        <v>158</v>
      </c>
      <c r="CA138" s="5" t="s">
        <v>158</v>
      </c>
      <c r="CB138" s="5" t="s">
        <v>158</v>
      </c>
      <c r="CC138" s="5" t="s">
        <v>158</v>
      </c>
      <c r="CD138" s="5" t="s">
        <v>158</v>
      </c>
      <c r="CE138" s="5" t="s">
        <v>158</v>
      </c>
      <c r="CF138" s="5" t="s">
        <v>158</v>
      </c>
      <c r="CG138" s="5" t="s">
        <v>158</v>
      </c>
      <c r="CH138" s="5" t="s">
        <v>158</v>
      </c>
      <c r="CI138" s="17" t="s">
        <v>158</v>
      </c>
      <c r="CJ138" s="17" t="s">
        <v>158</v>
      </c>
      <c r="CK138" s="17" t="s">
        <v>158</v>
      </c>
      <c r="CL138" s="17" t="s">
        <v>158</v>
      </c>
      <c r="CM138" s="17" t="s">
        <v>158</v>
      </c>
      <c r="CN138" s="17" t="s">
        <v>158</v>
      </c>
      <c r="CO138" s="17" t="s">
        <v>158</v>
      </c>
      <c r="CP138" s="17" t="s">
        <v>158</v>
      </c>
      <c r="CQ138" s="17" t="s">
        <v>158</v>
      </c>
      <c r="CR138" s="17" t="s">
        <v>158</v>
      </c>
      <c r="CS138" s="17" t="s">
        <v>158</v>
      </c>
      <c r="CT138" s="17" t="s">
        <v>158</v>
      </c>
      <c r="CU138" s="17" t="s">
        <v>158</v>
      </c>
      <c r="CV138" s="17" t="s">
        <v>158</v>
      </c>
      <c r="CW138" s="17" t="s">
        <v>158</v>
      </c>
      <c r="CX138" s="17" t="s">
        <v>158</v>
      </c>
      <c r="CY138" s="67" t="s">
        <v>158</v>
      </c>
    </row>
    <row r="139" spans="1:103" x14ac:dyDescent="0.2">
      <c r="A139" s="32" t="s">
        <v>27</v>
      </c>
      <c r="B139" s="14" t="s">
        <v>27</v>
      </c>
      <c r="C139" s="14" t="s">
        <v>20</v>
      </c>
      <c r="G139" s="28">
        <v>42631</v>
      </c>
      <c r="H139" s="16">
        <v>2016</v>
      </c>
      <c r="I139" s="135" t="s">
        <v>33</v>
      </c>
      <c r="J139" s="135">
        <v>10</v>
      </c>
      <c r="K139" s="136">
        <v>0.85147661133865715</v>
      </c>
      <c r="L139" s="5">
        <v>3.35591784882488</v>
      </c>
      <c r="M139" s="5">
        <v>7.9529872673849172E-2</v>
      </c>
      <c r="N139" s="5">
        <v>0.23006856023506367</v>
      </c>
      <c r="O139" s="5">
        <v>0.392458374142997</v>
      </c>
      <c r="P139" s="5">
        <v>0.385896180215475</v>
      </c>
      <c r="Q139" s="5">
        <v>0.7269343780607247</v>
      </c>
      <c r="R139" s="5">
        <v>0.61704211557296762</v>
      </c>
      <c r="S139" s="5">
        <v>0.23643486777668951</v>
      </c>
      <c r="T139" s="5">
        <v>2.6683643486777666</v>
      </c>
      <c r="U139" s="17">
        <f t="shared" si="15"/>
        <v>13.402999789236064</v>
      </c>
      <c r="V139" s="5" t="s">
        <v>491</v>
      </c>
      <c r="W139" s="5">
        <v>3.7996350584967413E-2</v>
      </c>
      <c r="X139" s="5">
        <v>1.3057165149473337E-2</v>
      </c>
      <c r="Y139" s="5" t="s">
        <v>485</v>
      </c>
      <c r="Z139" s="5">
        <v>3.3687486085641212E-2</v>
      </c>
      <c r="AA139" s="5" t="s">
        <v>482</v>
      </c>
      <c r="AB139" s="5">
        <v>2.2066609102609942E-2</v>
      </c>
      <c r="AC139" s="5" t="s">
        <v>438</v>
      </c>
      <c r="AD139" s="5">
        <v>0.10680761092269189</v>
      </c>
      <c r="AE139" s="17">
        <f t="shared" si="16"/>
        <v>7.3120124837050687E-2</v>
      </c>
      <c r="AF139" s="5">
        <v>-0.1</v>
      </c>
      <c r="AG139" s="18" t="s">
        <v>158</v>
      </c>
      <c r="AH139" s="279">
        <v>9.4225273852992526</v>
      </c>
      <c r="AI139" s="280">
        <v>-0.5</v>
      </c>
      <c r="AJ139" s="280">
        <v>-0.2</v>
      </c>
      <c r="AK139" s="280">
        <v>-0.02</v>
      </c>
      <c r="AL139" s="280">
        <v>-0.1</v>
      </c>
      <c r="AM139" s="280">
        <v>-0.1</v>
      </c>
      <c r="AN139" s="280">
        <v>0.35426258136212097</v>
      </c>
      <c r="AO139" s="280">
        <v>5.1119225273853E-2</v>
      </c>
      <c r="AP139" s="280">
        <v>-0.05</v>
      </c>
      <c r="AQ139" s="280">
        <v>0.25146848706143832</v>
      </c>
      <c r="AR139" s="280">
        <v>-0.05</v>
      </c>
      <c r="AS139" s="5" t="s">
        <v>158</v>
      </c>
      <c r="AT139" s="5" t="s">
        <v>158</v>
      </c>
      <c r="AU139" s="5" t="s">
        <v>158</v>
      </c>
      <c r="AV139" s="5" t="s">
        <v>158</v>
      </c>
      <c r="AW139" s="5" t="s">
        <v>158</v>
      </c>
      <c r="BC139" s="5">
        <v>150</v>
      </c>
      <c r="BD139" s="5" t="s">
        <v>480</v>
      </c>
      <c r="BE139" s="5" t="s">
        <v>438</v>
      </c>
      <c r="BF139" s="5">
        <v>4.5298165137614685E-2</v>
      </c>
      <c r="BG139" s="5" t="s">
        <v>437</v>
      </c>
      <c r="BH139" s="5">
        <v>0.67392966360856277</v>
      </c>
      <c r="BI139" s="5">
        <v>4.2466551987767591</v>
      </c>
      <c r="BJ139" s="5">
        <v>0.88685015290519875</v>
      </c>
      <c r="BK139" s="5" t="s">
        <v>488</v>
      </c>
      <c r="BL139" s="5">
        <v>3.6185015290519877</v>
      </c>
      <c r="BM139" s="5">
        <v>0.13299885321100918</v>
      </c>
      <c r="BN139" s="17">
        <v>67</v>
      </c>
      <c r="BO139" s="5" t="s">
        <v>158</v>
      </c>
      <c r="BP139" s="5" t="s">
        <v>158</v>
      </c>
      <c r="BQ139" s="5" t="s">
        <v>158</v>
      </c>
      <c r="BR139" s="5" t="s">
        <v>158</v>
      </c>
      <c r="BS139" s="5" t="s">
        <v>158</v>
      </c>
      <c r="BT139" s="5" t="s">
        <v>158</v>
      </c>
      <c r="BU139" s="5" t="s">
        <v>158</v>
      </c>
      <c r="BV139" s="5" t="s">
        <v>158</v>
      </c>
      <c r="BW139" s="5" t="s">
        <v>158</v>
      </c>
      <c r="BX139" s="5" t="s">
        <v>158</v>
      </c>
      <c r="BY139" s="5" t="s">
        <v>158</v>
      </c>
      <c r="BZ139" s="5" t="s">
        <v>158</v>
      </c>
      <c r="CA139" s="5" t="s">
        <v>158</v>
      </c>
      <c r="CB139" s="5" t="s">
        <v>158</v>
      </c>
      <c r="CC139" s="5" t="s">
        <v>158</v>
      </c>
      <c r="CD139" s="5" t="s">
        <v>158</v>
      </c>
      <c r="CE139" s="5" t="s">
        <v>158</v>
      </c>
      <c r="CF139" s="5" t="s">
        <v>158</v>
      </c>
      <c r="CG139" s="5" t="s">
        <v>158</v>
      </c>
      <c r="CH139" s="5" t="s">
        <v>158</v>
      </c>
      <c r="CI139" s="17" t="s">
        <v>158</v>
      </c>
      <c r="CJ139" s="17" t="s">
        <v>158</v>
      </c>
      <c r="CK139" s="17" t="s">
        <v>158</v>
      </c>
      <c r="CL139" s="17" t="s">
        <v>158</v>
      </c>
      <c r="CM139" s="17" t="s">
        <v>158</v>
      </c>
      <c r="CN139" s="17" t="s">
        <v>158</v>
      </c>
      <c r="CO139" s="17" t="s">
        <v>158</v>
      </c>
      <c r="CP139" s="17" t="s">
        <v>158</v>
      </c>
      <c r="CQ139" s="17" t="s">
        <v>158</v>
      </c>
      <c r="CR139" s="17" t="s">
        <v>158</v>
      </c>
      <c r="CS139" s="17" t="s">
        <v>158</v>
      </c>
      <c r="CT139" s="17" t="s">
        <v>158</v>
      </c>
      <c r="CU139" s="17" t="s">
        <v>158</v>
      </c>
      <c r="CV139" s="17" t="s">
        <v>158</v>
      </c>
      <c r="CW139" s="17" t="s">
        <v>158</v>
      </c>
      <c r="CX139" s="17" t="s">
        <v>158</v>
      </c>
      <c r="CY139" s="67" t="s">
        <v>158</v>
      </c>
    </row>
    <row r="140" spans="1:103" x14ac:dyDescent="0.2">
      <c r="A140" s="32" t="s">
        <v>28</v>
      </c>
      <c r="B140" s="14" t="s">
        <v>28</v>
      </c>
      <c r="C140" s="14" t="s">
        <v>20</v>
      </c>
      <c r="G140" s="28">
        <v>42625</v>
      </c>
      <c r="H140" s="16">
        <v>2016</v>
      </c>
      <c r="I140" s="135" t="s">
        <v>33</v>
      </c>
      <c r="J140" s="135">
        <v>10</v>
      </c>
      <c r="K140" s="136">
        <v>0.91037831276552605</v>
      </c>
      <c r="L140" s="5">
        <v>3.2172423636882699</v>
      </c>
      <c r="M140" s="5">
        <v>0.15026056745801969</v>
      </c>
      <c r="N140" s="5">
        <v>0.55896545068519587</v>
      </c>
      <c r="O140" s="5">
        <v>1.9866821077012158</v>
      </c>
      <c r="P140" s="5">
        <v>1.5251881876085698</v>
      </c>
      <c r="Q140" s="5">
        <v>3.376375217139548</v>
      </c>
      <c r="R140" s="5">
        <v>3.1627099015634044</v>
      </c>
      <c r="S140" s="5">
        <v>0.96303802354757762</v>
      </c>
      <c r="T140" s="5">
        <v>11.72321945570353</v>
      </c>
      <c r="U140" s="17">
        <f t="shared" si="15"/>
        <v>56.00985395354828</v>
      </c>
      <c r="V140" s="5" t="s">
        <v>491</v>
      </c>
      <c r="W140" s="5">
        <v>0.14400579873006539</v>
      </c>
      <c r="X140" s="5">
        <v>4.5196918922819775E-2</v>
      </c>
      <c r="Y140" s="5">
        <v>6.7998968109107216E-2</v>
      </c>
      <c r="Z140" s="5">
        <v>2.3752134569049427E-2</v>
      </c>
      <c r="AA140" s="5">
        <v>2.7959655549852469E-2</v>
      </c>
      <c r="AB140" s="5">
        <v>3.5560338611948288E-2</v>
      </c>
      <c r="AC140" s="5" t="s">
        <v>438</v>
      </c>
      <c r="AD140" s="5">
        <v>0.34447381449284259</v>
      </c>
      <c r="AE140" s="17">
        <f t="shared" si="16"/>
        <v>0.32072167992379313</v>
      </c>
      <c r="AF140" s="5">
        <v>-0.1</v>
      </c>
      <c r="AG140" s="18" t="s">
        <v>158</v>
      </c>
      <c r="AH140" s="279">
        <v>7.7002870028700281</v>
      </c>
      <c r="AI140" s="280">
        <v>-0.5</v>
      </c>
      <c r="AJ140" s="280">
        <v>-0.2</v>
      </c>
      <c r="AK140" s="280">
        <v>-0.02</v>
      </c>
      <c r="AL140" s="280">
        <v>-0.1</v>
      </c>
      <c r="AM140" s="280">
        <v>-0.1</v>
      </c>
      <c r="AN140" s="280">
        <v>0.34218942189421891</v>
      </c>
      <c r="AO140" s="280">
        <v>4.1738417384173838E-2</v>
      </c>
      <c r="AP140" s="280">
        <v>-0.05</v>
      </c>
      <c r="AQ140" s="280">
        <v>0.37457974579745795</v>
      </c>
      <c r="AR140" s="280">
        <v>-0.05</v>
      </c>
      <c r="AS140" s="5" t="s">
        <v>158</v>
      </c>
      <c r="AT140" s="5" t="s">
        <v>158</v>
      </c>
      <c r="AU140" s="5" t="s">
        <v>158</v>
      </c>
      <c r="AV140" s="5" t="s">
        <v>158</v>
      </c>
      <c r="AW140" s="5" t="s">
        <v>158</v>
      </c>
      <c r="BC140" s="5">
        <v>130</v>
      </c>
      <c r="BD140" s="5" t="s">
        <v>480</v>
      </c>
      <c r="BE140" s="5" t="s">
        <v>438</v>
      </c>
      <c r="BF140" s="5">
        <v>0.11527265670483215</v>
      </c>
      <c r="BG140" s="5" t="s">
        <v>437</v>
      </c>
      <c r="BH140" s="5">
        <v>0.84339219871919269</v>
      </c>
      <c r="BI140" s="5">
        <v>4.6998835629730253</v>
      </c>
      <c r="BJ140" s="5">
        <v>1.2885697651853287</v>
      </c>
      <c r="BK140" s="5" t="s">
        <v>488</v>
      </c>
      <c r="BL140" s="5">
        <v>3.7321948379584708</v>
      </c>
      <c r="BM140" s="5">
        <v>0.26622355909179118</v>
      </c>
      <c r="BN140" s="17">
        <v>96</v>
      </c>
      <c r="BO140" s="5" t="s">
        <v>158</v>
      </c>
      <c r="BP140" s="5" t="s">
        <v>158</v>
      </c>
      <c r="BQ140" s="5" t="s">
        <v>158</v>
      </c>
      <c r="BR140" s="5" t="s">
        <v>158</v>
      </c>
      <c r="BS140" s="5" t="s">
        <v>158</v>
      </c>
      <c r="BT140" s="5" t="s">
        <v>158</v>
      </c>
      <c r="BU140" s="5" t="s">
        <v>158</v>
      </c>
      <c r="BV140" s="5" t="s">
        <v>158</v>
      </c>
      <c r="BW140" s="5" t="s">
        <v>158</v>
      </c>
      <c r="BX140" s="5" t="s">
        <v>158</v>
      </c>
      <c r="BY140" s="5" t="s">
        <v>158</v>
      </c>
      <c r="BZ140" s="5" t="s">
        <v>158</v>
      </c>
      <c r="CA140" s="5" t="s">
        <v>158</v>
      </c>
      <c r="CB140" s="5" t="s">
        <v>158</v>
      </c>
      <c r="CC140" s="5" t="s">
        <v>158</v>
      </c>
      <c r="CD140" s="5" t="s">
        <v>158</v>
      </c>
      <c r="CE140" s="5" t="s">
        <v>158</v>
      </c>
      <c r="CF140" s="5" t="s">
        <v>158</v>
      </c>
      <c r="CG140" s="5" t="s">
        <v>158</v>
      </c>
      <c r="CH140" s="5" t="s">
        <v>158</v>
      </c>
      <c r="CI140" s="17" t="s">
        <v>158</v>
      </c>
      <c r="CJ140" s="17" t="s">
        <v>158</v>
      </c>
      <c r="CK140" s="17" t="s">
        <v>158</v>
      </c>
      <c r="CL140" s="17" t="s">
        <v>158</v>
      </c>
      <c r="CM140" s="17" t="s">
        <v>158</v>
      </c>
      <c r="CN140" s="17" t="s">
        <v>158</v>
      </c>
      <c r="CO140" s="17" t="s">
        <v>158</v>
      </c>
      <c r="CP140" s="17" t="s">
        <v>158</v>
      </c>
      <c r="CQ140" s="17" t="s">
        <v>158</v>
      </c>
      <c r="CR140" s="17" t="s">
        <v>158</v>
      </c>
      <c r="CS140" s="17" t="s">
        <v>158</v>
      </c>
      <c r="CT140" s="17" t="s">
        <v>158</v>
      </c>
      <c r="CU140" s="17" t="s">
        <v>158</v>
      </c>
      <c r="CV140" s="17" t="s">
        <v>158</v>
      </c>
      <c r="CW140" s="17" t="s">
        <v>158</v>
      </c>
      <c r="CX140" s="17" t="s">
        <v>158</v>
      </c>
      <c r="CY140" s="67" t="s">
        <v>158</v>
      </c>
    </row>
    <row r="141" spans="1:103" x14ac:dyDescent="0.2">
      <c r="A141" s="32" t="s">
        <v>4</v>
      </c>
      <c r="B141" s="14" t="s">
        <v>4</v>
      </c>
      <c r="C141" s="14" t="s">
        <v>20</v>
      </c>
      <c r="G141" s="28">
        <v>42624</v>
      </c>
      <c r="H141" s="16">
        <v>2016</v>
      </c>
      <c r="I141" s="135" t="s">
        <v>33</v>
      </c>
      <c r="J141" s="135">
        <v>14</v>
      </c>
      <c r="K141" s="136">
        <v>0.96251266464033092</v>
      </c>
      <c r="L141" s="5">
        <v>3.1604718450923501</v>
      </c>
      <c r="M141" s="5">
        <v>0.10370961308336657</v>
      </c>
      <c r="N141" s="5">
        <v>0.5758875149581173</v>
      </c>
      <c r="O141" s="5">
        <v>2.7869964100518545</v>
      </c>
      <c r="P141" s="5">
        <v>2.3708615875548462</v>
      </c>
      <c r="Q141" s="5">
        <v>6.4</v>
      </c>
      <c r="R141" s="5">
        <v>5.7</v>
      </c>
      <c r="S141" s="5">
        <v>1.6718189070602314</v>
      </c>
      <c r="T141" s="5">
        <v>19.609274032708417</v>
      </c>
      <c r="U141" s="17">
        <f t="shared" si="15"/>
        <v>89.549016228244511</v>
      </c>
      <c r="V141" s="5" t="s">
        <v>491</v>
      </c>
      <c r="W141" s="5">
        <v>0.19383285346921655</v>
      </c>
      <c r="X141" s="5">
        <v>8.0440634189724872E-2</v>
      </c>
      <c r="Y141" s="5">
        <v>0.21676974112974051</v>
      </c>
      <c r="Z141" s="5">
        <v>2.4229106683652069E-2</v>
      </c>
      <c r="AA141" s="5">
        <v>3.4082276735003907E-2</v>
      </c>
      <c r="AB141" s="5">
        <v>3.6020605269696075E-2</v>
      </c>
      <c r="AC141" s="5" t="s">
        <v>438</v>
      </c>
      <c r="AD141" s="5">
        <v>0.58537521747703392</v>
      </c>
      <c r="AE141" s="17">
        <f t="shared" si="16"/>
        <v>0.56114611079338184</v>
      </c>
      <c r="AF141" s="5">
        <v>-0.1</v>
      </c>
      <c r="AG141" s="18" t="s">
        <v>158</v>
      </c>
      <c r="AH141" s="279">
        <v>9.8341049382716044</v>
      </c>
      <c r="AI141" s="280">
        <v>-0.5</v>
      </c>
      <c r="AJ141" s="280">
        <v>-0.2</v>
      </c>
      <c r="AK141" s="280">
        <v>-0.02</v>
      </c>
      <c r="AL141" s="280">
        <v>-0.1</v>
      </c>
      <c r="AM141" s="280">
        <v>-0.1</v>
      </c>
      <c r="AN141" s="280">
        <v>0.48894032921810698</v>
      </c>
      <c r="AO141" s="280">
        <v>0.10751028806584362</v>
      </c>
      <c r="AP141" s="280">
        <v>-0.05</v>
      </c>
      <c r="AQ141" s="280">
        <v>0.30932784636488336</v>
      </c>
      <c r="AR141" s="280">
        <v>6.3237311385459516E-2</v>
      </c>
      <c r="AS141" s="5" t="s">
        <v>158</v>
      </c>
      <c r="AT141" s="5" t="s">
        <v>158</v>
      </c>
      <c r="AU141" s="5" t="s">
        <v>158</v>
      </c>
      <c r="AV141" s="5" t="s">
        <v>158</v>
      </c>
      <c r="AW141" s="5" t="s">
        <v>158</v>
      </c>
      <c r="BC141" s="5">
        <v>170.29438510392612</v>
      </c>
      <c r="BD141" s="5" t="s">
        <v>480</v>
      </c>
      <c r="BE141" s="5" t="s">
        <v>438</v>
      </c>
      <c r="BF141" s="5" t="s">
        <v>482</v>
      </c>
      <c r="BG141" s="5" t="s">
        <v>437</v>
      </c>
      <c r="BH141" s="5">
        <v>0.49740184757505779</v>
      </c>
      <c r="BI141" s="5">
        <v>5.5020929561200926</v>
      </c>
      <c r="BJ141" s="5">
        <v>1.5617782909930717</v>
      </c>
      <c r="BK141" s="5" t="s">
        <v>488</v>
      </c>
      <c r="BL141" s="5">
        <v>5.4318706697459582</v>
      </c>
      <c r="BM141" s="5">
        <v>0.2225534064665127</v>
      </c>
      <c r="BN141" s="17">
        <v>89</v>
      </c>
      <c r="BO141" s="5" t="s">
        <v>158</v>
      </c>
      <c r="BP141" s="5" t="s">
        <v>158</v>
      </c>
      <c r="BQ141" s="5" t="s">
        <v>158</v>
      </c>
      <c r="BR141" s="5" t="s">
        <v>158</v>
      </c>
      <c r="BS141" s="5" t="s">
        <v>158</v>
      </c>
      <c r="BT141" s="5" t="s">
        <v>158</v>
      </c>
      <c r="BU141" s="5" t="s">
        <v>158</v>
      </c>
      <c r="BV141" s="5" t="s">
        <v>158</v>
      </c>
      <c r="BW141" s="5" t="s">
        <v>158</v>
      </c>
      <c r="BX141" s="5" t="s">
        <v>158</v>
      </c>
      <c r="BY141" s="5" t="s">
        <v>158</v>
      </c>
      <c r="BZ141" s="5" t="s">
        <v>158</v>
      </c>
      <c r="CA141" s="5" t="s">
        <v>158</v>
      </c>
      <c r="CB141" s="5" t="s">
        <v>158</v>
      </c>
      <c r="CC141" s="5" t="s">
        <v>158</v>
      </c>
      <c r="CD141" s="5" t="s">
        <v>158</v>
      </c>
      <c r="CE141" s="5" t="s">
        <v>158</v>
      </c>
      <c r="CF141" s="5" t="s">
        <v>158</v>
      </c>
      <c r="CG141" s="5" t="s">
        <v>158</v>
      </c>
      <c r="CH141" s="5" t="s">
        <v>158</v>
      </c>
      <c r="CI141" s="17" t="s">
        <v>158</v>
      </c>
      <c r="CJ141" s="17" t="s">
        <v>158</v>
      </c>
      <c r="CK141" s="17" t="s">
        <v>158</v>
      </c>
      <c r="CL141" s="17" t="s">
        <v>158</v>
      </c>
      <c r="CM141" s="17" t="s">
        <v>158</v>
      </c>
      <c r="CN141" s="17" t="s">
        <v>158</v>
      </c>
      <c r="CO141" s="17" t="s">
        <v>158</v>
      </c>
      <c r="CP141" s="17" t="s">
        <v>158</v>
      </c>
      <c r="CQ141" s="17" t="s">
        <v>158</v>
      </c>
      <c r="CR141" s="17" t="s">
        <v>158</v>
      </c>
      <c r="CS141" s="17" t="s">
        <v>158</v>
      </c>
      <c r="CT141" s="17" t="s">
        <v>158</v>
      </c>
      <c r="CU141" s="17" t="s">
        <v>158</v>
      </c>
      <c r="CV141" s="17" t="s">
        <v>158</v>
      </c>
      <c r="CW141" s="17" t="s">
        <v>158</v>
      </c>
      <c r="CX141" s="17" t="s">
        <v>158</v>
      </c>
      <c r="CY141" s="67" t="s">
        <v>158</v>
      </c>
    </row>
    <row r="142" spans="1:103" s="294" customFormat="1" x14ac:dyDescent="0.2">
      <c r="A142" s="293" t="s">
        <v>32</v>
      </c>
      <c r="B142" s="294" t="s">
        <v>32</v>
      </c>
      <c r="C142" s="294" t="s">
        <v>31</v>
      </c>
      <c r="E142" s="295"/>
      <c r="F142" s="295"/>
      <c r="G142" s="296" t="s">
        <v>31</v>
      </c>
      <c r="H142" s="296">
        <v>2015</v>
      </c>
      <c r="I142" s="297" t="s">
        <v>3</v>
      </c>
      <c r="J142" s="297" t="s">
        <v>158</v>
      </c>
      <c r="K142" s="298" t="s">
        <v>158</v>
      </c>
      <c r="L142" s="299" t="s">
        <v>158</v>
      </c>
      <c r="M142" s="300">
        <v>0.04</v>
      </c>
      <c r="N142" s="300">
        <v>0.05</v>
      </c>
      <c r="O142" s="300">
        <v>0.04</v>
      </c>
      <c r="P142" s="300">
        <v>0.03</v>
      </c>
      <c r="Q142" s="300">
        <v>0.03</v>
      </c>
      <c r="R142" s="300">
        <v>0.03</v>
      </c>
      <c r="S142" s="300">
        <v>0.03</v>
      </c>
      <c r="T142" s="300" t="s">
        <v>158</v>
      </c>
      <c r="U142" s="301" t="s">
        <v>158</v>
      </c>
      <c r="V142" s="300">
        <v>2.5000000000000001E-2</v>
      </c>
      <c r="W142" s="300">
        <v>0.02</v>
      </c>
      <c r="X142" s="300">
        <v>0.02</v>
      </c>
      <c r="Y142" s="300">
        <v>0.02</v>
      </c>
      <c r="Z142" s="300">
        <v>2.5000000000000001E-2</v>
      </c>
      <c r="AA142" s="300">
        <v>2.5000000000000001E-2</v>
      </c>
      <c r="AB142" s="300">
        <v>2.5000000000000001E-2</v>
      </c>
      <c r="AC142" s="300">
        <v>0.1</v>
      </c>
      <c r="AD142" s="300" t="s">
        <v>158</v>
      </c>
      <c r="AE142" s="302">
        <v>0.1</v>
      </c>
      <c r="AF142" s="299">
        <v>0.1</v>
      </c>
      <c r="AG142" s="303" t="s">
        <v>158</v>
      </c>
      <c r="AH142" s="303">
        <v>0.1</v>
      </c>
      <c r="AI142" s="299">
        <v>0.1</v>
      </c>
      <c r="AJ142" s="299">
        <v>0.02</v>
      </c>
      <c r="AK142" s="299">
        <v>0.1</v>
      </c>
      <c r="AL142" s="299">
        <v>0.1</v>
      </c>
      <c r="AM142" s="299">
        <v>0.1</v>
      </c>
      <c r="AN142" s="299">
        <v>0.05</v>
      </c>
      <c r="AO142" s="299">
        <v>0.01</v>
      </c>
      <c r="AP142" s="299">
        <v>0.1</v>
      </c>
      <c r="AQ142" s="299">
        <v>0.02</v>
      </c>
      <c r="AR142" s="299">
        <v>0.1</v>
      </c>
      <c r="AS142" s="299" t="s">
        <v>158</v>
      </c>
      <c r="AT142" s="299" t="s">
        <v>158</v>
      </c>
      <c r="AU142" s="299" t="s">
        <v>158</v>
      </c>
      <c r="AV142" s="299" t="s">
        <v>158</v>
      </c>
      <c r="AW142" s="299" t="s">
        <v>158</v>
      </c>
      <c r="AX142" s="299"/>
      <c r="AY142" s="299"/>
      <c r="AZ142" s="299"/>
      <c r="BA142" s="299"/>
      <c r="BB142" s="299"/>
      <c r="BC142" s="299">
        <v>0.1</v>
      </c>
      <c r="BD142" s="299">
        <v>0.1</v>
      </c>
      <c r="BE142" s="299">
        <v>0.02</v>
      </c>
      <c r="BF142" s="299">
        <v>0.1</v>
      </c>
      <c r="BG142" s="299">
        <v>0.05</v>
      </c>
      <c r="BH142" s="299">
        <v>0.1</v>
      </c>
      <c r="BI142" s="299">
        <v>0.05</v>
      </c>
      <c r="BJ142" s="299">
        <v>0.01</v>
      </c>
      <c r="BK142" s="299">
        <v>0.1</v>
      </c>
      <c r="BL142" s="299">
        <v>0.02</v>
      </c>
      <c r="BM142" s="300">
        <v>0.04</v>
      </c>
      <c r="BN142" s="302"/>
      <c r="BO142" s="299" t="s">
        <v>158</v>
      </c>
      <c r="BP142" s="299" t="s">
        <v>158</v>
      </c>
      <c r="BQ142" s="299" t="s">
        <v>158</v>
      </c>
      <c r="BR142" s="299" t="s">
        <v>158</v>
      </c>
      <c r="BS142" s="299" t="s">
        <v>158</v>
      </c>
      <c r="BT142" s="299" t="s">
        <v>158</v>
      </c>
      <c r="BU142" s="299" t="s">
        <v>158</v>
      </c>
      <c r="BV142" s="299" t="s">
        <v>158</v>
      </c>
      <c r="BW142" s="299" t="s">
        <v>158</v>
      </c>
      <c r="BX142" s="299" t="s">
        <v>158</v>
      </c>
      <c r="BY142" s="299" t="s">
        <v>158</v>
      </c>
      <c r="BZ142" s="299" t="s">
        <v>158</v>
      </c>
      <c r="CA142" s="299" t="s">
        <v>158</v>
      </c>
      <c r="CB142" s="299" t="s">
        <v>158</v>
      </c>
      <c r="CC142" s="299" t="s">
        <v>158</v>
      </c>
      <c r="CD142" s="299" t="s">
        <v>158</v>
      </c>
      <c r="CE142" s="299" t="s">
        <v>158</v>
      </c>
      <c r="CF142" s="299" t="s">
        <v>158</v>
      </c>
      <c r="CG142" s="299" t="s">
        <v>158</v>
      </c>
      <c r="CH142" s="299" t="s">
        <v>158</v>
      </c>
      <c r="CI142" s="301" t="s">
        <v>158</v>
      </c>
      <c r="CJ142" s="301" t="s">
        <v>158</v>
      </c>
      <c r="CK142" s="301" t="s">
        <v>158</v>
      </c>
      <c r="CL142" s="301" t="s">
        <v>158</v>
      </c>
      <c r="CM142" s="301" t="s">
        <v>158</v>
      </c>
      <c r="CN142" s="301" t="s">
        <v>158</v>
      </c>
      <c r="CO142" s="301" t="s">
        <v>158</v>
      </c>
      <c r="CP142" s="301" t="s">
        <v>158</v>
      </c>
      <c r="CQ142" s="301" t="s">
        <v>158</v>
      </c>
      <c r="CR142" s="301" t="s">
        <v>158</v>
      </c>
      <c r="CS142" s="301" t="s">
        <v>158</v>
      </c>
      <c r="CT142" s="301" t="s">
        <v>158</v>
      </c>
      <c r="CU142" s="301" t="s">
        <v>158</v>
      </c>
      <c r="CV142" s="301" t="s">
        <v>158</v>
      </c>
      <c r="CW142" s="301" t="s">
        <v>158</v>
      </c>
      <c r="CX142" s="301" t="s">
        <v>158</v>
      </c>
      <c r="CY142" s="304" t="s">
        <v>158</v>
      </c>
    </row>
    <row r="143" spans="1:103" x14ac:dyDescent="0.2">
      <c r="A143" s="32" t="s">
        <v>22</v>
      </c>
      <c r="B143" s="14" t="s">
        <v>22</v>
      </c>
      <c r="C143" s="14" t="s">
        <v>20</v>
      </c>
      <c r="G143" s="28">
        <v>42251</v>
      </c>
      <c r="H143" s="16">
        <v>2015</v>
      </c>
      <c r="I143" s="135" t="s">
        <v>33</v>
      </c>
      <c r="J143" s="135">
        <v>10</v>
      </c>
      <c r="K143" s="136" t="s">
        <v>158</v>
      </c>
      <c r="L143" s="5" t="s">
        <v>158</v>
      </c>
      <c r="M143" s="5">
        <v>0.52</v>
      </c>
      <c r="N143" s="5">
        <v>1.3</v>
      </c>
      <c r="O143" s="5">
        <v>3</v>
      </c>
      <c r="P143" s="5">
        <v>2.4</v>
      </c>
      <c r="Q143" s="5">
        <v>5.5</v>
      </c>
      <c r="R143" s="5">
        <v>4.9000000000000004</v>
      </c>
      <c r="S143" s="5">
        <v>2.6</v>
      </c>
      <c r="T143" s="5">
        <f>SUM(M143:S143)</f>
        <v>20.220000000000002</v>
      </c>
      <c r="U143" s="17" t="s">
        <v>158</v>
      </c>
      <c r="V143" s="5" t="s">
        <v>445</v>
      </c>
      <c r="W143" s="5">
        <v>0.15</v>
      </c>
      <c r="X143" s="5">
        <v>0.1</v>
      </c>
      <c r="Y143" s="5">
        <v>0.16</v>
      </c>
      <c r="Z143" s="5" t="s">
        <v>445</v>
      </c>
      <c r="AA143" s="5">
        <v>0.05</v>
      </c>
      <c r="AB143" s="5">
        <v>3.1E-2</v>
      </c>
      <c r="AC143" s="5" t="s">
        <v>438</v>
      </c>
      <c r="AD143" s="5">
        <f>SUM(V143:AC143)</f>
        <v>0.49099999999999999</v>
      </c>
      <c r="AE143" s="17">
        <f>SUM(V143,W143,Y143,X143,AB143,AA143)</f>
        <v>0.49100000000000005</v>
      </c>
      <c r="AF143" s="5">
        <v>-0.1</v>
      </c>
      <c r="AG143" s="18" t="s">
        <v>158</v>
      </c>
      <c r="AH143" s="279">
        <v>17.810970636215334</v>
      </c>
      <c r="AI143" s="280">
        <v>-0.1</v>
      </c>
      <c r="AJ143" s="280">
        <v>-0.1</v>
      </c>
      <c r="AK143" s="280">
        <v>-0.02</v>
      </c>
      <c r="AL143" s="280">
        <v>-0.1</v>
      </c>
      <c r="AM143" s="280">
        <v>-0.1</v>
      </c>
      <c r="AN143" s="280">
        <v>0.58049806280587268</v>
      </c>
      <c r="AO143" s="280">
        <v>0.35098898858075034</v>
      </c>
      <c r="AP143" s="280">
        <v>-0.01</v>
      </c>
      <c r="AQ143" s="280">
        <v>0.62009074225122351</v>
      </c>
      <c r="AR143" s="280">
        <v>6.7546900489396419E-2</v>
      </c>
      <c r="AS143" s="5" t="s">
        <v>158</v>
      </c>
      <c r="AT143" s="5" t="s">
        <v>158</v>
      </c>
      <c r="AU143" s="5" t="s">
        <v>158</v>
      </c>
      <c r="AV143" s="5" t="s">
        <v>158</v>
      </c>
      <c r="AW143" s="5" t="s">
        <v>158</v>
      </c>
      <c r="BC143" s="5">
        <v>210</v>
      </c>
      <c r="BD143" s="5" t="s">
        <v>438</v>
      </c>
      <c r="BE143" s="5" t="s">
        <v>438</v>
      </c>
      <c r="BF143" s="5">
        <v>0.14761991279069767</v>
      </c>
      <c r="BG143" s="5" t="s">
        <v>438</v>
      </c>
      <c r="BH143" s="5">
        <v>0.2397937863372093</v>
      </c>
      <c r="BI143" s="5">
        <v>6.5649573037790701</v>
      </c>
      <c r="BJ143" s="5">
        <v>3.7922420058139537</v>
      </c>
      <c r="BK143" s="5" t="s">
        <v>484</v>
      </c>
      <c r="BL143" s="5">
        <v>7.8546239098837223</v>
      </c>
      <c r="BM143" s="5">
        <v>0.34111555232558138</v>
      </c>
      <c r="BN143" s="17">
        <v>110</v>
      </c>
      <c r="BO143" s="5" t="s">
        <v>158</v>
      </c>
      <c r="BP143" s="5" t="s">
        <v>158</v>
      </c>
      <c r="BQ143" s="5" t="s">
        <v>158</v>
      </c>
      <c r="BR143" s="5" t="s">
        <v>158</v>
      </c>
      <c r="BS143" s="5" t="s">
        <v>158</v>
      </c>
      <c r="BT143" s="5" t="s">
        <v>158</v>
      </c>
      <c r="BU143" s="5" t="s">
        <v>158</v>
      </c>
      <c r="BV143" s="5" t="s">
        <v>158</v>
      </c>
      <c r="BW143" s="5" t="s">
        <v>158</v>
      </c>
      <c r="BX143" s="5" t="s">
        <v>158</v>
      </c>
      <c r="BY143" s="5" t="s">
        <v>158</v>
      </c>
      <c r="BZ143" s="5" t="s">
        <v>158</v>
      </c>
      <c r="CA143" s="5" t="s">
        <v>158</v>
      </c>
      <c r="CB143" s="5" t="s">
        <v>158</v>
      </c>
      <c r="CC143" s="5" t="s">
        <v>158</v>
      </c>
      <c r="CD143" s="5" t="s">
        <v>158</v>
      </c>
      <c r="CE143" s="5" t="s">
        <v>158</v>
      </c>
      <c r="CF143" s="5" t="s">
        <v>158</v>
      </c>
      <c r="CG143" s="5" t="s">
        <v>158</v>
      </c>
      <c r="CH143" s="5" t="s">
        <v>158</v>
      </c>
      <c r="CI143" s="17" t="s">
        <v>158</v>
      </c>
      <c r="CJ143" s="17" t="s">
        <v>158</v>
      </c>
      <c r="CK143" s="17" t="s">
        <v>158</v>
      </c>
      <c r="CL143" s="17" t="s">
        <v>158</v>
      </c>
      <c r="CM143" s="17" t="s">
        <v>158</v>
      </c>
      <c r="CN143" s="17" t="s">
        <v>158</v>
      </c>
      <c r="CO143" s="17" t="s">
        <v>158</v>
      </c>
      <c r="CP143" s="17" t="s">
        <v>158</v>
      </c>
      <c r="CQ143" s="17" t="s">
        <v>158</v>
      </c>
      <c r="CR143" s="17" t="s">
        <v>158</v>
      </c>
      <c r="CS143" s="17" t="s">
        <v>158</v>
      </c>
      <c r="CT143" s="17" t="s">
        <v>158</v>
      </c>
      <c r="CU143" s="17" t="s">
        <v>158</v>
      </c>
      <c r="CV143" s="17" t="s">
        <v>158</v>
      </c>
      <c r="CW143" s="17" t="s">
        <v>158</v>
      </c>
      <c r="CX143" s="17" t="s">
        <v>158</v>
      </c>
      <c r="CY143" s="67" t="s">
        <v>158</v>
      </c>
    </row>
    <row r="144" spans="1:103" x14ac:dyDescent="0.2">
      <c r="A144" s="32" t="s">
        <v>112</v>
      </c>
      <c r="B144" s="14" t="s">
        <v>24</v>
      </c>
      <c r="C144" s="14" t="s">
        <v>20</v>
      </c>
      <c r="G144" s="28">
        <v>42244</v>
      </c>
      <c r="H144" s="16">
        <v>2015</v>
      </c>
      <c r="I144" s="135" t="s">
        <v>33</v>
      </c>
      <c r="J144" s="135">
        <v>10</v>
      </c>
      <c r="K144" s="136" t="s">
        <v>158</v>
      </c>
      <c r="L144" s="5" t="s">
        <v>158</v>
      </c>
      <c r="M144" s="5">
        <v>0.56999999999999995</v>
      </c>
      <c r="N144" s="5">
        <v>1.4</v>
      </c>
      <c r="O144" s="5">
        <v>3.4</v>
      </c>
      <c r="P144" s="5">
        <v>2.8</v>
      </c>
      <c r="Q144" s="5">
        <v>5.3</v>
      </c>
      <c r="R144" s="5">
        <v>4.5999999999999996</v>
      </c>
      <c r="S144" s="5">
        <v>2</v>
      </c>
      <c r="T144" s="5">
        <f t="shared" ref="T144:T152" si="17">SUM(M144:S144)</f>
        <v>20.07</v>
      </c>
      <c r="U144" s="17" t="s">
        <v>158</v>
      </c>
      <c r="V144" s="5" t="s">
        <v>472</v>
      </c>
      <c r="W144" s="5">
        <v>0.17</v>
      </c>
      <c r="X144" s="5">
        <v>5.8000000000000003E-2</v>
      </c>
      <c r="Y144" s="5">
        <v>9.0999999999999998E-2</v>
      </c>
      <c r="Z144" s="5" t="s">
        <v>472</v>
      </c>
      <c r="AA144" s="5">
        <v>3.9E-2</v>
      </c>
      <c r="AB144" s="5" t="s">
        <v>472</v>
      </c>
      <c r="AC144" s="5" t="s">
        <v>438</v>
      </c>
      <c r="AD144" s="5">
        <f t="shared" ref="AD144:AD152" si="18">SUM(V144:AC144)</f>
        <v>0.35799999999999998</v>
      </c>
      <c r="AE144" s="17">
        <f t="shared" si="16"/>
        <v>0.35799999999999998</v>
      </c>
      <c r="AF144" s="5">
        <v>-0.1</v>
      </c>
      <c r="AG144" s="18" t="s">
        <v>158</v>
      </c>
      <c r="AH144" s="279">
        <v>17.067451420029897</v>
      </c>
      <c r="AI144" s="280">
        <v>-0.1</v>
      </c>
      <c r="AJ144" s="280">
        <v>0.2</v>
      </c>
      <c r="AK144" s="280">
        <v>-0.02</v>
      </c>
      <c r="AL144" s="280">
        <v>-0.1</v>
      </c>
      <c r="AM144" s="280">
        <v>-0.1</v>
      </c>
      <c r="AN144" s="280">
        <v>1.1148659379671151</v>
      </c>
      <c r="AO144" s="280">
        <v>0.57291666666666663</v>
      </c>
      <c r="AP144" s="280">
        <v>-0.01</v>
      </c>
      <c r="AQ144" s="280">
        <v>1.2548439835575487</v>
      </c>
      <c r="AR144" s="280">
        <v>-0.02</v>
      </c>
      <c r="AS144" s="5" t="s">
        <v>158</v>
      </c>
      <c r="AT144" s="5" t="s">
        <v>158</v>
      </c>
      <c r="AU144" s="5" t="s">
        <v>158</v>
      </c>
      <c r="AV144" s="5" t="s">
        <v>158</v>
      </c>
      <c r="AW144" s="5" t="s">
        <v>158</v>
      </c>
      <c r="BC144" s="5">
        <v>200</v>
      </c>
      <c r="BD144" s="5" t="s">
        <v>438</v>
      </c>
      <c r="BE144" s="5" t="s">
        <v>438</v>
      </c>
      <c r="BF144" s="5">
        <v>0.28710087082728586</v>
      </c>
      <c r="BG144" s="5" t="s">
        <v>438</v>
      </c>
      <c r="BH144" s="5">
        <v>0.32290003628447023</v>
      </c>
      <c r="BI144" s="5">
        <v>10.093164912917272</v>
      </c>
      <c r="BJ144" s="5">
        <v>2.7707728592162555</v>
      </c>
      <c r="BK144" s="5" t="s">
        <v>484</v>
      </c>
      <c r="BL144" s="5">
        <v>10.510132438316401</v>
      </c>
      <c r="BM144" s="5">
        <v>0.1809687953555878</v>
      </c>
      <c r="BN144" s="17">
        <v>200</v>
      </c>
      <c r="BO144" s="5" t="s">
        <v>158</v>
      </c>
      <c r="BP144" s="5" t="s">
        <v>158</v>
      </c>
      <c r="BQ144" s="5" t="s">
        <v>158</v>
      </c>
      <c r="BR144" s="5" t="s">
        <v>158</v>
      </c>
      <c r="BS144" s="5" t="s">
        <v>158</v>
      </c>
      <c r="BT144" s="5" t="s">
        <v>158</v>
      </c>
      <c r="BU144" s="5" t="s">
        <v>158</v>
      </c>
      <c r="BV144" s="5" t="s">
        <v>158</v>
      </c>
      <c r="BW144" s="5" t="s">
        <v>158</v>
      </c>
      <c r="BX144" s="5" t="s">
        <v>158</v>
      </c>
      <c r="BY144" s="5" t="s">
        <v>158</v>
      </c>
      <c r="BZ144" s="5" t="s">
        <v>158</v>
      </c>
      <c r="CA144" s="5" t="s">
        <v>158</v>
      </c>
      <c r="CB144" s="5" t="s">
        <v>158</v>
      </c>
      <c r="CC144" s="5" t="s">
        <v>158</v>
      </c>
      <c r="CD144" s="5" t="s">
        <v>158</v>
      </c>
      <c r="CE144" s="5" t="s">
        <v>158</v>
      </c>
      <c r="CF144" s="5" t="s">
        <v>158</v>
      </c>
      <c r="CG144" s="5" t="s">
        <v>158</v>
      </c>
      <c r="CH144" s="5" t="s">
        <v>158</v>
      </c>
      <c r="CI144" s="17" t="s">
        <v>158</v>
      </c>
      <c r="CJ144" s="17" t="s">
        <v>158</v>
      </c>
      <c r="CK144" s="17" t="s">
        <v>158</v>
      </c>
      <c r="CL144" s="17" t="s">
        <v>158</v>
      </c>
      <c r="CM144" s="17" t="s">
        <v>158</v>
      </c>
      <c r="CN144" s="17" t="s">
        <v>158</v>
      </c>
      <c r="CO144" s="17" t="s">
        <v>158</v>
      </c>
      <c r="CP144" s="17" t="s">
        <v>158</v>
      </c>
      <c r="CQ144" s="17" t="s">
        <v>158</v>
      </c>
      <c r="CR144" s="17" t="s">
        <v>158</v>
      </c>
      <c r="CS144" s="17" t="s">
        <v>158</v>
      </c>
      <c r="CT144" s="17" t="s">
        <v>158</v>
      </c>
      <c r="CU144" s="17" t="s">
        <v>158</v>
      </c>
      <c r="CV144" s="17" t="s">
        <v>158</v>
      </c>
      <c r="CW144" s="17" t="s">
        <v>158</v>
      </c>
      <c r="CX144" s="17" t="s">
        <v>158</v>
      </c>
      <c r="CY144" s="67" t="s">
        <v>158</v>
      </c>
    </row>
    <row r="145" spans="1:103" x14ac:dyDescent="0.2">
      <c r="A145" s="32" t="s">
        <v>21</v>
      </c>
      <c r="B145" s="14" t="s">
        <v>21</v>
      </c>
      <c r="C145" s="14" t="s">
        <v>20</v>
      </c>
      <c r="G145" s="28">
        <v>42248</v>
      </c>
      <c r="H145" s="16">
        <v>2015</v>
      </c>
      <c r="I145" s="135" t="s">
        <v>33</v>
      </c>
      <c r="J145" s="135">
        <v>10</v>
      </c>
      <c r="K145" s="136" t="s">
        <v>158</v>
      </c>
      <c r="L145" s="5" t="s">
        <v>158</v>
      </c>
      <c r="M145" s="5" t="s">
        <v>421</v>
      </c>
      <c r="N145" s="5" t="s">
        <v>488</v>
      </c>
      <c r="O145" s="5">
        <v>0.6</v>
      </c>
      <c r="P145" s="5">
        <v>0.43</v>
      </c>
      <c r="Q145" s="5">
        <v>1.9</v>
      </c>
      <c r="R145" s="5">
        <v>1.5</v>
      </c>
      <c r="S145" s="5">
        <v>0.88</v>
      </c>
      <c r="T145" s="5">
        <f t="shared" si="17"/>
        <v>5.31</v>
      </c>
      <c r="U145" s="17" t="s">
        <v>158</v>
      </c>
      <c r="V145" s="5" t="s">
        <v>445</v>
      </c>
      <c r="W145" s="5">
        <v>6.0999999999999999E-2</v>
      </c>
      <c r="X145" s="5">
        <v>3.1E-2</v>
      </c>
      <c r="Y145" s="5">
        <v>5.5E-2</v>
      </c>
      <c r="Z145" s="5" t="s">
        <v>445</v>
      </c>
      <c r="AA145" s="5">
        <v>3.4000000000000002E-2</v>
      </c>
      <c r="AB145" s="5" t="s">
        <v>445</v>
      </c>
      <c r="AC145" s="5" t="s">
        <v>438</v>
      </c>
      <c r="AD145" s="5">
        <f t="shared" si="18"/>
        <v>0.18099999999999999</v>
      </c>
      <c r="AE145" s="17">
        <f t="shared" si="16"/>
        <v>0.18099999999999999</v>
      </c>
      <c r="AF145" s="5">
        <v>-0.1</v>
      </c>
      <c r="AG145" s="18" t="s">
        <v>158</v>
      </c>
      <c r="AH145" s="279">
        <v>29.020143739244862</v>
      </c>
      <c r="AI145" s="280">
        <v>-0.1</v>
      </c>
      <c r="AJ145" s="280">
        <v>-0.1</v>
      </c>
      <c r="AK145" s="280">
        <v>-0.02</v>
      </c>
      <c r="AL145" s="280">
        <v>-0.1</v>
      </c>
      <c r="AM145" s="280">
        <v>-0.1</v>
      </c>
      <c r="AN145" s="280">
        <v>1.0358867294260554</v>
      </c>
      <c r="AO145" s="280">
        <v>0.51245065290009106</v>
      </c>
      <c r="AP145" s="280">
        <v>-0.01</v>
      </c>
      <c r="AQ145" s="280">
        <v>0.65511185342646017</v>
      </c>
      <c r="AR145" s="280">
        <v>0.12324121874683672</v>
      </c>
      <c r="AS145" s="5" t="s">
        <v>158</v>
      </c>
      <c r="AT145" s="5" t="s">
        <v>158</v>
      </c>
      <c r="AU145" s="5" t="s">
        <v>158</v>
      </c>
      <c r="AV145" s="5" t="s">
        <v>158</v>
      </c>
      <c r="AW145" s="5" t="s">
        <v>158</v>
      </c>
      <c r="BC145" s="5">
        <v>520</v>
      </c>
      <c r="BD145" s="5" t="s">
        <v>438</v>
      </c>
      <c r="BE145" s="5" t="s">
        <v>438</v>
      </c>
      <c r="BF145" s="5">
        <v>0.55040733197556002</v>
      </c>
      <c r="BG145" s="5" t="s">
        <v>438</v>
      </c>
      <c r="BH145" s="5">
        <v>0.44802953156822811</v>
      </c>
      <c r="BI145" s="5">
        <v>12.002754582484727</v>
      </c>
      <c r="BJ145" s="5">
        <v>8.9760692464358467</v>
      </c>
      <c r="BK145" s="5" t="s">
        <v>484</v>
      </c>
      <c r="BL145" s="5">
        <v>7.6846945010183294</v>
      </c>
      <c r="BM145" s="5">
        <v>0.49439918533604893</v>
      </c>
      <c r="BN145" s="17">
        <v>70</v>
      </c>
      <c r="BO145" s="5" t="s">
        <v>158</v>
      </c>
      <c r="BP145" s="5" t="s">
        <v>158</v>
      </c>
      <c r="BQ145" s="5" t="s">
        <v>158</v>
      </c>
      <c r="BR145" s="5" t="s">
        <v>158</v>
      </c>
      <c r="BS145" s="5" t="s">
        <v>158</v>
      </c>
      <c r="BT145" s="5" t="s">
        <v>158</v>
      </c>
      <c r="BU145" s="5" t="s">
        <v>158</v>
      </c>
      <c r="BV145" s="5" t="s">
        <v>158</v>
      </c>
      <c r="BW145" s="5" t="s">
        <v>158</v>
      </c>
      <c r="BX145" s="5" t="s">
        <v>158</v>
      </c>
      <c r="BY145" s="5" t="s">
        <v>158</v>
      </c>
      <c r="BZ145" s="5" t="s">
        <v>158</v>
      </c>
      <c r="CA145" s="5" t="s">
        <v>158</v>
      </c>
      <c r="CB145" s="5" t="s">
        <v>158</v>
      </c>
      <c r="CC145" s="5" t="s">
        <v>158</v>
      </c>
      <c r="CD145" s="5" t="s">
        <v>158</v>
      </c>
      <c r="CE145" s="5" t="s">
        <v>158</v>
      </c>
      <c r="CF145" s="5" t="s">
        <v>158</v>
      </c>
      <c r="CG145" s="5" t="s">
        <v>158</v>
      </c>
      <c r="CH145" s="5" t="s">
        <v>158</v>
      </c>
      <c r="CI145" s="17" t="s">
        <v>158</v>
      </c>
      <c r="CJ145" s="17" t="s">
        <v>158</v>
      </c>
      <c r="CK145" s="17" t="s">
        <v>158</v>
      </c>
      <c r="CL145" s="17" t="s">
        <v>158</v>
      </c>
      <c r="CM145" s="17" t="s">
        <v>158</v>
      </c>
      <c r="CN145" s="17" t="s">
        <v>158</v>
      </c>
      <c r="CO145" s="17" t="s">
        <v>158</v>
      </c>
      <c r="CP145" s="17" t="s">
        <v>158</v>
      </c>
      <c r="CQ145" s="17" t="s">
        <v>158</v>
      </c>
      <c r="CR145" s="17" t="s">
        <v>158</v>
      </c>
      <c r="CS145" s="17" t="s">
        <v>158</v>
      </c>
      <c r="CT145" s="17" t="s">
        <v>158</v>
      </c>
      <c r="CU145" s="17" t="s">
        <v>158</v>
      </c>
      <c r="CV145" s="17" t="s">
        <v>158</v>
      </c>
      <c r="CW145" s="17" t="s">
        <v>158</v>
      </c>
      <c r="CX145" s="17" t="s">
        <v>158</v>
      </c>
      <c r="CY145" s="67" t="s">
        <v>158</v>
      </c>
    </row>
    <row r="146" spans="1:103" hidden="1" x14ac:dyDescent="0.2">
      <c r="A146" s="32" t="s">
        <v>23</v>
      </c>
      <c r="B146" s="14" t="s">
        <v>115</v>
      </c>
      <c r="C146" s="14" t="s">
        <v>20</v>
      </c>
      <c r="D146" s="14" t="s">
        <v>124</v>
      </c>
      <c r="G146" s="28">
        <v>42298</v>
      </c>
      <c r="H146" s="16">
        <v>2015</v>
      </c>
      <c r="I146" s="135" t="s">
        <v>33</v>
      </c>
      <c r="J146" s="135">
        <v>10</v>
      </c>
      <c r="K146" s="136" t="s">
        <v>158</v>
      </c>
      <c r="L146" s="5" t="s">
        <v>158</v>
      </c>
      <c r="M146" s="5">
        <v>0.48</v>
      </c>
      <c r="N146" s="5">
        <v>2.2000000000000002</v>
      </c>
      <c r="O146" s="5">
        <v>5.3</v>
      </c>
      <c r="P146" s="5">
        <v>3.5</v>
      </c>
      <c r="Q146" s="5">
        <v>6.2</v>
      </c>
      <c r="R146" s="5">
        <v>5.9</v>
      </c>
      <c r="S146" s="5">
        <v>2.2999999999999998</v>
      </c>
      <c r="T146" s="5">
        <f t="shared" si="17"/>
        <v>25.88</v>
      </c>
      <c r="U146" s="17" t="s">
        <v>158</v>
      </c>
      <c r="V146" s="5" t="s">
        <v>445</v>
      </c>
      <c r="W146" s="5">
        <v>3.5999999999999997E-2</v>
      </c>
      <c r="X146" s="5" t="s">
        <v>473</v>
      </c>
      <c r="Y146" s="5">
        <v>3.9E-2</v>
      </c>
      <c r="Z146" s="5" t="s">
        <v>445</v>
      </c>
      <c r="AA146" s="5">
        <v>3.6999999999999998E-2</v>
      </c>
      <c r="AB146" s="5" t="s">
        <v>445</v>
      </c>
      <c r="AC146" s="5" t="s">
        <v>438</v>
      </c>
      <c r="AD146" s="5">
        <f t="shared" si="18"/>
        <v>0.11199999999999999</v>
      </c>
      <c r="AE146" s="17">
        <f t="shared" si="16"/>
        <v>0.11199999999999999</v>
      </c>
      <c r="AF146" s="5">
        <v>-0.1</v>
      </c>
      <c r="AG146" s="18" t="s">
        <v>158</v>
      </c>
      <c r="AH146" s="279">
        <v>16.593638896896323</v>
      </c>
      <c r="AI146" s="280">
        <v>-0.1</v>
      </c>
      <c r="AJ146" s="280">
        <v>-0.1</v>
      </c>
      <c r="AK146" s="280">
        <v>-0.02</v>
      </c>
      <c r="AL146" s="280">
        <v>-0.1</v>
      </c>
      <c r="AM146" s="280">
        <v>-0.1</v>
      </c>
      <c r="AN146" s="280">
        <v>0.87475016815604889</v>
      </c>
      <c r="AO146" s="280">
        <v>6.5580859037186495E-2</v>
      </c>
      <c r="AP146" s="280">
        <v>-0.01</v>
      </c>
      <c r="AQ146" s="280">
        <v>0.80732679926972228</v>
      </c>
      <c r="AR146" s="280">
        <v>0.16503315076390893</v>
      </c>
      <c r="AS146" s="5" t="s">
        <v>158</v>
      </c>
      <c r="AT146" s="5" t="s">
        <v>158</v>
      </c>
      <c r="AU146" s="5" t="s">
        <v>158</v>
      </c>
      <c r="AV146" s="5" t="s">
        <v>158</v>
      </c>
      <c r="AW146" s="5" t="s">
        <v>158</v>
      </c>
      <c r="BC146" s="17" t="s">
        <v>158</v>
      </c>
      <c r="BD146" s="17" t="s">
        <v>158</v>
      </c>
      <c r="BE146" s="17" t="s">
        <v>158</v>
      </c>
      <c r="BF146" s="17" t="s">
        <v>158</v>
      </c>
      <c r="BG146" s="17" t="s">
        <v>158</v>
      </c>
      <c r="BH146" s="17" t="s">
        <v>158</v>
      </c>
      <c r="BI146" s="17" t="s">
        <v>158</v>
      </c>
      <c r="BJ146" s="17" t="s">
        <v>158</v>
      </c>
      <c r="BK146" s="17" t="s">
        <v>158</v>
      </c>
      <c r="BL146" s="17" t="s">
        <v>158</v>
      </c>
      <c r="BM146" s="17" t="s">
        <v>158</v>
      </c>
      <c r="BN146" s="17">
        <v>520</v>
      </c>
      <c r="BO146" s="5" t="s">
        <v>158</v>
      </c>
      <c r="BP146" s="5" t="s">
        <v>158</v>
      </c>
      <c r="BQ146" s="5" t="s">
        <v>158</v>
      </c>
      <c r="BR146" s="5" t="s">
        <v>158</v>
      </c>
      <c r="BS146" s="5" t="s">
        <v>158</v>
      </c>
      <c r="BT146" s="5" t="s">
        <v>158</v>
      </c>
      <c r="BU146" s="5" t="s">
        <v>158</v>
      </c>
      <c r="BV146" s="5" t="s">
        <v>158</v>
      </c>
      <c r="BW146" s="5" t="s">
        <v>158</v>
      </c>
      <c r="BX146" s="5" t="s">
        <v>158</v>
      </c>
      <c r="BY146" s="5" t="s">
        <v>158</v>
      </c>
      <c r="BZ146" s="5" t="s">
        <v>158</v>
      </c>
      <c r="CA146" s="5" t="s">
        <v>158</v>
      </c>
      <c r="CB146" s="5" t="s">
        <v>158</v>
      </c>
      <c r="CC146" s="5" t="s">
        <v>158</v>
      </c>
      <c r="CD146" s="5" t="s">
        <v>158</v>
      </c>
      <c r="CE146" s="5" t="s">
        <v>158</v>
      </c>
      <c r="CF146" s="5" t="s">
        <v>158</v>
      </c>
      <c r="CG146" s="5" t="s">
        <v>158</v>
      </c>
      <c r="CH146" s="5" t="s">
        <v>158</v>
      </c>
      <c r="CI146" s="17" t="s">
        <v>158</v>
      </c>
      <c r="CJ146" s="17" t="s">
        <v>158</v>
      </c>
      <c r="CK146" s="17" t="s">
        <v>158</v>
      </c>
      <c r="CL146" s="17" t="s">
        <v>158</v>
      </c>
      <c r="CM146" s="17" t="s">
        <v>158</v>
      </c>
      <c r="CN146" s="17" t="s">
        <v>158</v>
      </c>
      <c r="CO146" s="17" t="s">
        <v>158</v>
      </c>
      <c r="CP146" s="17" t="s">
        <v>158</v>
      </c>
      <c r="CQ146" s="17" t="s">
        <v>158</v>
      </c>
      <c r="CR146" s="17" t="s">
        <v>158</v>
      </c>
      <c r="CS146" s="17" t="s">
        <v>158</v>
      </c>
      <c r="CT146" s="17" t="s">
        <v>158</v>
      </c>
      <c r="CU146" s="17" t="s">
        <v>158</v>
      </c>
      <c r="CV146" s="17" t="s">
        <v>158</v>
      </c>
      <c r="CW146" s="17" t="s">
        <v>158</v>
      </c>
      <c r="CX146" s="17" t="s">
        <v>158</v>
      </c>
      <c r="CY146" s="67" t="s">
        <v>158</v>
      </c>
    </row>
    <row r="147" spans="1:103" x14ac:dyDescent="0.2">
      <c r="A147" s="32" t="s">
        <v>23</v>
      </c>
      <c r="B147" s="14" t="s">
        <v>116</v>
      </c>
      <c r="C147" s="14" t="s">
        <v>20</v>
      </c>
      <c r="D147" s="14" t="s">
        <v>169</v>
      </c>
      <c r="G147" s="28">
        <v>42298</v>
      </c>
      <c r="H147" s="16">
        <v>2015</v>
      </c>
      <c r="I147" s="135" t="s">
        <v>33</v>
      </c>
      <c r="J147" s="135">
        <v>10</v>
      </c>
      <c r="K147" s="136" t="s">
        <v>158</v>
      </c>
      <c r="L147" s="5" t="s">
        <v>158</v>
      </c>
      <c r="M147" s="5">
        <v>0.35</v>
      </c>
      <c r="N147" s="5">
        <v>2</v>
      </c>
      <c r="O147" s="5">
        <v>5.9</v>
      </c>
      <c r="P147" s="5">
        <v>3.2</v>
      </c>
      <c r="Q147" s="5">
        <v>6.8</v>
      </c>
      <c r="R147" s="5">
        <v>5.8</v>
      </c>
      <c r="S147" s="5">
        <v>2.8</v>
      </c>
      <c r="T147" s="5">
        <f t="shared" si="17"/>
        <v>26.85</v>
      </c>
      <c r="U147" s="17" t="s">
        <v>158</v>
      </c>
      <c r="V147" s="5" t="s">
        <v>445</v>
      </c>
      <c r="W147" s="5">
        <v>5.2999999999999999E-2</v>
      </c>
      <c r="X147" s="5">
        <v>3.5000000000000003E-2</v>
      </c>
      <c r="Y147" s="5">
        <v>2.8000000000000001E-2</v>
      </c>
      <c r="Z147" s="5" t="s">
        <v>445</v>
      </c>
      <c r="AA147" s="5" t="s">
        <v>445</v>
      </c>
      <c r="AB147" s="5" t="s">
        <v>445</v>
      </c>
      <c r="AC147" s="5" t="s">
        <v>438</v>
      </c>
      <c r="AD147" s="5">
        <f t="shared" si="18"/>
        <v>0.11599999999999999</v>
      </c>
      <c r="AE147" s="17">
        <f t="shared" si="16"/>
        <v>0.11600000000000001</v>
      </c>
      <c r="AF147" s="5">
        <v>-0.1</v>
      </c>
      <c r="AG147" s="18" t="s">
        <v>158</v>
      </c>
      <c r="AH147" s="279">
        <v>15.003734827264239</v>
      </c>
      <c r="AI147" s="280">
        <v>-0.1</v>
      </c>
      <c r="AJ147" s="280">
        <v>-0.1</v>
      </c>
      <c r="AK147" s="280">
        <v>-0.02</v>
      </c>
      <c r="AL147" s="280">
        <v>-0.1</v>
      </c>
      <c r="AM147" s="280">
        <v>-0.1</v>
      </c>
      <c r="AN147" s="280">
        <v>1.0675560224089635</v>
      </c>
      <c r="AO147" s="280">
        <v>0.22432306255835666</v>
      </c>
      <c r="AP147" s="280">
        <v>-0.01</v>
      </c>
      <c r="AQ147" s="280">
        <v>0.78075163398692815</v>
      </c>
      <c r="AR147" s="280">
        <v>0.12394957983193279</v>
      </c>
      <c r="AS147" s="5" t="s">
        <v>158</v>
      </c>
      <c r="AT147" s="5" t="s">
        <v>158</v>
      </c>
      <c r="AU147" s="5" t="s">
        <v>158</v>
      </c>
      <c r="AV147" s="5" t="s">
        <v>158</v>
      </c>
      <c r="AW147" s="5" t="s">
        <v>158</v>
      </c>
      <c r="BC147" s="5">
        <v>140</v>
      </c>
      <c r="BD147" s="5" t="s">
        <v>438</v>
      </c>
      <c r="BE147" s="5" t="s">
        <v>438</v>
      </c>
      <c r="BF147" s="5">
        <v>0.1107142857142857</v>
      </c>
      <c r="BG147" s="5" t="s">
        <v>438</v>
      </c>
      <c r="BH147" s="5">
        <v>0.40404591836734693</v>
      </c>
      <c r="BI147" s="5">
        <v>4.6803112244897953</v>
      </c>
      <c r="BJ147" s="5">
        <v>1.7086734693877552</v>
      </c>
      <c r="BK147" s="5" t="s">
        <v>484</v>
      </c>
      <c r="BL147" s="5">
        <v>3.6187448979591839</v>
      </c>
      <c r="BM147" s="5">
        <v>0.4076530612244898</v>
      </c>
      <c r="BN147" s="17">
        <v>440</v>
      </c>
      <c r="BO147" s="5" t="s">
        <v>158</v>
      </c>
      <c r="BP147" s="5" t="s">
        <v>158</v>
      </c>
      <c r="BQ147" s="5" t="s">
        <v>158</v>
      </c>
      <c r="BR147" s="5" t="s">
        <v>158</v>
      </c>
      <c r="BS147" s="5" t="s">
        <v>158</v>
      </c>
      <c r="BT147" s="5" t="s">
        <v>158</v>
      </c>
      <c r="BU147" s="5" t="s">
        <v>158</v>
      </c>
      <c r="BV147" s="5" t="s">
        <v>158</v>
      </c>
      <c r="BW147" s="5" t="s">
        <v>158</v>
      </c>
      <c r="BX147" s="5" t="s">
        <v>158</v>
      </c>
      <c r="BY147" s="5" t="s">
        <v>158</v>
      </c>
      <c r="BZ147" s="5" t="s">
        <v>158</v>
      </c>
      <c r="CA147" s="5" t="s">
        <v>158</v>
      </c>
      <c r="CB147" s="5" t="s">
        <v>158</v>
      </c>
      <c r="CC147" s="5" t="s">
        <v>158</v>
      </c>
      <c r="CD147" s="5" t="s">
        <v>158</v>
      </c>
      <c r="CE147" s="5" t="s">
        <v>158</v>
      </c>
      <c r="CF147" s="5" t="s">
        <v>158</v>
      </c>
      <c r="CG147" s="5" t="s">
        <v>158</v>
      </c>
      <c r="CH147" s="5" t="s">
        <v>158</v>
      </c>
      <c r="CI147" s="17" t="s">
        <v>158</v>
      </c>
      <c r="CJ147" s="17" t="s">
        <v>158</v>
      </c>
      <c r="CK147" s="17" t="s">
        <v>158</v>
      </c>
      <c r="CL147" s="17" t="s">
        <v>158</v>
      </c>
      <c r="CM147" s="17" t="s">
        <v>158</v>
      </c>
      <c r="CN147" s="17" t="s">
        <v>158</v>
      </c>
      <c r="CO147" s="17" t="s">
        <v>158</v>
      </c>
      <c r="CP147" s="17" t="s">
        <v>158</v>
      </c>
      <c r="CQ147" s="17" t="s">
        <v>158</v>
      </c>
      <c r="CR147" s="17" t="s">
        <v>158</v>
      </c>
      <c r="CS147" s="17" t="s">
        <v>158</v>
      </c>
      <c r="CT147" s="17" t="s">
        <v>158</v>
      </c>
      <c r="CU147" s="17" t="s">
        <v>158</v>
      </c>
      <c r="CV147" s="17" t="s">
        <v>158</v>
      </c>
      <c r="CW147" s="17" t="s">
        <v>158</v>
      </c>
      <c r="CX147" s="17" t="s">
        <v>158</v>
      </c>
      <c r="CY147" s="67" t="s">
        <v>158</v>
      </c>
    </row>
    <row r="148" spans="1:103" x14ac:dyDescent="0.2">
      <c r="A148" s="32" t="s">
        <v>5</v>
      </c>
      <c r="B148" s="14" t="s">
        <v>5</v>
      </c>
      <c r="C148" s="14" t="s">
        <v>20</v>
      </c>
      <c r="G148" s="28">
        <v>42264</v>
      </c>
      <c r="H148" s="16">
        <v>2015</v>
      </c>
      <c r="I148" s="135" t="s">
        <v>33</v>
      </c>
      <c r="J148" s="135">
        <v>10</v>
      </c>
      <c r="K148" s="136" t="s">
        <v>158</v>
      </c>
      <c r="L148" s="5" t="s">
        <v>158</v>
      </c>
      <c r="M148" s="5">
        <v>0.79</v>
      </c>
      <c r="N148" s="5">
        <v>1.8</v>
      </c>
      <c r="O148" s="5">
        <v>3.3</v>
      </c>
      <c r="P148" s="5">
        <v>2.5</v>
      </c>
      <c r="Q148" s="5">
        <v>3.6</v>
      </c>
      <c r="R148" s="5">
        <v>3.5</v>
      </c>
      <c r="S148" s="5">
        <v>1.4</v>
      </c>
      <c r="T148" s="5">
        <f t="shared" si="17"/>
        <v>16.89</v>
      </c>
      <c r="U148" s="17" t="s">
        <v>158</v>
      </c>
      <c r="V148" s="5" t="s">
        <v>440</v>
      </c>
      <c r="W148" s="5">
        <v>0.14000000000000001</v>
      </c>
      <c r="X148" s="5">
        <v>6.9000000000000006E-2</v>
      </c>
      <c r="Y148" s="5">
        <v>0.14000000000000001</v>
      </c>
      <c r="Z148" s="5" t="s">
        <v>440</v>
      </c>
      <c r="AA148" s="5">
        <v>4.1000000000000002E-2</v>
      </c>
      <c r="AB148" s="5" t="s">
        <v>440</v>
      </c>
      <c r="AC148" s="5" t="s">
        <v>438</v>
      </c>
      <c r="AD148" s="5">
        <f t="shared" si="18"/>
        <v>0.39</v>
      </c>
      <c r="AE148" s="17">
        <f t="shared" si="16"/>
        <v>0.39</v>
      </c>
      <c r="AF148" s="5">
        <v>-0.1</v>
      </c>
      <c r="AG148" s="18" t="s">
        <v>158</v>
      </c>
      <c r="AH148" s="279">
        <v>14.906136455389584</v>
      </c>
      <c r="AI148" s="280">
        <v>-0.1</v>
      </c>
      <c r="AJ148" s="280">
        <v>-0.1</v>
      </c>
      <c r="AK148" s="280">
        <v>-0.02</v>
      </c>
      <c r="AL148" s="280">
        <v>-0.1</v>
      </c>
      <c r="AM148" s="280">
        <v>-0.1</v>
      </c>
      <c r="AN148" s="280">
        <v>0.44545064594267264</v>
      </c>
      <c r="AO148" s="280">
        <v>0.2152301170771094</v>
      </c>
      <c r="AP148" s="280">
        <v>-0.01</v>
      </c>
      <c r="AQ148" s="280">
        <v>0.41399374243035925</v>
      </c>
      <c r="AR148" s="280">
        <v>8.8564796124343967E-2</v>
      </c>
      <c r="AS148" s="5" t="s">
        <v>158</v>
      </c>
      <c r="AT148" s="5" t="s">
        <v>158</v>
      </c>
      <c r="AU148" s="5" t="s">
        <v>158</v>
      </c>
      <c r="AV148" s="5" t="s">
        <v>158</v>
      </c>
      <c r="AW148" s="5" t="s">
        <v>158</v>
      </c>
      <c r="BC148" s="5">
        <v>210</v>
      </c>
      <c r="BD148" s="5" t="s">
        <v>438</v>
      </c>
      <c r="BE148" s="5" t="s">
        <v>438</v>
      </c>
      <c r="BF148" s="5">
        <v>0.19270087916581477</v>
      </c>
      <c r="BG148" s="5" t="s">
        <v>438</v>
      </c>
      <c r="BH148" s="5">
        <v>0.40683398078102639</v>
      </c>
      <c r="BI148" s="5">
        <v>6.4677008791658146</v>
      </c>
      <c r="BJ148" s="5">
        <v>3.9404007360457989</v>
      </c>
      <c r="BK148" s="5" t="s">
        <v>484</v>
      </c>
      <c r="BL148" s="5">
        <v>6.2220098139439788</v>
      </c>
      <c r="BM148" s="5">
        <v>0.80300552034348804</v>
      </c>
      <c r="BN148" s="17">
        <v>71</v>
      </c>
      <c r="BO148" s="5" t="s">
        <v>158</v>
      </c>
      <c r="BP148" s="5" t="s">
        <v>158</v>
      </c>
      <c r="BQ148" s="5" t="s">
        <v>158</v>
      </c>
      <c r="BR148" s="5" t="s">
        <v>158</v>
      </c>
      <c r="BS148" s="5" t="s">
        <v>158</v>
      </c>
      <c r="BT148" s="5" t="s">
        <v>158</v>
      </c>
      <c r="BU148" s="5" t="s">
        <v>158</v>
      </c>
      <c r="BV148" s="5" t="s">
        <v>158</v>
      </c>
      <c r="BW148" s="5" t="s">
        <v>158</v>
      </c>
      <c r="BX148" s="5" t="s">
        <v>158</v>
      </c>
      <c r="BY148" s="5" t="s">
        <v>158</v>
      </c>
      <c r="BZ148" s="5" t="s">
        <v>158</v>
      </c>
      <c r="CA148" s="5" t="s">
        <v>158</v>
      </c>
      <c r="CB148" s="5" t="s">
        <v>158</v>
      </c>
      <c r="CC148" s="5" t="s">
        <v>158</v>
      </c>
      <c r="CD148" s="5" t="s">
        <v>158</v>
      </c>
      <c r="CE148" s="5" t="s">
        <v>158</v>
      </c>
      <c r="CF148" s="5" t="s">
        <v>158</v>
      </c>
      <c r="CG148" s="5" t="s">
        <v>158</v>
      </c>
      <c r="CH148" s="5" t="s">
        <v>158</v>
      </c>
      <c r="CI148" s="17" t="s">
        <v>158</v>
      </c>
      <c r="CJ148" s="17" t="s">
        <v>158</v>
      </c>
      <c r="CK148" s="17" t="s">
        <v>158</v>
      </c>
      <c r="CL148" s="17" t="s">
        <v>158</v>
      </c>
      <c r="CM148" s="17" t="s">
        <v>158</v>
      </c>
      <c r="CN148" s="17" t="s">
        <v>158</v>
      </c>
      <c r="CO148" s="17" t="s">
        <v>158</v>
      </c>
      <c r="CP148" s="17" t="s">
        <v>158</v>
      </c>
      <c r="CQ148" s="17" t="s">
        <v>158</v>
      </c>
      <c r="CR148" s="17" t="s">
        <v>158</v>
      </c>
      <c r="CS148" s="17" t="s">
        <v>158</v>
      </c>
      <c r="CT148" s="17" t="s">
        <v>158</v>
      </c>
      <c r="CU148" s="17" t="s">
        <v>158</v>
      </c>
      <c r="CV148" s="17" t="s">
        <v>158</v>
      </c>
      <c r="CW148" s="17" t="s">
        <v>158</v>
      </c>
      <c r="CX148" s="17" t="s">
        <v>158</v>
      </c>
      <c r="CY148" s="67" t="s">
        <v>158</v>
      </c>
    </row>
    <row r="149" spans="1:103" x14ac:dyDescent="0.2">
      <c r="A149" s="32" t="s">
        <v>25</v>
      </c>
      <c r="B149" s="14" t="s">
        <v>25</v>
      </c>
      <c r="C149" s="14" t="s">
        <v>20</v>
      </c>
      <c r="G149" s="28">
        <v>42264</v>
      </c>
      <c r="H149" s="16">
        <v>2015</v>
      </c>
      <c r="I149" s="135" t="s">
        <v>33</v>
      </c>
      <c r="J149" s="135">
        <v>10</v>
      </c>
      <c r="K149" s="136" t="s">
        <v>158</v>
      </c>
      <c r="L149" s="5" t="s">
        <v>158</v>
      </c>
      <c r="M149" s="5" t="s">
        <v>421</v>
      </c>
      <c r="N149" s="5">
        <v>0.15</v>
      </c>
      <c r="O149" s="5">
        <v>0.86</v>
      </c>
      <c r="P149" s="5">
        <v>0.66</v>
      </c>
      <c r="Q149" s="5">
        <v>2.7</v>
      </c>
      <c r="R149" s="5">
        <v>2</v>
      </c>
      <c r="S149" s="5">
        <v>1.1000000000000001</v>
      </c>
      <c r="T149" s="5">
        <f t="shared" si="17"/>
        <v>7.4700000000000006</v>
      </c>
      <c r="U149" s="17" t="s">
        <v>158</v>
      </c>
      <c r="V149" s="5" t="s">
        <v>440</v>
      </c>
      <c r="W149" s="5">
        <v>0.11</v>
      </c>
      <c r="X149" s="5">
        <v>6.9000000000000006E-2</v>
      </c>
      <c r="Y149" s="5">
        <v>0.13</v>
      </c>
      <c r="Z149" s="5" t="s">
        <v>440</v>
      </c>
      <c r="AA149" s="5">
        <v>4.9000000000000002E-2</v>
      </c>
      <c r="AB149" s="5" t="s">
        <v>440</v>
      </c>
      <c r="AC149" s="5" t="s">
        <v>438</v>
      </c>
      <c r="AD149" s="5">
        <f t="shared" si="18"/>
        <v>0.35799999999999998</v>
      </c>
      <c r="AE149" s="17">
        <f t="shared" si="16"/>
        <v>0.35799999999999998</v>
      </c>
      <c r="AF149" s="5">
        <v>-0.1</v>
      </c>
      <c r="AG149" s="18" t="s">
        <v>158</v>
      </c>
      <c r="AH149" s="279">
        <v>51.028662420382162</v>
      </c>
      <c r="AI149" s="280">
        <v>-0.1</v>
      </c>
      <c r="AJ149" s="280">
        <v>-0.1</v>
      </c>
      <c r="AK149" s="280">
        <v>-0.02</v>
      </c>
      <c r="AL149" s="280">
        <v>-0.1</v>
      </c>
      <c r="AM149" s="280">
        <v>-0.1</v>
      </c>
      <c r="AN149" s="280">
        <v>1.7126884288747348</v>
      </c>
      <c r="AO149" s="280">
        <v>0.62234607218683646</v>
      </c>
      <c r="AP149" s="280">
        <v>-0.01</v>
      </c>
      <c r="AQ149" s="280">
        <v>0.82079087048832278</v>
      </c>
      <c r="AR149" s="280">
        <v>9.3152866242038238E-2</v>
      </c>
      <c r="AS149" s="5" t="s">
        <v>158</v>
      </c>
      <c r="AT149" s="5" t="s">
        <v>158</v>
      </c>
      <c r="AU149" s="5" t="s">
        <v>158</v>
      </c>
      <c r="AV149" s="5" t="s">
        <v>158</v>
      </c>
      <c r="AW149" s="5" t="s">
        <v>158</v>
      </c>
      <c r="BC149" s="5">
        <v>750</v>
      </c>
      <c r="BD149" s="5" t="s">
        <v>438</v>
      </c>
      <c r="BE149" s="5" t="s">
        <v>438</v>
      </c>
      <c r="BF149" s="5">
        <v>0.52939441604404236</v>
      </c>
      <c r="BG149" s="5" t="s">
        <v>438</v>
      </c>
      <c r="BH149" s="5">
        <v>0.46398446716476593</v>
      </c>
      <c r="BI149" s="5">
        <v>22.008164569406212</v>
      </c>
      <c r="BJ149" s="5">
        <v>11.398446716476601</v>
      </c>
      <c r="BK149" s="5" t="s">
        <v>484</v>
      </c>
      <c r="BL149" s="5">
        <v>9.9354797483287438</v>
      </c>
      <c r="BM149" s="5">
        <v>0.60312622886354694</v>
      </c>
      <c r="BN149" s="17">
        <v>140</v>
      </c>
      <c r="BO149" s="5" t="s">
        <v>158</v>
      </c>
      <c r="BP149" s="5" t="s">
        <v>158</v>
      </c>
      <c r="BQ149" s="5" t="s">
        <v>158</v>
      </c>
      <c r="BR149" s="5" t="s">
        <v>158</v>
      </c>
      <c r="BS149" s="5" t="s">
        <v>158</v>
      </c>
      <c r="BT149" s="5" t="s">
        <v>158</v>
      </c>
      <c r="BU149" s="5" t="s">
        <v>158</v>
      </c>
      <c r="BV149" s="5" t="s">
        <v>158</v>
      </c>
      <c r="BW149" s="5" t="s">
        <v>158</v>
      </c>
      <c r="BX149" s="5" t="s">
        <v>158</v>
      </c>
      <c r="BY149" s="5" t="s">
        <v>158</v>
      </c>
      <c r="BZ149" s="5" t="s">
        <v>158</v>
      </c>
      <c r="CA149" s="5" t="s">
        <v>158</v>
      </c>
      <c r="CB149" s="5" t="s">
        <v>158</v>
      </c>
      <c r="CC149" s="5" t="s">
        <v>158</v>
      </c>
      <c r="CD149" s="5" t="s">
        <v>158</v>
      </c>
      <c r="CE149" s="5" t="s">
        <v>158</v>
      </c>
      <c r="CF149" s="5" t="s">
        <v>158</v>
      </c>
      <c r="CG149" s="5" t="s">
        <v>158</v>
      </c>
      <c r="CH149" s="5" t="s">
        <v>158</v>
      </c>
      <c r="CI149" s="17" t="s">
        <v>158</v>
      </c>
      <c r="CJ149" s="17" t="s">
        <v>158</v>
      </c>
      <c r="CK149" s="17" t="s">
        <v>158</v>
      </c>
      <c r="CL149" s="17" t="s">
        <v>158</v>
      </c>
      <c r="CM149" s="17" t="s">
        <v>158</v>
      </c>
      <c r="CN149" s="17" t="s">
        <v>158</v>
      </c>
      <c r="CO149" s="17" t="s">
        <v>158</v>
      </c>
      <c r="CP149" s="17" t="s">
        <v>158</v>
      </c>
      <c r="CQ149" s="17" t="s">
        <v>158</v>
      </c>
      <c r="CR149" s="17" t="s">
        <v>158</v>
      </c>
      <c r="CS149" s="17" t="s">
        <v>158</v>
      </c>
      <c r="CT149" s="17" t="s">
        <v>158</v>
      </c>
      <c r="CU149" s="17" t="s">
        <v>158</v>
      </c>
      <c r="CV149" s="17" t="s">
        <v>158</v>
      </c>
      <c r="CW149" s="17" t="s">
        <v>158</v>
      </c>
      <c r="CX149" s="17" t="s">
        <v>158</v>
      </c>
      <c r="CY149" s="67" t="s">
        <v>158</v>
      </c>
    </row>
    <row r="150" spans="1:103" x14ac:dyDescent="0.2">
      <c r="A150" s="32" t="s">
        <v>26</v>
      </c>
      <c r="B150" s="14" t="s">
        <v>26</v>
      </c>
      <c r="C150" s="14" t="s">
        <v>20</v>
      </c>
      <c r="G150" s="28">
        <v>42264</v>
      </c>
      <c r="H150" s="16">
        <v>2015</v>
      </c>
      <c r="I150" s="135" t="s">
        <v>33</v>
      </c>
      <c r="J150" s="135">
        <v>10</v>
      </c>
      <c r="K150" s="136" t="s">
        <v>158</v>
      </c>
      <c r="L150" s="5" t="s">
        <v>158</v>
      </c>
      <c r="M150" s="5" t="s">
        <v>421</v>
      </c>
      <c r="N150" s="5">
        <v>0.05</v>
      </c>
      <c r="O150" s="5">
        <v>0.34</v>
      </c>
      <c r="P150" s="5">
        <v>0.31</v>
      </c>
      <c r="Q150" s="5">
        <v>0.98</v>
      </c>
      <c r="R150" s="5">
        <v>0.83</v>
      </c>
      <c r="S150" s="5">
        <v>0.56000000000000005</v>
      </c>
      <c r="T150" s="5">
        <f t="shared" si="17"/>
        <v>3.07</v>
      </c>
      <c r="U150" s="17" t="s">
        <v>158</v>
      </c>
      <c r="V150" s="5" t="s">
        <v>472</v>
      </c>
      <c r="W150" s="5">
        <v>2.1000000000000001E-2</v>
      </c>
      <c r="X150" s="5" t="s">
        <v>473</v>
      </c>
      <c r="Y150" s="5">
        <v>3.7000000000000005E-2</v>
      </c>
      <c r="Z150" s="5" t="s">
        <v>472</v>
      </c>
      <c r="AA150" s="5" t="s">
        <v>472</v>
      </c>
      <c r="AB150" s="5" t="s">
        <v>472</v>
      </c>
      <c r="AC150" s="5" t="s">
        <v>438</v>
      </c>
      <c r="AD150" s="5">
        <f t="shared" si="18"/>
        <v>5.800000000000001E-2</v>
      </c>
      <c r="AE150" s="17">
        <f t="shared" si="16"/>
        <v>5.800000000000001E-2</v>
      </c>
      <c r="AF150" s="5">
        <v>-0.1</v>
      </c>
      <c r="AG150" s="18" t="s">
        <v>158</v>
      </c>
      <c r="AH150" s="279">
        <v>5.1376970664538018</v>
      </c>
      <c r="AI150" s="280">
        <v>-0.1</v>
      </c>
      <c r="AJ150" s="280">
        <v>-0.1</v>
      </c>
      <c r="AK150" s="280">
        <v>-0.02</v>
      </c>
      <c r="AL150" s="280">
        <v>-0.1</v>
      </c>
      <c r="AM150" s="280">
        <v>0.13069497106365996</v>
      </c>
      <c r="AN150" s="280">
        <v>0.43040560766314112</v>
      </c>
      <c r="AO150" s="280">
        <v>0.12796846936739173</v>
      </c>
      <c r="AP150" s="280">
        <v>-0.01</v>
      </c>
      <c r="AQ150" s="280">
        <v>0.28156555577728992</v>
      </c>
      <c r="AR150" s="280">
        <v>-0.02</v>
      </c>
      <c r="AS150" s="5" t="s">
        <v>158</v>
      </c>
      <c r="AT150" s="5" t="s">
        <v>158</v>
      </c>
      <c r="AU150" s="5" t="s">
        <v>158</v>
      </c>
      <c r="AV150" s="5" t="s">
        <v>158</v>
      </c>
      <c r="AW150" s="5" t="s">
        <v>158</v>
      </c>
      <c r="BC150" s="5">
        <v>65.723857868020303</v>
      </c>
      <c r="BD150" s="5" t="s">
        <v>438</v>
      </c>
      <c r="BE150" s="5" t="s">
        <v>438</v>
      </c>
      <c r="BF150" s="5">
        <v>0.12842639593908631</v>
      </c>
      <c r="BG150" s="5" t="s">
        <v>438</v>
      </c>
      <c r="BH150" s="5">
        <v>1.2263604060913704</v>
      </c>
      <c r="BI150" s="5">
        <v>4.2301573604060909</v>
      </c>
      <c r="BJ150" s="5">
        <v>0.41472081218274109</v>
      </c>
      <c r="BK150" s="5">
        <v>0.4223350253807106</v>
      </c>
      <c r="BL150" s="5">
        <v>2.2602741116751273</v>
      </c>
      <c r="BM150" s="5">
        <v>9.4111675126903563E-2</v>
      </c>
      <c r="BN150" s="17">
        <v>45</v>
      </c>
      <c r="BO150" s="5" t="s">
        <v>158</v>
      </c>
      <c r="BP150" s="5" t="s">
        <v>158</v>
      </c>
      <c r="BQ150" s="5" t="s">
        <v>158</v>
      </c>
      <c r="BR150" s="5" t="s">
        <v>158</v>
      </c>
      <c r="BS150" s="5" t="s">
        <v>158</v>
      </c>
      <c r="BT150" s="5" t="s">
        <v>158</v>
      </c>
      <c r="BU150" s="5" t="s">
        <v>158</v>
      </c>
      <c r="BV150" s="5" t="s">
        <v>158</v>
      </c>
      <c r="BW150" s="5" t="s">
        <v>158</v>
      </c>
      <c r="BX150" s="5" t="s">
        <v>158</v>
      </c>
      <c r="BY150" s="5" t="s">
        <v>158</v>
      </c>
      <c r="BZ150" s="5" t="s">
        <v>158</v>
      </c>
      <c r="CA150" s="5" t="s">
        <v>158</v>
      </c>
      <c r="CB150" s="5" t="s">
        <v>158</v>
      </c>
      <c r="CC150" s="5" t="s">
        <v>158</v>
      </c>
      <c r="CD150" s="5" t="s">
        <v>158</v>
      </c>
      <c r="CE150" s="5" t="s">
        <v>158</v>
      </c>
      <c r="CF150" s="5" t="s">
        <v>158</v>
      </c>
      <c r="CG150" s="5" t="s">
        <v>158</v>
      </c>
      <c r="CH150" s="5" t="s">
        <v>158</v>
      </c>
      <c r="CI150" s="17" t="s">
        <v>158</v>
      </c>
      <c r="CJ150" s="17" t="s">
        <v>158</v>
      </c>
      <c r="CK150" s="17" t="s">
        <v>158</v>
      </c>
      <c r="CL150" s="17" t="s">
        <v>158</v>
      </c>
      <c r="CM150" s="17" t="s">
        <v>158</v>
      </c>
      <c r="CN150" s="17" t="s">
        <v>158</v>
      </c>
      <c r="CO150" s="17" t="s">
        <v>158</v>
      </c>
      <c r="CP150" s="17" t="s">
        <v>158</v>
      </c>
      <c r="CQ150" s="17" t="s">
        <v>158</v>
      </c>
      <c r="CR150" s="17" t="s">
        <v>158</v>
      </c>
      <c r="CS150" s="17" t="s">
        <v>158</v>
      </c>
      <c r="CT150" s="17" t="s">
        <v>158</v>
      </c>
      <c r="CU150" s="17" t="s">
        <v>158</v>
      </c>
      <c r="CV150" s="17" t="s">
        <v>158</v>
      </c>
      <c r="CW150" s="17" t="s">
        <v>158</v>
      </c>
      <c r="CX150" s="17" t="s">
        <v>158</v>
      </c>
      <c r="CY150" s="67" t="s">
        <v>158</v>
      </c>
    </row>
    <row r="151" spans="1:103" x14ac:dyDescent="0.2">
      <c r="A151" s="32" t="s">
        <v>81</v>
      </c>
      <c r="B151" s="14" t="s">
        <v>81</v>
      </c>
      <c r="C151" s="14" t="s">
        <v>20</v>
      </c>
      <c r="G151" s="28">
        <v>42264</v>
      </c>
      <c r="H151" s="16">
        <v>2015</v>
      </c>
      <c r="I151" s="135" t="s">
        <v>33</v>
      </c>
      <c r="J151" s="135">
        <v>10</v>
      </c>
      <c r="K151" s="136" t="s">
        <v>158</v>
      </c>
      <c r="L151" s="5" t="s">
        <v>158</v>
      </c>
      <c r="M151" s="5" t="s">
        <v>421</v>
      </c>
      <c r="N151" s="5">
        <v>0.17</v>
      </c>
      <c r="O151" s="5">
        <v>0.4</v>
      </c>
      <c r="P151" s="5">
        <v>0.24</v>
      </c>
      <c r="Q151" s="5">
        <v>0.63</v>
      </c>
      <c r="R151" s="5">
        <v>0.6</v>
      </c>
      <c r="S151" s="5">
        <v>0.32</v>
      </c>
      <c r="T151" s="5">
        <f t="shared" si="17"/>
        <v>2.36</v>
      </c>
      <c r="U151" s="17" t="s">
        <v>158</v>
      </c>
      <c r="V151" s="5" t="s">
        <v>440</v>
      </c>
      <c r="W151" s="5">
        <v>6.9000000000000006E-2</v>
      </c>
      <c r="X151" s="5" t="s">
        <v>482</v>
      </c>
      <c r="Y151" s="5">
        <v>7.0000000000000007E-2</v>
      </c>
      <c r="Z151" s="5" t="s">
        <v>440</v>
      </c>
      <c r="AA151" s="5">
        <v>3.1E-2</v>
      </c>
      <c r="AB151" s="5" t="s">
        <v>440</v>
      </c>
      <c r="AC151" s="5" t="s">
        <v>438</v>
      </c>
      <c r="AD151" s="5">
        <f t="shared" si="18"/>
        <v>0.17</v>
      </c>
      <c r="AE151" s="17">
        <f>SUM(V151,W151,Y151,X151,AB151,AA151)</f>
        <v>0.17</v>
      </c>
      <c r="AF151" s="5">
        <v>-0.1</v>
      </c>
      <c r="AG151" s="18" t="s">
        <v>158</v>
      </c>
      <c r="AH151" s="279">
        <v>8.8438274665344583</v>
      </c>
      <c r="AI151" s="280">
        <v>-0.1</v>
      </c>
      <c r="AJ151" s="280">
        <v>-0.1</v>
      </c>
      <c r="AK151" s="280">
        <v>-0.02</v>
      </c>
      <c r="AL151" s="280">
        <v>-0.1</v>
      </c>
      <c r="AM151" s="280">
        <v>-0.1</v>
      </c>
      <c r="AN151" s="280">
        <v>0.9205280118988598</v>
      </c>
      <c r="AO151" s="280">
        <v>1.0483391175012395</v>
      </c>
      <c r="AP151" s="280">
        <v>-0.01</v>
      </c>
      <c r="AQ151" s="280">
        <v>0.96200793257312844</v>
      </c>
      <c r="AR151" s="280">
        <v>0.32994546355974219</v>
      </c>
      <c r="AS151" s="5" t="s">
        <v>158</v>
      </c>
      <c r="AT151" s="5" t="s">
        <v>158</v>
      </c>
      <c r="AU151" s="5" t="s">
        <v>158</v>
      </c>
      <c r="AV151" s="5" t="s">
        <v>158</v>
      </c>
      <c r="AW151" s="5" t="s">
        <v>158</v>
      </c>
      <c r="BC151" s="5">
        <v>99.011305241521072</v>
      </c>
      <c r="BD151" s="5" t="s">
        <v>438</v>
      </c>
      <c r="BE151" s="5" t="s">
        <v>438</v>
      </c>
      <c r="BF151" s="5">
        <v>0.236896197327852</v>
      </c>
      <c r="BG151" s="5" t="s">
        <v>438</v>
      </c>
      <c r="BH151" s="5">
        <v>0.24045734840698868</v>
      </c>
      <c r="BI151" s="5">
        <v>9.7499537512846874</v>
      </c>
      <c r="BJ151" s="5">
        <v>13.005652620760536</v>
      </c>
      <c r="BK151" s="5" t="s">
        <v>484</v>
      </c>
      <c r="BL151" s="5">
        <v>9.6468345323741023</v>
      </c>
      <c r="BM151" s="5">
        <v>3.2697841726618706</v>
      </c>
      <c r="BN151" s="17">
        <v>27</v>
      </c>
      <c r="BO151" s="5" t="s">
        <v>158</v>
      </c>
      <c r="BP151" s="5" t="s">
        <v>158</v>
      </c>
      <c r="BQ151" s="5" t="s">
        <v>158</v>
      </c>
      <c r="BR151" s="5" t="s">
        <v>158</v>
      </c>
      <c r="BS151" s="5" t="s">
        <v>158</v>
      </c>
      <c r="BT151" s="5" t="s">
        <v>158</v>
      </c>
      <c r="BU151" s="5" t="s">
        <v>158</v>
      </c>
      <c r="BV151" s="5" t="s">
        <v>158</v>
      </c>
      <c r="BW151" s="5" t="s">
        <v>158</v>
      </c>
      <c r="BX151" s="5" t="s">
        <v>158</v>
      </c>
      <c r="BY151" s="5" t="s">
        <v>158</v>
      </c>
      <c r="BZ151" s="5" t="s">
        <v>158</v>
      </c>
      <c r="CA151" s="5" t="s">
        <v>158</v>
      </c>
      <c r="CB151" s="5" t="s">
        <v>158</v>
      </c>
      <c r="CC151" s="5" t="s">
        <v>158</v>
      </c>
      <c r="CD151" s="5" t="s">
        <v>158</v>
      </c>
      <c r="CE151" s="5" t="s">
        <v>158</v>
      </c>
      <c r="CF151" s="5" t="s">
        <v>158</v>
      </c>
      <c r="CG151" s="5" t="s">
        <v>158</v>
      </c>
      <c r="CH151" s="5" t="s">
        <v>158</v>
      </c>
      <c r="CI151" s="17" t="s">
        <v>158</v>
      </c>
      <c r="CJ151" s="17" t="s">
        <v>158</v>
      </c>
      <c r="CK151" s="17" t="s">
        <v>158</v>
      </c>
      <c r="CL151" s="17" t="s">
        <v>158</v>
      </c>
      <c r="CM151" s="17" t="s">
        <v>158</v>
      </c>
      <c r="CN151" s="17" t="s">
        <v>158</v>
      </c>
      <c r="CO151" s="17" t="s">
        <v>158</v>
      </c>
      <c r="CP151" s="17" t="s">
        <v>158</v>
      </c>
      <c r="CQ151" s="17" t="s">
        <v>158</v>
      </c>
      <c r="CR151" s="17" t="s">
        <v>158</v>
      </c>
      <c r="CS151" s="17" t="s">
        <v>158</v>
      </c>
      <c r="CT151" s="17" t="s">
        <v>158</v>
      </c>
      <c r="CU151" s="17" t="s">
        <v>158</v>
      </c>
      <c r="CV151" s="17" t="s">
        <v>158</v>
      </c>
      <c r="CW151" s="17" t="s">
        <v>158</v>
      </c>
      <c r="CX151" s="17" t="s">
        <v>158</v>
      </c>
      <c r="CY151" s="67" t="s">
        <v>158</v>
      </c>
    </row>
    <row r="152" spans="1:103" x14ac:dyDescent="0.2">
      <c r="A152" s="32" t="s">
        <v>6</v>
      </c>
      <c r="B152" s="14" t="s">
        <v>6</v>
      </c>
      <c r="C152" s="14" t="s">
        <v>20</v>
      </c>
      <c r="G152" s="28">
        <v>42256</v>
      </c>
      <c r="H152" s="16">
        <v>2015</v>
      </c>
      <c r="I152" s="135" t="s">
        <v>33</v>
      </c>
      <c r="J152" s="135">
        <v>10</v>
      </c>
      <c r="K152" s="136" t="s">
        <v>158</v>
      </c>
      <c r="L152" s="5" t="s">
        <v>158</v>
      </c>
      <c r="M152" s="5">
        <v>9.4E-2</v>
      </c>
      <c r="N152" s="5">
        <v>0.47</v>
      </c>
      <c r="O152" s="5">
        <v>2.5</v>
      </c>
      <c r="P152" s="5">
        <v>1.8</v>
      </c>
      <c r="Q152" s="5">
        <v>5.3</v>
      </c>
      <c r="R152" s="5">
        <v>4</v>
      </c>
      <c r="S152" s="5">
        <v>2</v>
      </c>
      <c r="T152" s="5">
        <f t="shared" si="17"/>
        <v>16.164000000000001</v>
      </c>
      <c r="U152" s="17" t="s">
        <v>158</v>
      </c>
      <c r="V152" s="5" t="s">
        <v>445</v>
      </c>
      <c r="W152" s="5">
        <v>0.32</v>
      </c>
      <c r="X152" s="5">
        <v>9.2999999999999999E-2</v>
      </c>
      <c r="Y152" s="5">
        <v>0.17</v>
      </c>
      <c r="Z152" s="5" t="s">
        <v>445</v>
      </c>
      <c r="AA152" s="5">
        <v>5.6000000000000001E-2</v>
      </c>
      <c r="AB152" s="5">
        <v>2.7E-2</v>
      </c>
      <c r="AC152" s="5" t="s">
        <v>438</v>
      </c>
      <c r="AD152" s="5">
        <f t="shared" si="18"/>
        <v>0.66600000000000015</v>
      </c>
      <c r="AE152" s="17">
        <f t="shared" si="16"/>
        <v>0.66600000000000004</v>
      </c>
      <c r="AF152" s="5">
        <v>-0.1</v>
      </c>
      <c r="AG152" s="18" t="s">
        <v>158</v>
      </c>
      <c r="AH152" s="279">
        <v>5.6907989616383032</v>
      </c>
      <c r="AI152" s="280">
        <v>-0.1</v>
      </c>
      <c r="AJ152" s="280">
        <v>-0.1</v>
      </c>
      <c r="AK152" s="280">
        <v>-0.02</v>
      </c>
      <c r="AL152" s="280">
        <v>-0.1</v>
      </c>
      <c r="AM152" s="280">
        <v>-0.1</v>
      </c>
      <c r="AN152" s="280">
        <v>0.52913421786366699</v>
      </c>
      <c r="AO152" s="280">
        <v>0.16849341409479854</v>
      </c>
      <c r="AP152" s="280">
        <v>-0.01</v>
      </c>
      <c r="AQ152" s="280">
        <v>0.2664984136140755</v>
      </c>
      <c r="AR152" s="280">
        <v>3.4948562638207871E-2</v>
      </c>
      <c r="AS152" s="5" t="s">
        <v>158</v>
      </c>
      <c r="AT152" s="5" t="s">
        <v>158</v>
      </c>
      <c r="AU152" s="5" t="s">
        <v>158</v>
      </c>
      <c r="AV152" s="5" t="s">
        <v>158</v>
      </c>
      <c r="AW152" s="5" t="s">
        <v>158</v>
      </c>
      <c r="BC152" s="5">
        <v>95.662537537537517</v>
      </c>
      <c r="BD152" s="5" t="s">
        <v>438</v>
      </c>
      <c r="BE152" s="5" t="s">
        <v>438</v>
      </c>
      <c r="BF152" s="5" t="s">
        <v>482</v>
      </c>
      <c r="BG152" s="5" t="s">
        <v>438</v>
      </c>
      <c r="BH152" s="5">
        <v>0.36783502252252248</v>
      </c>
      <c r="BI152" s="5">
        <v>7.6076435810810805</v>
      </c>
      <c r="BJ152" s="5">
        <v>2.2470908408408405</v>
      </c>
      <c r="BK152" s="5" t="s">
        <v>484</v>
      </c>
      <c r="BL152" s="5">
        <v>4.3227946696696691</v>
      </c>
      <c r="BM152" s="5">
        <v>0.25103228228228225</v>
      </c>
      <c r="BN152" s="17">
        <v>62</v>
      </c>
      <c r="BO152" s="5" t="s">
        <v>158</v>
      </c>
      <c r="BP152" s="5" t="s">
        <v>158</v>
      </c>
      <c r="BQ152" s="5" t="s">
        <v>158</v>
      </c>
      <c r="BR152" s="5" t="s">
        <v>158</v>
      </c>
      <c r="BS152" s="5" t="s">
        <v>158</v>
      </c>
      <c r="BT152" s="5" t="s">
        <v>158</v>
      </c>
      <c r="BU152" s="5" t="s">
        <v>158</v>
      </c>
      <c r="BV152" s="5" t="s">
        <v>158</v>
      </c>
      <c r="BW152" s="5" t="s">
        <v>158</v>
      </c>
      <c r="BX152" s="5" t="s">
        <v>158</v>
      </c>
      <c r="BY152" s="5" t="s">
        <v>158</v>
      </c>
      <c r="BZ152" s="5" t="s">
        <v>158</v>
      </c>
      <c r="CA152" s="5" t="s">
        <v>158</v>
      </c>
      <c r="CB152" s="5" t="s">
        <v>158</v>
      </c>
      <c r="CC152" s="5" t="s">
        <v>158</v>
      </c>
      <c r="CD152" s="5" t="s">
        <v>158</v>
      </c>
      <c r="CE152" s="5" t="s">
        <v>158</v>
      </c>
      <c r="CF152" s="5" t="s">
        <v>158</v>
      </c>
      <c r="CG152" s="5" t="s">
        <v>158</v>
      </c>
      <c r="CH152" s="5" t="s">
        <v>158</v>
      </c>
      <c r="CI152" s="17" t="s">
        <v>158</v>
      </c>
      <c r="CJ152" s="17" t="s">
        <v>158</v>
      </c>
      <c r="CK152" s="17" t="s">
        <v>158</v>
      </c>
      <c r="CL152" s="17" t="s">
        <v>158</v>
      </c>
      <c r="CM152" s="17" t="s">
        <v>158</v>
      </c>
      <c r="CN152" s="17" t="s">
        <v>158</v>
      </c>
      <c r="CO152" s="17" t="s">
        <v>158</v>
      </c>
      <c r="CP152" s="17" t="s">
        <v>158</v>
      </c>
      <c r="CQ152" s="17" t="s">
        <v>158</v>
      </c>
      <c r="CR152" s="17" t="s">
        <v>158</v>
      </c>
      <c r="CS152" s="17" t="s">
        <v>158</v>
      </c>
      <c r="CT152" s="17" t="s">
        <v>158</v>
      </c>
      <c r="CU152" s="17" t="s">
        <v>158</v>
      </c>
      <c r="CV152" s="17" t="s">
        <v>158</v>
      </c>
      <c r="CW152" s="17" t="s">
        <v>158</v>
      </c>
      <c r="CX152" s="17" t="s">
        <v>158</v>
      </c>
      <c r="CY152" s="67" t="s">
        <v>158</v>
      </c>
    </row>
    <row r="153" spans="1:103" x14ac:dyDescent="0.2">
      <c r="A153" s="36" t="s">
        <v>112</v>
      </c>
      <c r="B153" s="58" t="s">
        <v>24</v>
      </c>
      <c r="C153" s="25" t="s">
        <v>20</v>
      </c>
      <c r="D153" s="25" t="s">
        <v>125</v>
      </c>
      <c r="E153" s="26"/>
      <c r="F153" s="27"/>
      <c r="G153" s="28">
        <v>41896</v>
      </c>
      <c r="H153" s="29">
        <v>2014</v>
      </c>
      <c r="I153" s="135" t="s">
        <v>33</v>
      </c>
      <c r="J153" s="135">
        <v>10</v>
      </c>
      <c r="K153" s="136" t="s">
        <v>158</v>
      </c>
      <c r="L153" s="5" t="s">
        <v>158</v>
      </c>
      <c r="M153" s="30">
        <v>1</v>
      </c>
      <c r="N153" s="30">
        <v>1.9</v>
      </c>
      <c r="O153" s="30">
        <v>6.2</v>
      </c>
      <c r="P153" s="30">
        <v>5.4</v>
      </c>
      <c r="Q153" s="30">
        <v>11</v>
      </c>
      <c r="R153" s="30">
        <v>9.6</v>
      </c>
      <c r="S153" s="30">
        <v>3.4</v>
      </c>
      <c r="T153" s="30">
        <v>39</v>
      </c>
      <c r="U153" s="17" t="s">
        <v>158</v>
      </c>
      <c r="V153" s="17" t="s">
        <v>472</v>
      </c>
      <c r="W153" s="5">
        <v>0.21</v>
      </c>
      <c r="X153" s="5">
        <v>8.2000000000000003E-2</v>
      </c>
      <c r="Y153" s="5">
        <v>0.1</v>
      </c>
      <c r="Z153" s="5" t="s">
        <v>498</v>
      </c>
      <c r="AA153" s="5" t="s">
        <v>498</v>
      </c>
      <c r="AB153" s="5" t="s">
        <v>498</v>
      </c>
      <c r="AC153" s="5" t="s">
        <v>499</v>
      </c>
      <c r="AD153" s="5">
        <v>0.39200000000000002</v>
      </c>
      <c r="AE153" s="17">
        <f t="shared" si="16"/>
        <v>0.39200000000000002</v>
      </c>
      <c r="AF153" s="30">
        <v>-0.21</v>
      </c>
      <c r="AG153" s="18" t="s">
        <v>158</v>
      </c>
      <c r="AH153" s="283">
        <f>BC153/18.8</f>
        <v>4.787234042553191</v>
      </c>
      <c r="AI153" s="283">
        <f>BD153/18.8</f>
        <v>3.5638297872340428E-2</v>
      </c>
      <c r="AJ153" s="261" t="s">
        <v>158</v>
      </c>
      <c r="AK153" s="261">
        <f t="shared" ref="AK153:AK159" si="19">BF153/18.8</f>
        <v>2.2340425531914891E-2</v>
      </c>
      <c r="AL153" s="261" t="s">
        <v>158</v>
      </c>
      <c r="AM153" s="261">
        <f t="shared" ref="AM153:AO156" si="20">BH153/18.8</f>
        <v>5.0531914893617018E-2</v>
      </c>
      <c r="AN153" s="261">
        <f t="shared" si="20"/>
        <v>0.32978723404255317</v>
      </c>
      <c r="AO153" s="261">
        <f t="shared" si="20"/>
        <v>7.9787234042553182E-2</v>
      </c>
      <c r="AP153" s="261" t="s">
        <v>158</v>
      </c>
      <c r="AQ153" s="261" t="s">
        <v>158</v>
      </c>
      <c r="AR153" s="261" t="s">
        <v>158</v>
      </c>
      <c r="AS153" s="5" t="s">
        <v>158</v>
      </c>
      <c r="AT153" s="5" t="s">
        <v>158</v>
      </c>
      <c r="AU153" s="5" t="s">
        <v>158</v>
      </c>
      <c r="AV153" s="5" t="s">
        <v>158</v>
      </c>
      <c r="AW153" s="5" t="s">
        <v>158</v>
      </c>
      <c r="BC153" s="30">
        <v>90</v>
      </c>
      <c r="BD153" s="30">
        <v>0.67</v>
      </c>
      <c r="BE153" s="30" t="s">
        <v>160</v>
      </c>
      <c r="BF153" s="30">
        <v>0.42</v>
      </c>
      <c r="BG153" s="30" t="s">
        <v>160</v>
      </c>
      <c r="BH153" s="30">
        <v>0.95</v>
      </c>
      <c r="BI153" s="30">
        <v>6.2</v>
      </c>
      <c r="BJ153" s="30">
        <v>1.5</v>
      </c>
      <c r="BK153" s="30" t="s">
        <v>160</v>
      </c>
      <c r="BL153" s="30" t="s">
        <v>160</v>
      </c>
      <c r="BM153" s="17" t="s">
        <v>158</v>
      </c>
      <c r="BN153" s="5" t="s">
        <v>158</v>
      </c>
      <c r="BO153" s="5" t="s">
        <v>158</v>
      </c>
      <c r="BP153" s="5" t="s">
        <v>158</v>
      </c>
      <c r="BQ153" s="5" t="s">
        <v>158</v>
      </c>
      <c r="BR153" s="5" t="s">
        <v>158</v>
      </c>
      <c r="BS153" s="5" t="s">
        <v>158</v>
      </c>
      <c r="BT153" s="5" t="s">
        <v>158</v>
      </c>
      <c r="BU153" s="5" t="s">
        <v>158</v>
      </c>
      <c r="BV153" s="5" t="s">
        <v>158</v>
      </c>
      <c r="BW153" s="5" t="s">
        <v>158</v>
      </c>
      <c r="BX153" s="5" t="s">
        <v>158</v>
      </c>
      <c r="BY153" s="5" t="s">
        <v>158</v>
      </c>
      <c r="BZ153" s="5" t="s">
        <v>158</v>
      </c>
      <c r="CA153" s="5" t="s">
        <v>158</v>
      </c>
      <c r="CB153" s="5" t="s">
        <v>158</v>
      </c>
      <c r="CC153" s="5" t="s">
        <v>158</v>
      </c>
      <c r="CD153" s="5" t="s">
        <v>158</v>
      </c>
      <c r="CE153" s="5" t="s">
        <v>158</v>
      </c>
      <c r="CF153" s="5" t="s">
        <v>158</v>
      </c>
      <c r="CG153" s="5" t="s">
        <v>158</v>
      </c>
      <c r="CH153" s="5" t="s">
        <v>158</v>
      </c>
      <c r="CI153" s="17" t="s">
        <v>158</v>
      </c>
      <c r="CJ153" s="17" t="s">
        <v>158</v>
      </c>
      <c r="CK153" s="17" t="s">
        <v>158</v>
      </c>
      <c r="CL153" s="17" t="s">
        <v>158</v>
      </c>
      <c r="CM153" s="17" t="s">
        <v>158</v>
      </c>
      <c r="CN153" s="17" t="s">
        <v>158</v>
      </c>
      <c r="CO153" s="17" t="s">
        <v>158</v>
      </c>
      <c r="CP153" s="17" t="s">
        <v>158</v>
      </c>
      <c r="CQ153" s="17" t="s">
        <v>158</v>
      </c>
      <c r="CR153" s="17" t="s">
        <v>158</v>
      </c>
      <c r="CS153" s="17" t="s">
        <v>158</v>
      </c>
      <c r="CT153" s="17" t="s">
        <v>158</v>
      </c>
      <c r="CU153" s="17" t="s">
        <v>158</v>
      </c>
      <c r="CV153" s="17" t="s">
        <v>158</v>
      </c>
      <c r="CW153" s="17" t="s">
        <v>158</v>
      </c>
      <c r="CX153" s="17" t="s">
        <v>158</v>
      </c>
      <c r="CY153" s="67" t="s">
        <v>158</v>
      </c>
    </row>
    <row r="154" spans="1:103" x14ac:dyDescent="0.2">
      <c r="A154" s="36" t="s">
        <v>22</v>
      </c>
      <c r="B154" s="58" t="s">
        <v>22</v>
      </c>
      <c r="C154" s="25" t="s">
        <v>20</v>
      </c>
      <c r="D154" s="25" t="s">
        <v>125</v>
      </c>
      <c r="E154" s="26"/>
      <c r="F154" s="27"/>
      <c r="G154" s="28">
        <v>41899</v>
      </c>
      <c r="H154" s="29">
        <v>2014</v>
      </c>
      <c r="I154" s="135" t="s">
        <v>33</v>
      </c>
      <c r="J154" s="135">
        <v>10</v>
      </c>
      <c r="K154" s="136" t="s">
        <v>158</v>
      </c>
      <c r="L154" s="5" t="s">
        <v>158</v>
      </c>
      <c r="M154" s="30">
        <v>0.95</v>
      </c>
      <c r="N154" s="30">
        <v>2</v>
      </c>
      <c r="O154" s="30">
        <v>6.2</v>
      </c>
      <c r="P154" s="30">
        <v>5</v>
      </c>
      <c r="Q154" s="30">
        <v>12</v>
      </c>
      <c r="R154" s="30">
        <v>11</v>
      </c>
      <c r="S154" s="30">
        <v>4.2</v>
      </c>
      <c r="T154" s="30">
        <v>42</v>
      </c>
      <c r="U154" s="17" t="s">
        <v>158</v>
      </c>
      <c r="V154" s="17" t="s">
        <v>445</v>
      </c>
      <c r="W154" s="5">
        <v>0.28000000000000003</v>
      </c>
      <c r="X154" s="5">
        <v>0.14000000000000001</v>
      </c>
      <c r="Y154" s="5">
        <v>0.28000000000000003</v>
      </c>
      <c r="Z154" s="5" t="s">
        <v>498</v>
      </c>
      <c r="AA154" s="5">
        <v>5.7000000000000002E-2</v>
      </c>
      <c r="AB154" s="5">
        <v>4.7E-2</v>
      </c>
      <c r="AC154" s="5" t="s">
        <v>500</v>
      </c>
      <c r="AD154" s="5">
        <v>0.80400000000000016</v>
      </c>
      <c r="AE154" s="17">
        <f>SUM(V154,W154,Y154,X154,AB154,AA154)</f>
        <v>0.80400000000000016</v>
      </c>
      <c r="AF154" s="30">
        <v>-0.22</v>
      </c>
      <c r="AG154" s="18" t="s">
        <v>158</v>
      </c>
      <c r="AH154" s="283">
        <f>BC154/18.8</f>
        <v>9.5744680851063819</v>
      </c>
      <c r="AI154" s="283">
        <f>BD154/18.8</f>
        <v>4.5212765957446804E-2</v>
      </c>
      <c r="AJ154" s="261" t="s">
        <v>158</v>
      </c>
      <c r="AK154" s="261">
        <f t="shared" si="19"/>
        <v>6.382978723404255E-3</v>
      </c>
      <c r="AL154" s="261" t="s">
        <v>158</v>
      </c>
      <c r="AM154" s="261">
        <f t="shared" si="20"/>
        <v>1.1702127659574468E-2</v>
      </c>
      <c r="AN154" s="261">
        <f t="shared" si="20"/>
        <v>0.25</v>
      </c>
      <c r="AO154" s="261">
        <f t="shared" si="20"/>
        <v>0.20744680851063829</v>
      </c>
      <c r="AP154" s="261" t="s">
        <v>158</v>
      </c>
      <c r="AQ154" s="261" t="s">
        <v>158</v>
      </c>
      <c r="AR154" s="261" t="s">
        <v>158</v>
      </c>
      <c r="AS154" s="5" t="s">
        <v>158</v>
      </c>
      <c r="AT154" s="5" t="s">
        <v>158</v>
      </c>
      <c r="AU154" s="5" t="s">
        <v>158</v>
      </c>
      <c r="AV154" s="5" t="s">
        <v>158</v>
      </c>
      <c r="AW154" s="5" t="s">
        <v>158</v>
      </c>
      <c r="BC154" s="30">
        <v>180</v>
      </c>
      <c r="BD154" s="30">
        <v>0.85</v>
      </c>
      <c r="BE154" s="30" t="s">
        <v>160</v>
      </c>
      <c r="BF154" s="30">
        <v>0.12</v>
      </c>
      <c r="BG154" s="30" t="s">
        <v>160</v>
      </c>
      <c r="BH154" s="30">
        <v>0.22</v>
      </c>
      <c r="BI154" s="30">
        <v>4.7</v>
      </c>
      <c r="BJ154" s="30">
        <v>3.9</v>
      </c>
      <c r="BK154" s="30" t="s">
        <v>160</v>
      </c>
      <c r="BL154" s="30" t="s">
        <v>160</v>
      </c>
      <c r="BM154" s="17" t="s">
        <v>158</v>
      </c>
      <c r="BN154" s="5" t="s">
        <v>158</v>
      </c>
      <c r="BO154" s="5" t="s">
        <v>158</v>
      </c>
      <c r="BP154" s="5" t="s">
        <v>158</v>
      </c>
      <c r="BQ154" s="5" t="s">
        <v>158</v>
      </c>
      <c r="BR154" s="5" t="s">
        <v>158</v>
      </c>
      <c r="BS154" s="5" t="s">
        <v>158</v>
      </c>
      <c r="BT154" s="5" t="s">
        <v>158</v>
      </c>
      <c r="BU154" s="5" t="s">
        <v>158</v>
      </c>
      <c r="BV154" s="5" t="s">
        <v>158</v>
      </c>
      <c r="BW154" s="5" t="s">
        <v>158</v>
      </c>
      <c r="BX154" s="5" t="s">
        <v>158</v>
      </c>
      <c r="BY154" s="5" t="s">
        <v>158</v>
      </c>
      <c r="BZ154" s="5" t="s">
        <v>158</v>
      </c>
      <c r="CA154" s="5" t="s">
        <v>158</v>
      </c>
      <c r="CB154" s="5" t="s">
        <v>158</v>
      </c>
      <c r="CC154" s="5" t="s">
        <v>158</v>
      </c>
      <c r="CD154" s="5" t="s">
        <v>158</v>
      </c>
      <c r="CE154" s="5" t="s">
        <v>158</v>
      </c>
      <c r="CF154" s="5" t="s">
        <v>158</v>
      </c>
      <c r="CG154" s="5" t="s">
        <v>158</v>
      </c>
      <c r="CH154" s="5" t="s">
        <v>158</v>
      </c>
      <c r="CI154" s="17" t="s">
        <v>158</v>
      </c>
      <c r="CJ154" s="17" t="s">
        <v>158</v>
      </c>
      <c r="CK154" s="17" t="s">
        <v>158</v>
      </c>
      <c r="CL154" s="17" t="s">
        <v>158</v>
      </c>
      <c r="CM154" s="17" t="s">
        <v>158</v>
      </c>
      <c r="CN154" s="17" t="s">
        <v>158</v>
      </c>
      <c r="CO154" s="17" t="s">
        <v>158</v>
      </c>
      <c r="CP154" s="17" t="s">
        <v>158</v>
      </c>
      <c r="CQ154" s="17" t="s">
        <v>158</v>
      </c>
      <c r="CR154" s="17" t="s">
        <v>158</v>
      </c>
      <c r="CS154" s="17" t="s">
        <v>158</v>
      </c>
      <c r="CT154" s="17" t="s">
        <v>158</v>
      </c>
      <c r="CU154" s="17" t="s">
        <v>158</v>
      </c>
      <c r="CV154" s="17" t="s">
        <v>158</v>
      </c>
      <c r="CW154" s="17" t="s">
        <v>158</v>
      </c>
      <c r="CX154" s="17" t="s">
        <v>158</v>
      </c>
      <c r="CY154" s="67" t="s">
        <v>158</v>
      </c>
    </row>
    <row r="155" spans="1:103" x14ac:dyDescent="0.2">
      <c r="A155" s="36" t="s">
        <v>21</v>
      </c>
      <c r="B155" s="58" t="s">
        <v>21</v>
      </c>
      <c r="C155" s="25" t="s">
        <v>20</v>
      </c>
      <c r="D155" s="25" t="s">
        <v>125</v>
      </c>
      <c r="E155" s="26"/>
      <c r="F155" s="27"/>
      <c r="G155" s="28">
        <v>41986</v>
      </c>
      <c r="H155" s="29">
        <v>2014</v>
      </c>
      <c r="I155" s="135" t="s">
        <v>33</v>
      </c>
      <c r="J155" s="135">
        <v>10</v>
      </c>
      <c r="K155" s="136" t="s">
        <v>158</v>
      </c>
      <c r="L155" s="5" t="s">
        <v>158</v>
      </c>
      <c r="M155" s="30" t="s">
        <v>421</v>
      </c>
      <c r="N155" s="30">
        <v>0.23</v>
      </c>
      <c r="O155" s="30">
        <v>1.7</v>
      </c>
      <c r="P155" s="30">
        <v>1.4</v>
      </c>
      <c r="Q155" s="30">
        <v>6.4</v>
      </c>
      <c r="R155" s="30">
        <v>5.4</v>
      </c>
      <c r="S155" s="30">
        <v>2.7</v>
      </c>
      <c r="T155" s="30">
        <v>18</v>
      </c>
      <c r="U155" s="17" t="s">
        <v>158</v>
      </c>
      <c r="V155" s="17" t="s">
        <v>445</v>
      </c>
      <c r="W155" s="5">
        <v>0.28000000000000003</v>
      </c>
      <c r="X155" s="5">
        <v>0.13</v>
      </c>
      <c r="Y155" s="5">
        <v>0.2</v>
      </c>
      <c r="Z155" s="5" t="s">
        <v>498</v>
      </c>
      <c r="AA155" s="5">
        <v>4.3999999999999997E-2</v>
      </c>
      <c r="AB155" s="5">
        <v>3.5000000000000003E-2</v>
      </c>
      <c r="AC155" s="5" t="s">
        <v>499</v>
      </c>
      <c r="AD155" s="5">
        <v>0.68900000000000017</v>
      </c>
      <c r="AE155" s="17">
        <f t="shared" si="16"/>
        <v>0.68900000000000017</v>
      </c>
      <c r="AF155" s="30">
        <v>-0.22</v>
      </c>
      <c r="AG155" s="18" t="s">
        <v>158</v>
      </c>
      <c r="AH155" s="283">
        <f t="shared" ref="AH155:AH192" si="21">BC155/18.8</f>
        <v>11.702127659574467</v>
      </c>
      <c r="AI155" s="283">
        <f>BD155/18.8</f>
        <v>4.0425531914893613E-2</v>
      </c>
      <c r="AJ155" s="261">
        <f>BE155/18.8</f>
        <v>1.276595744680851E-2</v>
      </c>
      <c r="AK155" s="261">
        <f t="shared" si="19"/>
        <v>5.8510638297872338E-3</v>
      </c>
      <c r="AL155" s="261" t="s">
        <v>158</v>
      </c>
      <c r="AM155" s="261">
        <f t="shared" si="20"/>
        <v>1.276595744680851E-2</v>
      </c>
      <c r="AN155" s="261">
        <f t="shared" si="20"/>
        <v>0.27659574468085107</v>
      </c>
      <c r="AO155" s="261">
        <f t="shared" si="20"/>
        <v>0.25</v>
      </c>
      <c r="AP155" s="261" t="s">
        <v>158</v>
      </c>
      <c r="AQ155" s="261" t="s">
        <v>158</v>
      </c>
      <c r="AR155" s="261" t="s">
        <v>158</v>
      </c>
      <c r="AS155" s="5" t="s">
        <v>158</v>
      </c>
      <c r="AT155" s="5" t="s">
        <v>158</v>
      </c>
      <c r="AU155" s="5" t="s">
        <v>158</v>
      </c>
      <c r="AV155" s="5" t="s">
        <v>158</v>
      </c>
      <c r="AW155" s="5" t="s">
        <v>158</v>
      </c>
      <c r="BC155" s="30">
        <v>220</v>
      </c>
      <c r="BD155" s="30">
        <v>0.76</v>
      </c>
      <c r="BE155" s="30">
        <v>0.24</v>
      </c>
      <c r="BF155" s="30">
        <v>0.11</v>
      </c>
      <c r="BG155" s="30" t="s">
        <v>160</v>
      </c>
      <c r="BH155" s="30">
        <v>0.24</v>
      </c>
      <c r="BI155" s="30">
        <v>5.2</v>
      </c>
      <c r="BJ155" s="30">
        <v>4.7</v>
      </c>
      <c r="BK155" s="30" t="s">
        <v>160</v>
      </c>
      <c r="BL155" s="30" t="s">
        <v>160</v>
      </c>
      <c r="BM155" s="17" t="s">
        <v>158</v>
      </c>
      <c r="BN155" s="5" t="s">
        <v>158</v>
      </c>
      <c r="BO155" s="5" t="s">
        <v>158</v>
      </c>
      <c r="BP155" s="5" t="s">
        <v>158</v>
      </c>
      <c r="BQ155" s="5" t="s">
        <v>158</v>
      </c>
      <c r="BR155" s="5" t="s">
        <v>158</v>
      </c>
      <c r="BS155" s="5" t="s">
        <v>158</v>
      </c>
      <c r="BT155" s="5" t="s">
        <v>158</v>
      </c>
      <c r="BU155" s="5" t="s">
        <v>158</v>
      </c>
      <c r="BV155" s="5" t="s">
        <v>158</v>
      </c>
      <c r="BW155" s="5" t="s">
        <v>158</v>
      </c>
      <c r="BX155" s="5" t="s">
        <v>158</v>
      </c>
      <c r="BY155" s="5" t="s">
        <v>158</v>
      </c>
      <c r="BZ155" s="5" t="s">
        <v>158</v>
      </c>
      <c r="CA155" s="5" t="s">
        <v>158</v>
      </c>
      <c r="CB155" s="5" t="s">
        <v>158</v>
      </c>
      <c r="CC155" s="5" t="s">
        <v>158</v>
      </c>
      <c r="CD155" s="5" t="s">
        <v>158</v>
      </c>
      <c r="CE155" s="5" t="s">
        <v>158</v>
      </c>
      <c r="CF155" s="5" t="s">
        <v>158</v>
      </c>
      <c r="CG155" s="5" t="s">
        <v>158</v>
      </c>
      <c r="CH155" s="5" t="s">
        <v>158</v>
      </c>
      <c r="CI155" s="17" t="s">
        <v>158</v>
      </c>
      <c r="CJ155" s="17" t="s">
        <v>158</v>
      </c>
      <c r="CK155" s="17" t="s">
        <v>158</v>
      </c>
      <c r="CL155" s="17" t="s">
        <v>158</v>
      </c>
      <c r="CM155" s="17" t="s">
        <v>158</v>
      </c>
      <c r="CN155" s="17" t="s">
        <v>158</v>
      </c>
      <c r="CO155" s="17" t="s">
        <v>158</v>
      </c>
      <c r="CP155" s="17" t="s">
        <v>158</v>
      </c>
      <c r="CQ155" s="17" t="s">
        <v>158</v>
      </c>
      <c r="CR155" s="17" t="s">
        <v>158</v>
      </c>
      <c r="CS155" s="17" t="s">
        <v>158</v>
      </c>
      <c r="CT155" s="17" t="s">
        <v>158</v>
      </c>
      <c r="CU155" s="17" t="s">
        <v>158</v>
      </c>
      <c r="CV155" s="17" t="s">
        <v>158</v>
      </c>
      <c r="CW155" s="17" t="s">
        <v>158</v>
      </c>
      <c r="CX155" s="17" t="s">
        <v>158</v>
      </c>
      <c r="CY155" s="67" t="s">
        <v>158</v>
      </c>
    </row>
    <row r="156" spans="1:103" x14ac:dyDescent="0.2">
      <c r="A156" s="36" t="s">
        <v>23</v>
      </c>
      <c r="B156" s="58" t="s">
        <v>23</v>
      </c>
      <c r="C156" s="25" t="s">
        <v>20</v>
      </c>
      <c r="D156" s="25" t="s">
        <v>125</v>
      </c>
      <c r="E156" s="26"/>
      <c r="F156" s="27"/>
      <c r="G156" s="28">
        <v>41898</v>
      </c>
      <c r="H156" s="29">
        <v>2014</v>
      </c>
      <c r="I156" s="135" t="s">
        <v>33</v>
      </c>
      <c r="J156" s="135">
        <v>10</v>
      </c>
      <c r="K156" s="136" t="s">
        <v>158</v>
      </c>
      <c r="L156" s="5" t="s">
        <v>158</v>
      </c>
      <c r="M156" s="30">
        <v>0.4</v>
      </c>
      <c r="N156" s="30">
        <v>1.7</v>
      </c>
      <c r="O156" s="30">
        <v>6.6</v>
      </c>
      <c r="P156" s="30">
        <v>5.5</v>
      </c>
      <c r="Q156" s="30">
        <v>11</v>
      </c>
      <c r="R156" s="30">
        <v>11</v>
      </c>
      <c r="S156" s="30">
        <v>4.3</v>
      </c>
      <c r="T156" s="30">
        <v>41</v>
      </c>
      <c r="U156" s="17" t="s">
        <v>158</v>
      </c>
      <c r="V156" s="17" t="s">
        <v>445</v>
      </c>
      <c r="W156" s="5">
        <v>6.9000000000000006E-2</v>
      </c>
      <c r="X156" s="5">
        <v>4.4999999999999998E-2</v>
      </c>
      <c r="Y156" s="5">
        <v>3.7999999999999999E-2</v>
      </c>
      <c r="Z156" s="5">
        <v>5.1999999999999998E-2</v>
      </c>
      <c r="AA156" s="5" t="s">
        <v>435</v>
      </c>
      <c r="AB156" s="5" t="s">
        <v>435</v>
      </c>
      <c r="AC156" s="5" t="s">
        <v>502</v>
      </c>
      <c r="AD156" s="5">
        <v>0.20400000000000001</v>
      </c>
      <c r="AE156" s="17">
        <f>SUM(V156,W156,Y156,X156,AB156,AA156)</f>
        <v>0.15200000000000002</v>
      </c>
      <c r="AF156" s="30">
        <v>-0.31</v>
      </c>
      <c r="AG156" s="18" t="s">
        <v>158</v>
      </c>
      <c r="AH156" s="283">
        <f t="shared" si="21"/>
        <v>6.914893617021276</v>
      </c>
      <c r="AI156" s="283">
        <f>BD156/18.8</f>
        <v>4.9468085106382981E-2</v>
      </c>
      <c r="AJ156" s="261">
        <f>BE156/18.8</f>
        <v>2.3404255319148935E-2</v>
      </c>
      <c r="AK156" s="261">
        <f t="shared" si="19"/>
        <v>2.5000000000000001E-3</v>
      </c>
      <c r="AL156" s="261" t="s">
        <v>158</v>
      </c>
      <c r="AM156" s="261">
        <f t="shared" si="20"/>
        <v>2.7659574468085105E-2</v>
      </c>
      <c r="AN156" s="261">
        <f t="shared" si="20"/>
        <v>0.3457446808510638</v>
      </c>
      <c r="AO156" s="261">
        <f t="shared" si="20"/>
        <v>0.1702127659574468</v>
      </c>
      <c r="AP156" s="261" t="s">
        <v>158</v>
      </c>
      <c r="AQ156" s="261" t="s">
        <v>158</v>
      </c>
      <c r="AR156" s="261" t="s">
        <v>158</v>
      </c>
      <c r="AS156" s="5" t="s">
        <v>158</v>
      </c>
      <c r="AT156" s="5" t="s">
        <v>158</v>
      </c>
      <c r="AU156" s="5" t="s">
        <v>158</v>
      </c>
      <c r="AV156" s="5" t="s">
        <v>158</v>
      </c>
      <c r="AW156" s="5" t="s">
        <v>158</v>
      </c>
      <c r="BC156" s="30">
        <v>130</v>
      </c>
      <c r="BD156" s="30">
        <v>0.93</v>
      </c>
      <c r="BE156" s="30">
        <v>0.44</v>
      </c>
      <c r="BF156" s="30">
        <v>4.7E-2</v>
      </c>
      <c r="BG156" s="30" t="s">
        <v>160</v>
      </c>
      <c r="BH156" s="30">
        <v>0.52</v>
      </c>
      <c r="BI156" s="30">
        <v>6.5</v>
      </c>
      <c r="BJ156" s="30">
        <v>3.2</v>
      </c>
      <c r="BK156" s="30" t="s">
        <v>160</v>
      </c>
      <c r="BL156" s="30" t="s">
        <v>160</v>
      </c>
      <c r="BM156" s="17" t="s">
        <v>158</v>
      </c>
      <c r="BN156" s="5" t="s">
        <v>158</v>
      </c>
      <c r="BO156" s="5" t="s">
        <v>158</v>
      </c>
      <c r="BP156" s="5" t="s">
        <v>158</v>
      </c>
      <c r="BQ156" s="5" t="s">
        <v>158</v>
      </c>
      <c r="BR156" s="5" t="s">
        <v>158</v>
      </c>
      <c r="BS156" s="5" t="s">
        <v>158</v>
      </c>
      <c r="BT156" s="5" t="s">
        <v>158</v>
      </c>
      <c r="BU156" s="5" t="s">
        <v>158</v>
      </c>
      <c r="BV156" s="5" t="s">
        <v>158</v>
      </c>
      <c r="BW156" s="5" t="s">
        <v>158</v>
      </c>
      <c r="BX156" s="5" t="s">
        <v>158</v>
      </c>
      <c r="BY156" s="5" t="s">
        <v>158</v>
      </c>
      <c r="BZ156" s="5" t="s">
        <v>158</v>
      </c>
      <c r="CA156" s="5" t="s">
        <v>158</v>
      </c>
      <c r="CB156" s="5" t="s">
        <v>158</v>
      </c>
      <c r="CC156" s="5" t="s">
        <v>158</v>
      </c>
      <c r="CD156" s="5" t="s">
        <v>158</v>
      </c>
      <c r="CE156" s="5" t="s">
        <v>158</v>
      </c>
      <c r="CF156" s="5" t="s">
        <v>158</v>
      </c>
      <c r="CG156" s="5" t="s">
        <v>158</v>
      </c>
      <c r="CH156" s="5" t="s">
        <v>158</v>
      </c>
      <c r="CI156" s="17" t="s">
        <v>158</v>
      </c>
      <c r="CJ156" s="17" t="s">
        <v>158</v>
      </c>
      <c r="CK156" s="17" t="s">
        <v>158</v>
      </c>
      <c r="CL156" s="17" t="s">
        <v>158</v>
      </c>
      <c r="CM156" s="17" t="s">
        <v>158</v>
      </c>
      <c r="CN156" s="17" t="s">
        <v>158</v>
      </c>
      <c r="CO156" s="17" t="s">
        <v>158</v>
      </c>
      <c r="CP156" s="17" t="s">
        <v>158</v>
      </c>
      <c r="CQ156" s="17" t="s">
        <v>158</v>
      </c>
      <c r="CR156" s="17" t="s">
        <v>158</v>
      </c>
      <c r="CS156" s="17" t="s">
        <v>158</v>
      </c>
      <c r="CT156" s="17" t="s">
        <v>158</v>
      </c>
      <c r="CU156" s="17" t="s">
        <v>158</v>
      </c>
      <c r="CV156" s="17" t="s">
        <v>158</v>
      </c>
      <c r="CW156" s="17" t="s">
        <v>158</v>
      </c>
      <c r="CX156" s="17" t="s">
        <v>158</v>
      </c>
      <c r="CY156" s="67" t="s">
        <v>158</v>
      </c>
    </row>
    <row r="157" spans="1:103" x14ac:dyDescent="0.2">
      <c r="A157" s="36" t="s">
        <v>112</v>
      </c>
      <c r="B157" s="58" t="s">
        <v>24</v>
      </c>
      <c r="C157" s="25" t="s">
        <v>20</v>
      </c>
      <c r="D157" s="25" t="s">
        <v>125</v>
      </c>
      <c r="G157" s="28">
        <v>41517</v>
      </c>
      <c r="H157" s="16">
        <v>2013</v>
      </c>
      <c r="I157" s="135" t="s">
        <v>33</v>
      </c>
      <c r="J157" s="135">
        <v>10</v>
      </c>
      <c r="K157" s="136">
        <v>0.72346398877015194</v>
      </c>
      <c r="L157" s="5" t="s">
        <v>158</v>
      </c>
      <c r="M157" s="5" t="s">
        <v>158</v>
      </c>
      <c r="N157" s="5" t="s">
        <v>158</v>
      </c>
      <c r="O157" s="5" t="s">
        <v>158</v>
      </c>
      <c r="P157" s="5" t="s">
        <v>158</v>
      </c>
      <c r="Q157" s="5" t="s">
        <v>158</v>
      </c>
      <c r="R157" s="5" t="s">
        <v>158</v>
      </c>
      <c r="S157" s="5" t="s">
        <v>158</v>
      </c>
      <c r="T157" s="5" t="s">
        <v>158</v>
      </c>
      <c r="U157" s="17" t="s">
        <v>158</v>
      </c>
      <c r="V157" s="5" t="s">
        <v>158</v>
      </c>
      <c r="W157" s="5" t="s">
        <v>158</v>
      </c>
      <c r="X157" s="5" t="s">
        <v>158</v>
      </c>
      <c r="Y157" s="5" t="s">
        <v>158</v>
      </c>
      <c r="Z157" s="5" t="s">
        <v>158</v>
      </c>
      <c r="AA157" s="5" t="s">
        <v>158</v>
      </c>
      <c r="AB157" s="5" t="s">
        <v>158</v>
      </c>
      <c r="AC157" s="5" t="s">
        <v>158</v>
      </c>
      <c r="AD157" s="5" t="s">
        <v>158</v>
      </c>
      <c r="AE157" s="17" t="s">
        <v>158</v>
      </c>
      <c r="AF157" s="5" t="s">
        <v>158</v>
      </c>
      <c r="AG157" s="18" t="s">
        <v>158</v>
      </c>
      <c r="AH157" s="283">
        <f t="shared" si="21"/>
        <v>16.648936170212764</v>
      </c>
      <c r="AI157" s="261" t="s">
        <v>158</v>
      </c>
      <c r="AJ157" s="261" t="s">
        <v>158</v>
      </c>
      <c r="AK157" s="261">
        <f t="shared" si="19"/>
        <v>4.6755319148936166E-2</v>
      </c>
      <c r="AL157" s="261" t="s">
        <v>158</v>
      </c>
      <c r="AM157" s="261" t="s">
        <v>158</v>
      </c>
      <c r="AN157" s="261" t="s">
        <v>158</v>
      </c>
      <c r="AO157" s="261" t="s">
        <v>158</v>
      </c>
      <c r="AP157" s="261" t="s">
        <v>158</v>
      </c>
      <c r="AQ157" s="261" t="s">
        <v>158</v>
      </c>
      <c r="AR157" s="261" t="s">
        <v>158</v>
      </c>
      <c r="AS157" s="5" t="s">
        <v>158</v>
      </c>
      <c r="AT157" s="5" t="s">
        <v>158</v>
      </c>
      <c r="AU157" s="5" t="s">
        <v>158</v>
      </c>
      <c r="AV157" s="5" t="s">
        <v>158</v>
      </c>
      <c r="AW157" s="5" t="s">
        <v>158</v>
      </c>
      <c r="BC157" s="30">
        <v>313</v>
      </c>
      <c r="BD157" s="30" t="s">
        <v>160</v>
      </c>
      <c r="BE157" s="30" t="s">
        <v>160</v>
      </c>
      <c r="BF157" s="30">
        <v>0.879</v>
      </c>
      <c r="BG157" s="17" t="s">
        <v>158</v>
      </c>
      <c r="BH157" s="17" t="s">
        <v>158</v>
      </c>
      <c r="BI157" s="17" t="s">
        <v>158</v>
      </c>
      <c r="BJ157" s="17" t="s">
        <v>158</v>
      </c>
      <c r="BK157" s="17" t="s">
        <v>158</v>
      </c>
      <c r="BL157" s="17" t="s">
        <v>158</v>
      </c>
      <c r="BM157" s="17" t="s">
        <v>158</v>
      </c>
      <c r="BN157" s="5" t="s">
        <v>158</v>
      </c>
      <c r="BO157" s="5" t="s">
        <v>158</v>
      </c>
      <c r="BP157" s="5" t="s">
        <v>158</v>
      </c>
      <c r="BQ157" s="5" t="s">
        <v>158</v>
      </c>
      <c r="BR157" s="5" t="s">
        <v>158</v>
      </c>
      <c r="BS157" s="5" t="s">
        <v>158</v>
      </c>
      <c r="BT157" s="5" t="s">
        <v>158</v>
      </c>
      <c r="BU157" s="5" t="s">
        <v>158</v>
      </c>
      <c r="BV157" s="5" t="s">
        <v>158</v>
      </c>
      <c r="BW157" s="5" t="s">
        <v>158</v>
      </c>
      <c r="BX157" s="5" t="s">
        <v>158</v>
      </c>
      <c r="BY157" s="5" t="s">
        <v>158</v>
      </c>
      <c r="BZ157" s="5" t="s">
        <v>158</v>
      </c>
      <c r="CA157" s="5" t="s">
        <v>158</v>
      </c>
      <c r="CB157" s="5" t="s">
        <v>158</v>
      </c>
      <c r="CC157" s="5" t="s">
        <v>158</v>
      </c>
      <c r="CD157" s="5" t="s">
        <v>158</v>
      </c>
      <c r="CE157" s="5" t="s">
        <v>158</v>
      </c>
      <c r="CF157" s="5" t="s">
        <v>158</v>
      </c>
      <c r="CG157" s="5" t="s">
        <v>158</v>
      </c>
      <c r="CH157" s="5" t="s">
        <v>158</v>
      </c>
      <c r="CI157" s="61">
        <v>93.000274130019179</v>
      </c>
      <c r="CJ157" s="61">
        <v>250</v>
      </c>
      <c r="CK157" s="61">
        <v>790</v>
      </c>
      <c r="CL157" s="61">
        <v>650</v>
      </c>
      <c r="CM157" s="61">
        <v>1300</v>
      </c>
      <c r="CN157" s="61">
        <v>1200</v>
      </c>
      <c r="CO157" s="61">
        <v>400</v>
      </c>
      <c r="CP157" s="61">
        <v>4700</v>
      </c>
      <c r="CQ157" s="62">
        <v>35.633283657609191</v>
      </c>
      <c r="CR157" s="63">
        <v>9.6430277939406324</v>
      </c>
      <c r="CS157" s="62">
        <v>10.989990406427578</v>
      </c>
      <c r="CT157" s="63" t="s">
        <v>504</v>
      </c>
      <c r="CU157" s="63">
        <v>3.5957958992964181</v>
      </c>
      <c r="CV157" s="63">
        <v>7.1021665022038949</v>
      </c>
      <c r="CW157" s="63">
        <v>-72</v>
      </c>
      <c r="CX157" s="62">
        <v>67</v>
      </c>
      <c r="CY157" s="68">
        <v>-43</v>
      </c>
    </row>
    <row r="158" spans="1:103" x14ac:dyDescent="0.2">
      <c r="A158" s="36" t="s">
        <v>22</v>
      </c>
      <c r="B158" s="58" t="s">
        <v>22</v>
      </c>
      <c r="C158" s="25" t="s">
        <v>20</v>
      </c>
      <c r="D158" s="25" t="s">
        <v>125</v>
      </c>
      <c r="G158" s="28">
        <v>41514</v>
      </c>
      <c r="H158" s="16">
        <v>2013</v>
      </c>
      <c r="I158" s="135" t="s">
        <v>33</v>
      </c>
      <c r="J158" s="135">
        <v>10</v>
      </c>
      <c r="K158" s="136">
        <v>0.6</v>
      </c>
      <c r="L158" s="5" t="s">
        <v>158</v>
      </c>
      <c r="M158" s="5" t="s">
        <v>158</v>
      </c>
      <c r="N158" s="5" t="s">
        <v>158</v>
      </c>
      <c r="O158" s="5" t="s">
        <v>158</v>
      </c>
      <c r="P158" s="5" t="s">
        <v>158</v>
      </c>
      <c r="Q158" s="5" t="s">
        <v>158</v>
      </c>
      <c r="R158" s="5" t="s">
        <v>158</v>
      </c>
      <c r="S158" s="5" t="s">
        <v>158</v>
      </c>
      <c r="T158" s="5" t="s">
        <v>158</v>
      </c>
      <c r="U158" s="17" t="s">
        <v>158</v>
      </c>
      <c r="V158" s="5" t="s">
        <v>158</v>
      </c>
      <c r="W158" s="5" t="s">
        <v>158</v>
      </c>
      <c r="X158" s="5" t="s">
        <v>158</v>
      </c>
      <c r="Y158" s="5" t="s">
        <v>158</v>
      </c>
      <c r="Z158" s="5" t="s">
        <v>158</v>
      </c>
      <c r="AA158" s="5" t="s">
        <v>158</v>
      </c>
      <c r="AB158" s="5" t="s">
        <v>158</v>
      </c>
      <c r="AC158" s="5" t="s">
        <v>158</v>
      </c>
      <c r="AD158" s="5" t="s">
        <v>158</v>
      </c>
      <c r="AE158" s="17" t="s">
        <v>158</v>
      </c>
      <c r="AF158" s="5" t="s">
        <v>158</v>
      </c>
      <c r="AG158" s="18" t="s">
        <v>158</v>
      </c>
      <c r="AH158" s="283">
        <f t="shared" si="21"/>
        <v>9.8936170212765955</v>
      </c>
      <c r="AI158" s="261" t="s">
        <v>158</v>
      </c>
      <c r="AJ158" s="261" t="s">
        <v>158</v>
      </c>
      <c r="AK158" s="261">
        <f t="shared" si="19"/>
        <v>4.1382978723404254E-2</v>
      </c>
      <c r="AL158" s="261" t="s">
        <v>158</v>
      </c>
      <c r="AM158" s="261" t="s">
        <v>158</v>
      </c>
      <c r="AN158" s="261" t="s">
        <v>158</v>
      </c>
      <c r="AO158" s="261" t="s">
        <v>158</v>
      </c>
      <c r="AP158" s="261" t="s">
        <v>158</v>
      </c>
      <c r="AQ158" s="261" t="s">
        <v>158</v>
      </c>
      <c r="AR158" s="261" t="s">
        <v>158</v>
      </c>
      <c r="AS158" s="5" t="s">
        <v>158</v>
      </c>
      <c r="AT158" s="5" t="s">
        <v>158</v>
      </c>
      <c r="AU158" s="5" t="s">
        <v>158</v>
      </c>
      <c r="AV158" s="5" t="s">
        <v>158</v>
      </c>
      <c r="AW158" s="5" t="s">
        <v>158</v>
      </c>
      <c r="BC158" s="30">
        <v>186</v>
      </c>
      <c r="BD158" s="30" t="s">
        <v>160</v>
      </c>
      <c r="BE158" s="30" t="s">
        <v>160</v>
      </c>
      <c r="BF158" s="30">
        <v>0.77800000000000002</v>
      </c>
      <c r="BG158" s="17" t="s">
        <v>158</v>
      </c>
      <c r="BH158" s="17" t="s">
        <v>158</v>
      </c>
      <c r="BI158" s="17" t="s">
        <v>158</v>
      </c>
      <c r="BJ158" s="17" t="s">
        <v>158</v>
      </c>
      <c r="BK158" s="17" t="s">
        <v>158</v>
      </c>
      <c r="BL158" s="17" t="s">
        <v>158</v>
      </c>
      <c r="BM158" s="17" t="s">
        <v>158</v>
      </c>
      <c r="BN158" s="5" t="s">
        <v>158</v>
      </c>
      <c r="BO158" s="5" t="s">
        <v>158</v>
      </c>
      <c r="BP158" s="5" t="s">
        <v>158</v>
      </c>
      <c r="BQ158" s="5" t="s">
        <v>158</v>
      </c>
      <c r="BR158" s="5" t="s">
        <v>158</v>
      </c>
      <c r="BS158" s="5" t="s">
        <v>158</v>
      </c>
      <c r="BT158" s="5" t="s">
        <v>158</v>
      </c>
      <c r="BU158" s="5" t="s">
        <v>158</v>
      </c>
      <c r="BV158" s="5" t="s">
        <v>158</v>
      </c>
      <c r="BW158" s="5" t="s">
        <v>158</v>
      </c>
      <c r="BX158" s="5" t="s">
        <v>158</v>
      </c>
      <c r="BY158" s="5" t="s">
        <v>158</v>
      </c>
      <c r="BZ158" s="5" t="s">
        <v>158</v>
      </c>
      <c r="CA158" s="5" t="s">
        <v>158</v>
      </c>
      <c r="CB158" s="5" t="s">
        <v>158</v>
      </c>
      <c r="CC158" s="5" t="s">
        <v>158</v>
      </c>
      <c r="CD158" s="5" t="s">
        <v>158</v>
      </c>
      <c r="CE158" s="5" t="s">
        <v>158</v>
      </c>
      <c r="CF158" s="5" t="s">
        <v>158</v>
      </c>
      <c r="CG158" s="5" t="s">
        <v>158</v>
      </c>
      <c r="CH158" s="5" t="s">
        <v>158</v>
      </c>
      <c r="CI158" s="61">
        <v>120</v>
      </c>
      <c r="CJ158" s="61">
        <v>340</v>
      </c>
      <c r="CK158" s="61">
        <v>1200</v>
      </c>
      <c r="CL158" s="61">
        <v>1100</v>
      </c>
      <c r="CM158" s="61">
        <v>2500</v>
      </c>
      <c r="CN158" s="61">
        <v>2100</v>
      </c>
      <c r="CO158" s="61">
        <v>790</v>
      </c>
      <c r="CP158" s="61">
        <v>8200</v>
      </c>
      <c r="CQ158" s="62">
        <v>46.584094456111437</v>
      </c>
      <c r="CR158" s="62">
        <v>20.559460681747506</v>
      </c>
      <c r="CS158" s="62">
        <v>51.305706583746037</v>
      </c>
      <c r="CT158" s="62">
        <v>37.744316203102883</v>
      </c>
      <c r="CU158" s="62">
        <v>12.747875808291212</v>
      </c>
      <c r="CV158" s="62">
        <v>18.068531449058387</v>
      </c>
      <c r="CW158" s="64">
        <v>-86</v>
      </c>
      <c r="CX158" s="64">
        <v>190</v>
      </c>
      <c r="CY158" s="69">
        <v>-52</v>
      </c>
    </row>
    <row r="159" spans="1:103" x14ac:dyDescent="0.2">
      <c r="A159" s="36" t="s">
        <v>21</v>
      </c>
      <c r="B159" s="58" t="s">
        <v>21</v>
      </c>
      <c r="C159" s="25" t="s">
        <v>20</v>
      </c>
      <c r="D159" s="25" t="s">
        <v>125</v>
      </c>
      <c r="G159" s="28">
        <v>41530</v>
      </c>
      <c r="H159" s="16">
        <v>2013</v>
      </c>
      <c r="I159" s="135" t="s">
        <v>33</v>
      </c>
      <c r="J159" s="135">
        <v>10</v>
      </c>
      <c r="K159" s="136">
        <v>0.6</v>
      </c>
      <c r="L159" s="5" t="s">
        <v>158</v>
      </c>
      <c r="M159" s="5" t="s">
        <v>158</v>
      </c>
      <c r="N159" s="5" t="s">
        <v>158</v>
      </c>
      <c r="O159" s="5" t="s">
        <v>158</v>
      </c>
      <c r="P159" s="5" t="s">
        <v>158</v>
      </c>
      <c r="Q159" s="5" t="s">
        <v>158</v>
      </c>
      <c r="R159" s="5" t="s">
        <v>158</v>
      </c>
      <c r="S159" s="5" t="s">
        <v>158</v>
      </c>
      <c r="T159" s="5" t="s">
        <v>158</v>
      </c>
      <c r="U159" s="17" t="s">
        <v>158</v>
      </c>
      <c r="V159" s="5" t="s">
        <v>158</v>
      </c>
      <c r="W159" s="5" t="s">
        <v>158</v>
      </c>
      <c r="X159" s="5" t="s">
        <v>158</v>
      </c>
      <c r="Y159" s="5" t="s">
        <v>158</v>
      </c>
      <c r="Z159" s="5" t="s">
        <v>158</v>
      </c>
      <c r="AA159" s="5" t="s">
        <v>158</v>
      </c>
      <c r="AB159" s="5" t="s">
        <v>158</v>
      </c>
      <c r="AC159" s="5" t="s">
        <v>158</v>
      </c>
      <c r="AD159" s="5" t="s">
        <v>158</v>
      </c>
      <c r="AE159" s="17" t="s">
        <v>158</v>
      </c>
      <c r="AF159" s="5" t="s">
        <v>158</v>
      </c>
      <c r="AG159" s="18" t="s">
        <v>158</v>
      </c>
      <c r="AH159" s="283">
        <f t="shared" si="21"/>
        <v>29.680851063829785</v>
      </c>
      <c r="AI159" s="261">
        <f>BD159/18.8</f>
        <v>6.5957446808510636E-3</v>
      </c>
      <c r="AJ159" s="261" t="s">
        <v>158</v>
      </c>
      <c r="AK159" s="261">
        <f t="shared" si="19"/>
        <v>6.1170212765957438E-2</v>
      </c>
      <c r="AL159" s="261" t="s">
        <v>158</v>
      </c>
      <c r="AM159" s="261" t="s">
        <v>158</v>
      </c>
      <c r="AN159" s="261" t="s">
        <v>158</v>
      </c>
      <c r="AO159" s="261" t="s">
        <v>158</v>
      </c>
      <c r="AP159" s="261" t="s">
        <v>158</v>
      </c>
      <c r="AQ159" s="261" t="s">
        <v>158</v>
      </c>
      <c r="AR159" s="261" t="s">
        <v>158</v>
      </c>
      <c r="AS159" s="5" t="s">
        <v>158</v>
      </c>
      <c r="AT159" s="5" t="s">
        <v>158</v>
      </c>
      <c r="AU159" s="5" t="s">
        <v>158</v>
      </c>
      <c r="AV159" s="5" t="s">
        <v>158</v>
      </c>
      <c r="AW159" s="5" t="s">
        <v>158</v>
      </c>
      <c r="BC159" s="30">
        <v>558</v>
      </c>
      <c r="BD159" s="30">
        <v>0.124</v>
      </c>
      <c r="BE159" s="30" t="s">
        <v>160</v>
      </c>
      <c r="BF159" s="30">
        <v>1.1499999999999999</v>
      </c>
      <c r="BG159" s="17" t="s">
        <v>158</v>
      </c>
      <c r="BH159" s="17" t="s">
        <v>158</v>
      </c>
      <c r="BI159" s="17" t="s">
        <v>158</v>
      </c>
      <c r="BJ159" s="17" t="s">
        <v>158</v>
      </c>
      <c r="BK159" s="17" t="s">
        <v>158</v>
      </c>
      <c r="BL159" s="17" t="s">
        <v>158</v>
      </c>
      <c r="BM159" s="17" t="s">
        <v>158</v>
      </c>
      <c r="BN159" s="5" t="s">
        <v>158</v>
      </c>
      <c r="BO159" s="5" t="s">
        <v>158</v>
      </c>
      <c r="BP159" s="5" t="s">
        <v>158</v>
      </c>
      <c r="BQ159" s="5" t="s">
        <v>158</v>
      </c>
      <c r="BR159" s="5" t="s">
        <v>158</v>
      </c>
      <c r="BS159" s="5" t="s">
        <v>158</v>
      </c>
      <c r="BT159" s="5" t="s">
        <v>158</v>
      </c>
      <c r="BU159" s="5" t="s">
        <v>158</v>
      </c>
      <c r="BV159" s="5" t="s">
        <v>158</v>
      </c>
      <c r="BW159" s="5" t="s">
        <v>158</v>
      </c>
      <c r="BX159" s="5" t="s">
        <v>158</v>
      </c>
      <c r="BY159" s="5" t="s">
        <v>158</v>
      </c>
      <c r="BZ159" s="5" t="s">
        <v>158</v>
      </c>
      <c r="CA159" s="5" t="s">
        <v>158</v>
      </c>
      <c r="CB159" s="5" t="s">
        <v>158</v>
      </c>
      <c r="CC159" s="5" t="s">
        <v>158</v>
      </c>
      <c r="CD159" s="5" t="s">
        <v>158</v>
      </c>
      <c r="CE159" s="5" t="s">
        <v>158</v>
      </c>
      <c r="CF159" s="5" t="s">
        <v>158</v>
      </c>
      <c r="CG159" s="5" t="s">
        <v>158</v>
      </c>
      <c r="CH159" s="5" t="s">
        <v>158</v>
      </c>
      <c r="CI159" s="65">
        <v>8.0183398882219432</v>
      </c>
      <c r="CJ159" s="61">
        <v>30.650191001298598</v>
      </c>
      <c r="CK159" s="61">
        <v>370</v>
      </c>
      <c r="CL159" s="61">
        <v>320</v>
      </c>
      <c r="CM159" s="61">
        <v>1600</v>
      </c>
      <c r="CN159" s="61">
        <v>1400</v>
      </c>
      <c r="CO159" s="61">
        <v>550</v>
      </c>
      <c r="CP159" s="61">
        <v>4300</v>
      </c>
      <c r="CQ159" s="62">
        <v>57.933770906985842</v>
      </c>
      <c r="CR159" s="62">
        <v>18.98599518174079</v>
      </c>
      <c r="CS159" s="62">
        <v>30.639660359373163</v>
      </c>
      <c r="CT159" s="63" t="s">
        <v>505</v>
      </c>
      <c r="CU159" s="63">
        <v>8.2103429222489535</v>
      </c>
      <c r="CV159" s="63">
        <v>6.5517017146976286</v>
      </c>
      <c r="CW159" s="63">
        <v>-87</v>
      </c>
      <c r="CX159" s="62">
        <v>120</v>
      </c>
      <c r="CY159" s="68">
        <v>-52</v>
      </c>
    </row>
    <row r="160" spans="1:103" x14ac:dyDescent="0.2">
      <c r="A160" s="36" t="s">
        <v>23</v>
      </c>
      <c r="B160" s="58" t="s">
        <v>23</v>
      </c>
      <c r="C160" s="25" t="s">
        <v>20</v>
      </c>
      <c r="D160" s="25" t="s">
        <v>125</v>
      </c>
      <c r="G160" s="28">
        <v>41513</v>
      </c>
      <c r="H160" s="16">
        <v>2013</v>
      </c>
      <c r="I160" s="135" t="s">
        <v>33</v>
      </c>
      <c r="J160" s="135">
        <v>10</v>
      </c>
      <c r="K160" s="136">
        <v>0.73</v>
      </c>
      <c r="L160" s="5" t="s">
        <v>158</v>
      </c>
      <c r="M160" s="5" t="s">
        <v>158</v>
      </c>
      <c r="N160" s="5" t="s">
        <v>158</v>
      </c>
      <c r="O160" s="5" t="s">
        <v>158</v>
      </c>
      <c r="P160" s="5" t="s">
        <v>158</v>
      </c>
      <c r="Q160" s="5" t="s">
        <v>158</v>
      </c>
      <c r="R160" s="5" t="s">
        <v>158</v>
      </c>
      <c r="S160" s="5" t="s">
        <v>158</v>
      </c>
      <c r="T160" s="5" t="s">
        <v>158</v>
      </c>
      <c r="U160" s="17" t="s">
        <v>158</v>
      </c>
      <c r="V160" s="5" t="s">
        <v>158</v>
      </c>
      <c r="W160" s="5" t="s">
        <v>158</v>
      </c>
      <c r="X160" s="5" t="s">
        <v>158</v>
      </c>
      <c r="Y160" s="5" t="s">
        <v>158</v>
      </c>
      <c r="Z160" s="5" t="s">
        <v>158</v>
      </c>
      <c r="AA160" s="5" t="s">
        <v>158</v>
      </c>
      <c r="AB160" s="5" t="s">
        <v>158</v>
      </c>
      <c r="AC160" s="5" t="s">
        <v>158</v>
      </c>
      <c r="AD160" s="5" t="s">
        <v>158</v>
      </c>
      <c r="AE160" s="17" t="s">
        <v>158</v>
      </c>
      <c r="AF160" s="5" t="s">
        <v>158</v>
      </c>
      <c r="AG160" s="18" t="s">
        <v>158</v>
      </c>
      <c r="AH160" s="283">
        <f t="shared" si="21"/>
        <v>19.148936170212764</v>
      </c>
      <c r="AI160" s="261" t="s">
        <v>158</v>
      </c>
      <c r="AJ160" s="261" t="s">
        <v>158</v>
      </c>
      <c r="AK160" s="261" t="s">
        <v>158</v>
      </c>
      <c r="AL160" s="261" t="s">
        <v>158</v>
      </c>
      <c r="AM160" s="261" t="s">
        <v>158</v>
      </c>
      <c r="AN160" s="261" t="s">
        <v>158</v>
      </c>
      <c r="AO160" s="261" t="s">
        <v>158</v>
      </c>
      <c r="AP160" s="261" t="s">
        <v>158</v>
      </c>
      <c r="AQ160" s="261" t="s">
        <v>158</v>
      </c>
      <c r="AR160" s="261" t="s">
        <v>158</v>
      </c>
      <c r="AS160" s="5" t="s">
        <v>158</v>
      </c>
      <c r="AT160" s="5" t="s">
        <v>158</v>
      </c>
      <c r="AU160" s="5" t="s">
        <v>158</v>
      </c>
      <c r="AV160" s="5" t="s">
        <v>158</v>
      </c>
      <c r="AW160" s="5" t="s">
        <v>158</v>
      </c>
      <c r="BC160" s="30">
        <v>360</v>
      </c>
      <c r="BD160" s="30" t="s">
        <v>160</v>
      </c>
      <c r="BE160" s="30" t="s">
        <v>160</v>
      </c>
      <c r="BF160" s="30" t="s">
        <v>160</v>
      </c>
      <c r="BG160" s="17" t="s">
        <v>158</v>
      </c>
      <c r="BH160" s="17" t="s">
        <v>158</v>
      </c>
      <c r="BI160" s="17" t="s">
        <v>158</v>
      </c>
      <c r="BJ160" s="17" t="s">
        <v>158</v>
      </c>
      <c r="BK160" s="17" t="s">
        <v>158</v>
      </c>
      <c r="BL160" s="17" t="s">
        <v>158</v>
      </c>
      <c r="BM160" s="17" t="s">
        <v>158</v>
      </c>
      <c r="BN160" s="5" t="s">
        <v>158</v>
      </c>
      <c r="BO160" s="5" t="s">
        <v>158</v>
      </c>
      <c r="BP160" s="5" t="s">
        <v>158</v>
      </c>
      <c r="BQ160" s="5" t="s">
        <v>158</v>
      </c>
      <c r="BR160" s="5" t="s">
        <v>158</v>
      </c>
      <c r="BS160" s="5" t="s">
        <v>158</v>
      </c>
      <c r="BT160" s="5" t="s">
        <v>158</v>
      </c>
      <c r="BU160" s="5" t="s">
        <v>158</v>
      </c>
      <c r="BV160" s="5" t="s">
        <v>158</v>
      </c>
      <c r="BW160" s="5" t="s">
        <v>158</v>
      </c>
      <c r="BX160" s="5" t="s">
        <v>158</v>
      </c>
      <c r="BY160" s="5" t="s">
        <v>158</v>
      </c>
      <c r="BZ160" s="5" t="s">
        <v>158</v>
      </c>
      <c r="CA160" s="5" t="s">
        <v>158</v>
      </c>
      <c r="CB160" s="5" t="s">
        <v>158</v>
      </c>
      <c r="CC160" s="5" t="s">
        <v>158</v>
      </c>
      <c r="CD160" s="5" t="s">
        <v>158</v>
      </c>
      <c r="CE160" s="5" t="s">
        <v>158</v>
      </c>
      <c r="CF160" s="5" t="s">
        <v>158</v>
      </c>
      <c r="CG160" s="5" t="s">
        <v>158</v>
      </c>
      <c r="CH160" s="5" t="s">
        <v>158</v>
      </c>
      <c r="CI160" s="61">
        <v>61.560161717595648</v>
      </c>
      <c r="CJ160" s="61">
        <v>340</v>
      </c>
      <c r="CK160" s="61">
        <v>1400</v>
      </c>
      <c r="CL160" s="61">
        <v>940</v>
      </c>
      <c r="CM160" s="61">
        <v>2100</v>
      </c>
      <c r="CN160" s="61">
        <v>1900</v>
      </c>
      <c r="CO160" s="61">
        <v>630</v>
      </c>
      <c r="CP160" s="61">
        <v>7400</v>
      </c>
      <c r="CQ160" s="62">
        <v>18.704234802340103</v>
      </c>
      <c r="CR160" s="63">
        <v>6.8320857661242291</v>
      </c>
      <c r="CS160" s="63">
        <v>5.3088666444965327</v>
      </c>
      <c r="CT160" s="63">
        <v>5.4840794016211065</v>
      </c>
      <c r="CU160" s="63">
        <v>3.0185331016054282</v>
      </c>
      <c r="CV160" s="63">
        <v>7.1232894217295248</v>
      </c>
      <c r="CW160" s="62">
        <v>-64</v>
      </c>
      <c r="CX160" s="62">
        <v>46</v>
      </c>
      <c r="CY160" s="68">
        <v>-38</v>
      </c>
    </row>
    <row r="161" spans="1:103" x14ac:dyDescent="0.2">
      <c r="A161" s="37" t="s">
        <v>112</v>
      </c>
      <c r="B161" s="59" t="s">
        <v>24</v>
      </c>
      <c r="C161" s="25" t="s">
        <v>20</v>
      </c>
      <c r="D161" s="25" t="s">
        <v>125</v>
      </c>
      <c r="G161" s="28">
        <v>41146</v>
      </c>
      <c r="H161" s="16">
        <v>2012</v>
      </c>
      <c r="I161" s="135" t="s">
        <v>33</v>
      </c>
      <c r="J161" s="135">
        <v>10</v>
      </c>
      <c r="K161" s="136">
        <v>3.3</v>
      </c>
      <c r="L161" s="5" t="s">
        <v>158</v>
      </c>
      <c r="M161" s="38" t="s">
        <v>501</v>
      </c>
      <c r="N161" s="38">
        <v>0.25</v>
      </c>
      <c r="O161" s="38">
        <v>0.51</v>
      </c>
      <c r="P161" s="38">
        <v>0.44</v>
      </c>
      <c r="Q161" s="38">
        <v>0.71</v>
      </c>
      <c r="R161" s="38">
        <v>0.56999999999999995</v>
      </c>
      <c r="S161" s="39">
        <v>0.27</v>
      </c>
      <c r="T161" s="30">
        <f t="shared" ref="T161:T167" si="22">SUM(M161:S161)</f>
        <v>2.75</v>
      </c>
      <c r="U161" s="17">
        <f t="shared" si="15"/>
        <v>3.5</v>
      </c>
      <c r="V161" s="39" t="s">
        <v>506</v>
      </c>
      <c r="W161" s="39" t="s">
        <v>491</v>
      </c>
      <c r="X161" s="39" t="s">
        <v>507</v>
      </c>
      <c r="Y161" s="39" t="s">
        <v>508</v>
      </c>
      <c r="Z161" s="30" t="s">
        <v>158</v>
      </c>
      <c r="AA161" s="39" t="s">
        <v>509</v>
      </c>
      <c r="AB161" s="39" t="s">
        <v>510</v>
      </c>
      <c r="AC161" s="39" t="s">
        <v>511</v>
      </c>
      <c r="AD161" s="5" t="s">
        <v>158</v>
      </c>
      <c r="AE161" s="17">
        <f>SUM(V161,W161,Y161,X161,AB161,AA161)</f>
        <v>0</v>
      </c>
      <c r="AF161" s="38">
        <v>-0.5</v>
      </c>
      <c r="AG161" s="18" t="s">
        <v>158</v>
      </c>
      <c r="AH161" s="283">
        <f t="shared" si="21"/>
        <v>7.4468085106382977</v>
      </c>
      <c r="AI161" s="283" t="s">
        <v>158</v>
      </c>
      <c r="AJ161" s="283" t="s">
        <v>158</v>
      </c>
      <c r="AK161" s="283" t="s">
        <v>158</v>
      </c>
      <c r="AL161" s="283" t="s">
        <v>158</v>
      </c>
      <c r="AM161" s="283" t="s">
        <v>158</v>
      </c>
      <c r="AN161" s="283">
        <f>BI161/18.8</f>
        <v>0.36170212765957444</v>
      </c>
      <c r="AO161" s="283">
        <f>BJ161/18.8</f>
        <v>7.4468085106382975E-2</v>
      </c>
      <c r="AP161" s="283" t="s">
        <v>158</v>
      </c>
      <c r="AQ161" s="283">
        <f>BL161/18.8</f>
        <v>0.63829787234042545</v>
      </c>
      <c r="AR161" s="283">
        <f>BM161/18.8</f>
        <v>0.53191489361702127</v>
      </c>
      <c r="AS161" s="5" t="s">
        <v>158</v>
      </c>
      <c r="AT161" s="5" t="s">
        <v>158</v>
      </c>
      <c r="AU161" s="5" t="s">
        <v>158</v>
      </c>
      <c r="AV161" s="5" t="s">
        <v>158</v>
      </c>
      <c r="AW161" s="5" t="s">
        <v>158</v>
      </c>
      <c r="BC161" s="38">
        <v>140</v>
      </c>
      <c r="BD161" s="38">
        <v>-10</v>
      </c>
      <c r="BE161" s="38">
        <v>-2</v>
      </c>
      <c r="BF161" s="38">
        <v>-1</v>
      </c>
      <c r="BG161" s="38">
        <v>-35</v>
      </c>
      <c r="BH161" s="38">
        <v>-10</v>
      </c>
      <c r="BI161" s="38">
        <v>6.8</v>
      </c>
      <c r="BJ161" s="38">
        <v>1.4</v>
      </c>
      <c r="BK161" s="38">
        <v>-10</v>
      </c>
      <c r="BL161" s="38">
        <v>12</v>
      </c>
      <c r="BM161" s="38">
        <v>10</v>
      </c>
      <c r="BN161" s="5" t="s">
        <v>158</v>
      </c>
      <c r="BO161" s="5" t="s">
        <v>158</v>
      </c>
      <c r="BP161" s="5" t="s">
        <v>158</v>
      </c>
      <c r="BQ161" s="5" t="s">
        <v>158</v>
      </c>
      <c r="BR161" s="5" t="s">
        <v>158</v>
      </c>
      <c r="BS161" s="5" t="s">
        <v>158</v>
      </c>
      <c r="BT161" s="5" t="s">
        <v>158</v>
      </c>
      <c r="BU161" s="5" t="s">
        <v>158</v>
      </c>
      <c r="BV161" s="5" t="s">
        <v>158</v>
      </c>
      <c r="BW161" s="5" t="s">
        <v>158</v>
      </c>
      <c r="BX161" s="5" t="s">
        <v>158</v>
      </c>
      <c r="BY161" s="5" t="s">
        <v>158</v>
      </c>
      <c r="BZ161" s="5" t="s">
        <v>158</v>
      </c>
      <c r="CA161" s="5" t="s">
        <v>158</v>
      </c>
      <c r="CB161" s="5" t="s">
        <v>158</v>
      </c>
      <c r="CC161" s="5" t="s">
        <v>158</v>
      </c>
      <c r="CD161" s="5" t="s">
        <v>158</v>
      </c>
      <c r="CE161" s="5" t="s">
        <v>158</v>
      </c>
      <c r="CF161" s="5" t="s">
        <v>158</v>
      </c>
      <c r="CG161" s="5" t="s">
        <v>158</v>
      </c>
      <c r="CH161" s="5" t="s">
        <v>158</v>
      </c>
      <c r="CI161" s="17" t="s">
        <v>158</v>
      </c>
      <c r="CJ161" s="17" t="s">
        <v>158</v>
      </c>
      <c r="CK161" s="17" t="s">
        <v>158</v>
      </c>
      <c r="CL161" s="17" t="s">
        <v>158</v>
      </c>
      <c r="CM161" s="17" t="s">
        <v>158</v>
      </c>
      <c r="CN161" s="17" t="s">
        <v>158</v>
      </c>
      <c r="CO161" s="17" t="s">
        <v>158</v>
      </c>
      <c r="CP161" s="17" t="s">
        <v>158</v>
      </c>
      <c r="CQ161" s="17" t="s">
        <v>158</v>
      </c>
      <c r="CR161" s="17" t="s">
        <v>158</v>
      </c>
      <c r="CS161" s="17" t="s">
        <v>158</v>
      </c>
      <c r="CT161" s="17" t="s">
        <v>158</v>
      </c>
      <c r="CU161" s="17" t="s">
        <v>158</v>
      </c>
      <c r="CV161" s="17" t="s">
        <v>158</v>
      </c>
      <c r="CW161" s="17" t="s">
        <v>158</v>
      </c>
      <c r="CX161" s="17" t="s">
        <v>158</v>
      </c>
      <c r="CY161" s="67" t="s">
        <v>158</v>
      </c>
    </row>
    <row r="162" spans="1:103" x14ac:dyDescent="0.2">
      <c r="A162" s="37" t="s">
        <v>26</v>
      </c>
      <c r="B162" s="59" t="s">
        <v>26</v>
      </c>
      <c r="C162" s="25" t="s">
        <v>20</v>
      </c>
      <c r="D162" s="25" t="s">
        <v>125</v>
      </c>
      <c r="G162" s="28">
        <v>41155</v>
      </c>
      <c r="H162" s="16">
        <v>2012</v>
      </c>
      <c r="I162" s="135" t="s">
        <v>33</v>
      </c>
      <c r="J162" s="135">
        <v>5</v>
      </c>
      <c r="K162" s="136">
        <v>1.1000000000000001</v>
      </c>
      <c r="L162" s="5" t="s">
        <v>158</v>
      </c>
      <c r="M162" s="38" t="s">
        <v>512</v>
      </c>
      <c r="N162" s="38" t="s">
        <v>513</v>
      </c>
      <c r="O162" s="38" t="s">
        <v>492</v>
      </c>
      <c r="P162" s="38" t="s">
        <v>514</v>
      </c>
      <c r="Q162" s="38" t="s">
        <v>515</v>
      </c>
      <c r="R162" s="38" t="s">
        <v>438</v>
      </c>
      <c r="S162" s="39" t="s">
        <v>516</v>
      </c>
      <c r="T162" s="30">
        <f t="shared" si="22"/>
        <v>0</v>
      </c>
      <c r="U162" s="17">
        <f t="shared" si="15"/>
        <v>0</v>
      </c>
      <c r="V162" s="39" t="s">
        <v>517</v>
      </c>
      <c r="W162" s="39" t="s">
        <v>518</v>
      </c>
      <c r="X162" s="39" t="s">
        <v>519</v>
      </c>
      <c r="Y162" s="39" t="s">
        <v>520</v>
      </c>
      <c r="Z162" s="30" t="s">
        <v>158</v>
      </c>
      <c r="AA162" s="39" t="s">
        <v>521</v>
      </c>
      <c r="AB162" s="39" t="s">
        <v>522</v>
      </c>
      <c r="AC162" s="39" t="s">
        <v>523</v>
      </c>
      <c r="AD162" s="5" t="s">
        <v>158</v>
      </c>
      <c r="AE162" s="17">
        <f t="shared" ref="AE162:AE192" si="23">SUM(V162,W162,Y162,X162,AB162,AA162)</f>
        <v>0</v>
      </c>
      <c r="AF162" s="5" t="s">
        <v>158</v>
      </c>
      <c r="AG162" s="18" t="s">
        <v>158</v>
      </c>
      <c r="AH162" s="283">
        <f t="shared" si="21"/>
        <v>5.3191489361702127</v>
      </c>
      <c r="AI162" s="283" t="s">
        <v>158</v>
      </c>
      <c r="AJ162" s="283" t="s">
        <v>158</v>
      </c>
      <c r="AK162" s="283" t="s">
        <v>158</v>
      </c>
      <c r="AL162" s="283" t="s">
        <v>158</v>
      </c>
      <c r="AM162" s="283" t="s">
        <v>158</v>
      </c>
      <c r="AN162" s="283">
        <f t="shared" ref="AN162:AN167" si="24">BI162/18.8</f>
        <v>0.24468085106382975</v>
      </c>
      <c r="AO162" s="283" t="s">
        <v>158</v>
      </c>
      <c r="AP162" s="283" t="s">
        <v>158</v>
      </c>
      <c r="AQ162" s="283">
        <f t="shared" ref="AQ162:AQ167" si="25">BL162/18.8</f>
        <v>0.14893617021276595</v>
      </c>
      <c r="AR162" s="283" t="s">
        <v>158</v>
      </c>
      <c r="AS162" s="5" t="s">
        <v>158</v>
      </c>
      <c r="AT162" s="5" t="s">
        <v>158</v>
      </c>
      <c r="AU162" s="5" t="s">
        <v>158</v>
      </c>
      <c r="AV162" s="5" t="s">
        <v>158</v>
      </c>
      <c r="AW162" s="5" t="s">
        <v>158</v>
      </c>
      <c r="BC162" s="38">
        <v>100</v>
      </c>
      <c r="BD162" s="38">
        <v>-2</v>
      </c>
      <c r="BE162" s="38">
        <v>-5</v>
      </c>
      <c r="BF162" s="38">
        <v>-1</v>
      </c>
      <c r="BG162" s="38">
        <v>-5</v>
      </c>
      <c r="BH162" s="38">
        <v>-1</v>
      </c>
      <c r="BI162" s="38">
        <v>4.5999999999999996</v>
      </c>
      <c r="BJ162" s="38">
        <v>-1</v>
      </c>
      <c r="BK162" s="38">
        <v>-10</v>
      </c>
      <c r="BL162" s="38">
        <v>2.8</v>
      </c>
      <c r="BM162" s="38">
        <v>-2</v>
      </c>
      <c r="BN162" s="5" t="s">
        <v>158</v>
      </c>
      <c r="BO162" s="5" t="s">
        <v>158</v>
      </c>
      <c r="BP162" s="5" t="s">
        <v>158</v>
      </c>
      <c r="BQ162" s="5" t="s">
        <v>158</v>
      </c>
      <c r="BR162" s="5" t="s">
        <v>158</v>
      </c>
      <c r="BS162" s="5" t="s">
        <v>158</v>
      </c>
      <c r="BT162" s="5" t="s">
        <v>158</v>
      </c>
      <c r="BU162" s="5" t="s">
        <v>158</v>
      </c>
      <c r="BV162" s="5" t="s">
        <v>158</v>
      </c>
      <c r="BW162" s="5" t="s">
        <v>158</v>
      </c>
      <c r="BX162" s="5" t="s">
        <v>158</v>
      </c>
      <c r="BY162" s="5" t="s">
        <v>158</v>
      </c>
      <c r="BZ162" s="5" t="s">
        <v>158</v>
      </c>
      <c r="CA162" s="5" t="s">
        <v>158</v>
      </c>
      <c r="CB162" s="5" t="s">
        <v>158</v>
      </c>
      <c r="CC162" s="5" t="s">
        <v>158</v>
      </c>
      <c r="CD162" s="5" t="s">
        <v>158</v>
      </c>
      <c r="CE162" s="5" t="s">
        <v>158</v>
      </c>
      <c r="CF162" s="5" t="s">
        <v>158</v>
      </c>
      <c r="CG162" s="5" t="s">
        <v>158</v>
      </c>
      <c r="CH162" s="5" t="s">
        <v>158</v>
      </c>
      <c r="CI162" s="17" t="s">
        <v>158</v>
      </c>
      <c r="CJ162" s="17" t="s">
        <v>158</v>
      </c>
      <c r="CK162" s="17" t="s">
        <v>158</v>
      </c>
      <c r="CL162" s="17" t="s">
        <v>158</v>
      </c>
      <c r="CM162" s="17" t="s">
        <v>158</v>
      </c>
      <c r="CN162" s="17" t="s">
        <v>158</v>
      </c>
      <c r="CO162" s="17" t="s">
        <v>158</v>
      </c>
      <c r="CP162" s="17" t="s">
        <v>158</v>
      </c>
      <c r="CQ162" s="17" t="s">
        <v>158</v>
      </c>
      <c r="CR162" s="17" t="s">
        <v>158</v>
      </c>
      <c r="CS162" s="17" t="s">
        <v>158</v>
      </c>
      <c r="CT162" s="17" t="s">
        <v>158</v>
      </c>
      <c r="CU162" s="17" t="s">
        <v>158</v>
      </c>
      <c r="CV162" s="17" t="s">
        <v>158</v>
      </c>
      <c r="CW162" s="17" t="s">
        <v>158</v>
      </c>
      <c r="CX162" s="17" t="s">
        <v>158</v>
      </c>
      <c r="CY162" s="67" t="s">
        <v>158</v>
      </c>
    </row>
    <row r="163" spans="1:103" x14ac:dyDescent="0.2">
      <c r="A163" s="37" t="s">
        <v>7</v>
      </c>
      <c r="B163" s="59" t="s">
        <v>7</v>
      </c>
      <c r="C163" s="25" t="s">
        <v>20</v>
      </c>
      <c r="D163" s="25" t="s">
        <v>125</v>
      </c>
      <c r="G163" s="28">
        <v>41128</v>
      </c>
      <c r="H163" s="16">
        <v>2012</v>
      </c>
      <c r="I163" s="135" t="s">
        <v>33</v>
      </c>
      <c r="J163" s="135">
        <v>6</v>
      </c>
      <c r="K163" s="136">
        <v>1.4</v>
      </c>
      <c r="L163" s="5" t="s">
        <v>158</v>
      </c>
      <c r="M163" s="38" t="s">
        <v>524</v>
      </c>
      <c r="N163" s="38" t="s">
        <v>525</v>
      </c>
      <c r="O163" s="38" t="s">
        <v>526</v>
      </c>
      <c r="P163" s="38" t="s">
        <v>438</v>
      </c>
      <c r="Q163" s="38" t="s">
        <v>527</v>
      </c>
      <c r="R163" s="38" t="s">
        <v>437</v>
      </c>
      <c r="S163" s="39" t="s">
        <v>526</v>
      </c>
      <c r="T163" s="30">
        <f t="shared" si="22"/>
        <v>0</v>
      </c>
      <c r="U163" s="17">
        <f t="shared" si="15"/>
        <v>0</v>
      </c>
      <c r="V163" s="39" t="s">
        <v>528</v>
      </c>
      <c r="W163" s="39" t="s">
        <v>529</v>
      </c>
      <c r="X163" s="39" t="s">
        <v>530</v>
      </c>
      <c r="Y163" s="39" t="s">
        <v>531</v>
      </c>
      <c r="Z163" s="30" t="s">
        <v>158</v>
      </c>
      <c r="AA163" s="39" t="s">
        <v>532</v>
      </c>
      <c r="AB163" s="39" t="s">
        <v>507</v>
      </c>
      <c r="AC163" s="39" t="s">
        <v>533</v>
      </c>
      <c r="AD163" s="5" t="s">
        <v>158</v>
      </c>
      <c r="AE163" s="17">
        <f t="shared" si="23"/>
        <v>0</v>
      </c>
      <c r="AF163" s="5" t="s">
        <v>158</v>
      </c>
      <c r="AG163" s="18" t="s">
        <v>158</v>
      </c>
      <c r="AH163" s="283">
        <f t="shared" si="21"/>
        <v>8.5106382978723403</v>
      </c>
      <c r="AI163" s="283" t="s">
        <v>158</v>
      </c>
      <c r="AJ163" s="283" t="s">
        <v>158</v>
      </c>
      <c r="AK163" s="283" t="s">
        <v>158</v>
      </c>
      <c r="AL163" s="283" t="s">
        <v>158</v>
      </c>
      <c r="AM163" s="283" t="s">
        <v>158</v>
      </c>
      <c r="AN163" s="283">
        <f t="shared" si="24"/>
        <v>1.0638297872340425</v>
      </c>
      <c r="AO163" s="283">
        <f>BJ163/18.8</f>
        <v>0.53191489361702127</v>
      </c>
      <c r="AP163" s="283" t="s">
        <v>158</v>
      </c>
      <c r="AQ163" s="283">
        <f t="shared" si="25"/>
        <v>0.63829787234042545</v>
      </c>
      <c r="AR163" s="283">
        <f>BM163/18.8</f>
        <v>0.85106382978723405</v>
      </c>
      <c r="AS163" s="5" t="s">
        <v>158</v>
      </c>
      <c r="AT163" s="5" t="s">
        <v>158</v>
      </c>
      <c r="AU163" s="5" t="s">
        <v>158</v>
      </c>
      <c r="AV163" s="5" t="s">
        <v>158</v>
      </c>
      <c r="AW163" s="5" t="s">
        <v>158</v>
      </c>
      <c r="BC163" s="38">
        <v>160</v>
      </c>
      <c r="BD163" s="38">
        <v>-1</v>
      </c>
      <c r="BE163" s="38">
        <v>-2</v>
      </c>
      <c r="BF163" s="38">
        <v>-1</v>
      </c>
      <c r="BG163" s="38">
        <v>-5</v>
      </c>
      <c r="BH163" s="38">
        <v>-1</v>
      </c>
      <c r="BI163" s="38">
        <v>20</v>
      </c>
      <c r="BJ163" s="38">
        <v>10</v>
      </c>
      <c r="BK163" s="38">
        <v>-10</v>
      </c>
      <c r="BL163" s="38">
        <v>12</v>
      </c>
      <c r="BM163" s="38">
        <v>16</v>
      </c>
      <c r="BN163" s="5" t="s">
        <v>158</v>
      </c>
      <c r="BO163" s="5" t="s">
        <v>158</v>
      </c>
      <c r="BP163" s="5" t="s">
        <v>158</v>
      </c>
      <c r="BQ163" s="5" t="s">
        <v>158</v>
      </c>
      <c r="BR163" s="5" t="s">
        <v>158</v>
      </c>
      <c r="BS163" s="5" t="s">
        <v>158</v>
      </c>
      <c r="BT163" s="5" t="s">
        <v>158</v>
      </c>
      <c r="BU163" s="5" t="s">
        <v>158</v>
      </c>
      <c r="BV163" s="5" t="s">
        <v>158</v>
      </c>
      <c r="BW163" s="5" t="s">
        <v>158</v>
      </c>
      <c r="BX163" s="5" t="s">
        <v>158</v>
      </c>
      <c r="BY163" s="5" t="s">
        <v>158</v>
      </c>
      <c r="BZ163" s="5" t="s">
        <v>158</v>
      </c>
      <c r="CA163" s="5" t="s">
        <v>158</v>
      </c>
      <c r="CB163" s="5" t="s">
        <v>158</v>
      </c>
      <c r="CC163" s="5" t="s">
        <v>158</v>
      </c>
      <c r="CD163" s="5" t="s">
        <v>158</v>
      </c>
      <c r="CE163" s="5" t="s">
        <v>158</v>
      </c>
      <c r="CF163" s="5" t="s">
        <v>158</v>
      </c>
      <c r="CG163" s="5" t="s">
        <v>158</v>
      </c>
      <c r="CH163" s="5" t="s">
        <v>158</v>
      </c>
      <c r="CI163" s="17" t="s">
        <v>158</v>
      </c>
      <c r="CJ163" s="17" t="s">
        <v>158</v>
      </c>
      <c r="CK163" s="17" t="s">
        <v>158</v>
      </c>
      <c r="CL163" s="17" t="s">
        <v>158</v>
      </c>
      <c r="CM163" s="17" t="s">
        <v>158</v>
      </c>
      <c r="CN163" s="17" t="s">
        <v>158</v>
      </c>
      <c r="CO163" s="17" t="s">
        <v>158</v>
      </c>
      <c r="CP163" s="17" t="s">
        <v>158</v>
      </c>
      <c r="CQ163" s="17" t="s">
        <v>158</v>
      </c>
      <c r="CR163" s="17" t="s">
        <v>158</v>
      </c>
      <c r="CS163" s="17" t="s">
        <v>158</v>
      </c>
      <c r="CT163" s="17" t="s">
        <v>158</v>
      </c>
      <c r="CU163" s="17" t="s">
        <v>158</v>
      </c>
      <c r="CV163" s="17" t="s">
        <v>158</v>
      </c>
      <c r="CW163" s="17" t="s">
        <v>158</v>
      </c>
      <c r="CX163" s="17" t="s">
        <v>158</v>
      </c>
      <c r="CY163" s="67" t="s">
        <v>158</v>
      </c>
    </row>
    <row r="164" spans="1:103" x14ac:dyDescent="0.2">
      <c r="A164" s="37" t="s">
        <v>22</v>
      </c>
      <c r="B164" s="59" t="s">
        <v>22</v>
      </c>
      <c r="C164" s="25" t="s">
        <v>20</v>
      </c>
      <c r="D164" s="25" t="s">
        <v>125</v>
      </c>
      <c r="G164" s="28">
        <v>41127</v>
      </c>
      <c r="H164" s="16">
        <v>2012</v>
      </c>
      <c r="I164" s="135" t="s">
        <v>33</v>
      </c>
      <c r="J164" s="135">
        <v>6</v>
      </c>
      <c r="K164" s="136">
        <v>1.2</v>
      </c>
      <c r="L164" s="5" t="s">
        <v>158</v>
      </c>
      <c r="M164" s="38" t="s">
        <v>534</v>
      </c>
      <c r="N164" s="38">
        <v>0.74</v>
      </c>
      <c r="O164" s="38">
        <v>1.2</v>
      </c>
      <c r="P164" s="38">
        <v>0.83</v>
      </c>
      <c r="Q164" s="38">
        <v>1.7</v>
      </c>
      <c r="R164" s="38">
        <v>1.1000000000000001</v>
      </c>
      <c r="S164" s="39">
        <v>0.62</v>
      </c>
      <c r="T164" s="30">
        <f t="shared" si="22"/>
        <v>6.19</v>
      </c>
      <c r="U164" s="17">
        <f t="shared" si="15"/>
        <v>22.333333333333336</v>
      </c>
      <c r="V164" s="39" t="s">
        <v>535</v>
      </c>
      <c r="W164" s="39">
        <v>3.1E-2</v>
      </c>
      <c r="X164" s="39">
        <v>9.4000000000000004E-3</v>
      </c>
      <c r="Y164" s="39">
        <v>0.03</v>
      </c>
      <c r="Z164" s="30" t="s">
        <v>158</v>
      </c>
      <c r="AA164" s="39">
        <v>4.1000000000000003E-3</v>
      </c>
      <c r="AB164" s="39" t="s">
        <v>493</v>
      </c>
      <c r="AC164" s="39" t="s">
        <v>435</v>
      </c>
      <c r="AD164" s="5" t="s">
        <v>158</v>
      </c>
      <c r="AE164" s="17">
        <f t="shared" si="23"/>
        <v>7.4500000000000011E-2</v>
      </c>
      <c r="AF164" s="5" t="s">
        <v>158</v>
      </c>
      <c r="AG164" s="18" t="s">
        <v>158</v>
      </c>
      <c r="AH164" s="283">
        <f t="shared" si="21"/>
        <v>19.148936170212764</v>
      </c>
      <c r="AI164" s="283" t="s">
        <v>158</v>
      </c>
      <c r="AJ164" s="283" t="s">
        <v>158</v>
      </c>
      <c r="AK164" s="283" t="s">
        <v>158</v>
      </c>
      <c r="AL164" s="283" t="s">
        <v>158</v>
      </c>
      <c r="AM164" s="283" t="s">
        <v>158</v>
      </c>
      <c r="AN164" s="283">
        <f t="shared" si="24"/>
        <v>0.30319148936170215</v>
      </c>
      <c r="AO164" s="283">
        <f>BJ164/18.8</f>
        <v>0.12234042553191488</v>
      </c>
      <c r="AP164" s="283" t="s">
        <v>158</v>
      </c>
      <c r="AQ164" s="283">
        <f t="shared" si="25"/>
        <v>0.30851063829787234</v>
      </c>
      <c r="AR164" s="283">
        <f>BM164/18.8</f>
        <v>0.63829787234042545</v>
      </c>
      <c r="AS164" s="5" t="s">
        <v>158</v>
      </c>
      <c r="AT164" s="5" t="s">
        <v>158</v>
      </c>
      <c r="AU164" s="5" t="s">
        <v>158</v>
      </c>
      <c r="AV164" s="5" t="s">
        <v>158</v>
      </c>
      <c r="AW164" s="5" t="s">
        <v>158</v>
      </c>
      <c r="BC164" s="38">
        <v>360</v>
      </c>
      <c r="BD164" s="38">
        <v>-4</v>
      </c>
      <c r="BE164" s="38">
        <v>-2</v>
      </c>
      <c r="BF164" s="38">
        <v>-1</v>
      </c>
      <c r="BG164" s="38">
        <v>-5</v>
      </c>
      <c r="BH164" s="38">
        <v>-1</v>
      </c>
      <c r="BI164" s="38">
        <v>5.7</v>
      </c>
      <c r="BJ164" s="38">
        <v>2.2999999999999998</v>
      </c>
      <c r="BK164" s="38">
        <v>-10</v>
      </c>
      <c r="BL164" s="38">
        <v>5.8</v>
      </c>
      <c r="BM164" s="38">
        <v>12</v>
      </c>
      <c r="BN164" s="5" t="s">
        <v>158</v>
      </c>
      <c r="BO164" s="5" t="s">
        <v>158</v>
      </c>
      <c r="BP164" s="5" t="s">
        <v>158</v>
      </c>
      <c r="BQ164" s="5" t="s">
        <v>158</v>
      </c>
      <c r="BR164" s="5" t="s">
        <v>158</v>
      </c>
      <c r="BS164" s="5" t="s">
        <v>158</v>
      </c>
      <c r="BT164" s="5" t="s">
        <v>158</v>
      </c>
      <c r="BU164" s="5" t="s">
        <v>158</v>
      </c>
      <c r="BV164" s="5" t="s">
        <v>158</v>
      </c>
      <c r="BW164" s="5" t="s">
        <v>158</v>
      </c>
      <c r="BX164" s="5" t="s">
        <v>158</v>
      </c>
      <c r="BY164" s="5" t="s">
        <v>158</v>
      </c>
      <c r="BZ164" s="5" t="s">
        <v>158</v>
      </c>
      <c r="CA164" s="5" t="s">
        <v>158</v>
      </c>
      <c r="CB164" s="5" t="s">
        <v>158</v>
      </c>
      <c r="CC164" s="5" t="s">
        <v>158</v>
      </c>
      <c r="CD164" s="5" t="s">
        <v>158</v>
      </c>
      <c r="CE164" s="5" t="s">
        <v>158</v>
      </c>
      <c r="CF164" s="5" t="s">
        <v>158</v>
      </c>
      <c r="CG164" s="5" t="s">
        <v>158</v>
      </c>
      <c r="CH164" s="5" t="s">
        <v>158</v>
      </c>
      <c r="CI164" s="17" t="s">
        <v>158</v>
      </c>
      <c r="CJ164" s="17" t="s">
        <v>158</v>
      </c>
      <c r="CK164" s="17" t="s">
        <v>158</v>
      </c>
      <c r="CL164" s="17" t="s">
        <v>158</v>
      </c>
      <c r="CM164" s="17" t="s">
        <v>158</v>
      </c>
      <c r="CN164" s="17" t="s">
        <v>158</v>
      </c>
      <c r="CO164" s="17" t="s">
        <v>158</v>
      </c>
      <c r="CP164" s="17" t="s">
        <v>158</v>
      </c>
      <c r="CQ164" s="17" t="s">
        <v>158</v>
      </c>
      <c r="CR164" s="17" t="s">
        <v>158</v>
      </c>
      <c r="CS164" s="17" t="s">
        <v>158</v>
      </c>
      <c r="CT164" s="17" t="s">
        <v>158</v>
      </c>
      <c r="CU164" s="17" t="s">
        <v>158</v>
      </c>
      <c r="CV164" s="17" t="s">
        <v>158</v>
      </c>
      <c r="CW164" s="17" t="s">
        <v>158</v>
      </c>
      <c r="CX164" s="17" t="s">
        <v>158</v>
      </c>
      <c r="CY164" s="67" t="s">
        <v>158</v>
      </c>
    </row>
    <row r="165" spans="1:103" x14ac:dyDescent="0.2">
      <c r="A165" s="37" t="s">
        <v>22</v>
      </c>
      <c r="B165" s="59" t="s">
        <v>22</v>
      </c>
      <c r="C165" s="25" t="s">
        <v>20</v>
      </c>
      <c r="D165" s="25" t="s">
        <v>125</v>
      </c>
      <c r="G165" s="28">
        <v>40839</v>
      </c>
      <c r="H165" s="16">
        <v>2011</v>
      </c>
      <c r="I165" s="135" t="s">
        <v>33</v>
      </c>
      <c r="J165" s="135">
        <v>10</v>
      </c>
      <c r="K165" s="136">
        <v>1.2</v>
      </c>
      <c r="L165" s="5" t="s">
        <v>158</v>
      </c>
      <c r="M165" s="38" t="s">
        <v>536</v>
      </c>
      <c r="N165" s="38">
        <v>0.81</v>
      </c>
      <c r="O165" s="38">
        <v>1.7</v>
      </c>
      <c r="P165" s="38">
        <v>1.3</v>
      </c>
      <c r="Q165" s="38">
        <v>2.7</v>
      </c>
      <c r="R165" s="38">
        <v>1.7</v>
      </c>
      <c r="S165" s="39">
        <v>0.96</v>
      </c>
      <c r="T165" s="30">
        <f t="shared" si="22"/>
        <v>9.1699999999999982</v>
      </c>
      <c r="U165" s="17">
        <f t="shared" si="15"/>
        <v>32.791666666666671</v>
      </c>
      <c r="V165" s="39">
        <v>1.5E-3</v>
      </c>
      <c r="W165" s="39">
        <v>6.6000000000000003E-2</v>
      </c>
      <c r="X165" s="39">
        <v>1.7000000000000001E-2</v>
      </c>
      <c r="Y165" s="39">
        <v>2.3E-2</v>
      </c>
      <c r="Z165" s="30" t="s">
        <v>158</v>
      </c>
      <c r="AA165" s="39">
        <v>7.0000000000000001E-3</v>
      </c>
      <c r="AB165" s="39" t="s">
        <v>537</v>
      </c>
      <c r="AC165" s="39" t="s">
        <v>533</v>
      </c>
      <c r="AD165" s="5" t="s">
        <v>158</v>
      </c>
      <c r="AE165" s="17">
        <f t="shared" si="23"/>
        <v>0.1145</v>
      </c>
      <c r="AF165" s="38">
        <v>-0.5</v>
      </c>
      <c r="AG165" s="18" t="s">
        <v>158</v>
      </c>
      <c r="AH165" s="283">
        <f t="shared" si="21"/>
        <v>12.76595744680851</v>
      </c>
      <c r="AI165" s="283" t="s">
        <v>158</v>
      </c>
      <c r="AJ165" s="283" t="s">
        <v>158</v>
      </c>
      <c r="AK165" s="283" t="s">
        <v>158</v>
      </c>
      <c r="AL165" s="283" t="s">
        <v>158</v>
      </c>
      <c r="AM165" s="283">
        <f>BH165/18.8</f>
        <v>0.14361702127659576</v>
      </c>
      <c r="AN165" s="283">
        <f t="shared" si="24"/>
        <v>0.52659574468085102</v>
      </c>
      <c r="AO165" s="283">
        <f>BJ165/18.8</f>
        <v>0.13297872340425532</v>
      </c>
      <c r="AP165" s="283" t="s">
        <v>158</v>
      </c>
      <c r="AQ165" s="283">
        <f t="shared" si="25"/>
        <v>0.53191489361702127</v>
      </c>
      <c r="AR165" s="283">
        <f>BM165/18.8</f>
        <v>0.45744680851063824</v>
      </c>
      <c r="AS165" s="5" t="s">
        <v>158</v>
      </c>
      <c r="AT165" s="5" t="s">
        <v>158</v>
      </c>
      <c r="AU165" s="5" t="s">
        <v>158</v>
      </c>
      <c r="AV165" s="5" t="s">
        <v>158</v>
      </c>
      <c r="AW165" s="5" t="s">
        <v>158</v>
      </c>
      <c r="BC165" s="38">
        <v>240</v>
      </c>
      <c r="BD165" s="38">
        <v>-1</v>
      </c>
      <c r="BE165" s="38">
        <v>-2</v>
      </c>
      <c r="BF165" s="38">
        <v>-1</v>
      </c>
      <c r="BG165" s="38">
        <v>-5</v>
      </c>
      <c r="BH165" s="38">
        <v>2.7</v>
      </c>
      <c r="BI165" s="38">
        <v>9.9</v>
      </c>
      <c r="BJ165" s="38">
        <v>2.5</v>
      </c>
      <c r="BK165" s="38">
        <v>-10</v>
      </c>
      <c r="BL165" s="38">
        <v>10</v>
      </c>
      <c r="BM165" s="38">
        <v>8.6</v>
      </c>
      <c r="BN165" s="5" t="s">
        <v>158</v>
      </c>
      <c r="BO165" s="5" t="s">
        <v>158</v>
      </c>
      <c r="BP165" s="5" t="s">
        <v>158</v>
      </c>
      <c r="BQ165" s="5" t="s">
        <v>158</v>
      </c>
      <c r="BR165" s="5" t="s">
        <v>158</v>
      </c>
      <c r="BS165" s="5" t="s">
        <v>158</v>
      </c>
      <c r="BT165" s="5" t="s">
        <v>158</v>
      </c>
      <c r="BU165" s="5" t="s">
        <v>158</v>
      </c>
      <c r="BV165" s="5" t="s">
        <v>158</v>
      </c>
      <c r="BW165" s="5" t="s">
        <v>158</v>
      </c>
      <c r="BX165" s="5" t="s">
        <v>158</v>
      </c>
      <c r="BY165" s="5" t="s">
        <v>158</v>
      </c>
      <c r="BZ165" s="5" t="s">
        <v>158</v>
      </c>
      <c r="CA165" s="5" t="s">
        <v>158</v>
      </c>
      <c r="CB165" s="5" t="s">
        <v>158</v>
      </c>
      <c r="CC165" s="5" t="s">
        <v>158</v>
      </c>
      <c r="CD165" s="5" t="s">
        <v>158</v>
      </c>
      <c r="CE165" s="5" t="s">
        <v>158</v>
      </c>
      <c r="CF165" s="5" t="s">
        <v>158</v>
      </c>
      <c r="CG165" s="5" t="s">
        <v>158</v>
      </c>
      <c r="CH165" s="5" t="s">
        <v>158</v>
      </c>
      <c r="CI165" s="17" t="s">
        <v>158</v>
      </c>
      <c r="CJ165" s="17" t="s">
        <v>158</v>
      </c>
      <c r="CK165" s="17" t="s">
        <v>158</v>
      </c>
      <c r="CL165" s="17" t="s">
        <v>158</v>
      </c>
      <c r="CM165" s="17" t="s">
        <v>158</v>
      </c>
      <c r="CN165" s="17" t="s">
        <v>158</v>
      </c>
      <c r="CO165" s="17" t="s">
        <v>158</v>
      </c>
      <c r="CP165" s="17" t="s">
        <v>158</v>
      </c>
      <c r="CQ165" s="17" t="s">
        <v>158</v>
      </c>
      <c r="CR165" s="17" t="s">
        <v>158</v>
      </c>
      <c r="CS165" s="17" t="s">
        <v>158</v>
      </c>
      <c r="CT165" s="17" t="s">
        <v>158</v>
      </c>
      <c r="CU165" s="17" t="s">
        <v>158</v>
      </c>
      <c r="CV165" s="17" t="s">
        <v>158</v>
      </c>
      <c r="CW165" s="17" t="s">
        <v>158</v>
      </c>
      <c r="CX165" s="17" t="s">
        <v>158</v>
      </c>
      <c r="CY165" s="67" t="s">
        <v>158</v>
      </c>
    </row>
    <row r="166" spans="1:103" x14ac:dyDescent="0.2">
      <c r="A166" s="37" t="s">
        <v>21</v>
      </c>
      <c r="B166" s="59" t="s">
        <v>21</v>
      </c>
      <c r="C166" s="25" t="s">
        <v>20</v>
      </c>
      <c r="D166" s="25" t="s">
        <v>125</v>
      </c>
      <c r="G166" s="28">
        <v>40782</v>
      </c>
      <c r="H166" s="16">
        <v>2011</v>
      </c>
      <c r="I166" s="135" t="s">
        <v>33</v>
      </c>
      <c r="J166" s="135">
        <v>10</v>
      </c>
      <c r="K166" s="136">
        <v>2.2999999999999998</v>
      </c>
      <c r="L166" s="5" t="s">
        <v>158</v>
      </c>
      <c r="M166" s="38" t="s">
        <v>524</v>
      </c>
      <c r="N166" s="38" t="s">
        <v>538</v>
      </c>
      <c r="O166" s="38" t="s">
        <v>539</v>
      </c>
      <c r="P166" s="38" t="s">
        <v>502</v>
      </c>
      <c r="Q166" s="38" t="s">
        <v>540</v>
      </c>
      <c r="R166" s="38" t="s">
        <v>501</v>
      </c>
      <c r="S166" s="39" t="s">
        <v>541</v>
      </c>
      <c r="T166" s="30">
        <f t="shared" si="22"/>
        <v>0</v>
      </c>
      <c r="U166" s="17">
        <f t="shared" si="15"/>
        <v>0</v>
      </c>
      <c r="V166" s="39" t="s">
        <v>542</v>
      </c>
      <c r="W166" s="39" t="s">
        <v>543</v>
      </c>
      <c r="X166" s="39" t="s">
        <v>522</v>
      </c>
      <c r="Y166" s="39" t="s">
        <v>537</v>
      </c>
      <c r="Z166" s="30" t="s">
        <v>158</v>
      </c>
      <c r="AA166" s="39" t="s">
        <v>544</v>
      </c>
      <c r="AB166" s="39" t="s">
        <v>545</v>
      </c>
      <c r="AC166" s="39" t="s">
        <v>546</v>
      </c>
      <c r="AD166" s="5" t="s">
        <v>158</v>
      </c>
      <c r="AE166" s="17">
        <f t="shared" si="23"/>
        <v>0</v>
      </c>
      <c r="AF166" s="38">
        <v>-0.5</v>
      </c>
      <c r="AG166" s="18" t="s">
        <v>158</v>
      </c>
      <c r="AH166" s="283">
        <f t="shared" si="21"/>
        <v>22.340425531914892</v>
      </c>
      <c r="AI166" s="283" t="s">
        <v>158</v>
      </c>
      <c r="AJ166" s="283" t="s">
        <v>158</v>
      </c>
      <c r="AK166" s="283" t="s">
        <v>158</v>
      </c>
      <c r="AL166" s="283" t="s">
        <v>158</v>
      </c>
      <c r="AM166" s="283" t="s">
        <v>158</v>
      </c>
      <c r="AN166" s="283">
        <f t="shared" si="24"/>
        <v>0.58510638297872342</v>
      </c>
      <c r="AO166" s="283">
        <f>BJ166/18.8</f>
        <v>0.5</v>
      </c>
      <c r="AP166" s="283" t="s">
        <v>158</v>
      </c>
      <c r="AQ166" s="283">
        <f t="shared" si="25"/>
        <v>0.38829787234042551</v>
      </c>
      <c r="AR166" s="283">
        <f>BM166/18.8</f>
        <v>0.21808510638297871</v>
      </c>
      <c r="AS166" s="5" t="s">
        <v>158</v>
      </c>
      <c r="AT166" s="5" t="s">
        <v>158</v>
      </c>
      <c r="AU166" s="5" t="s">
        <v>158</v>
      </c>
      <c r="AV166" s="5" t="s">
        <v>158</v>
      </c>
      <c r="AW166" s="5" t="s">
        <v>158</v>
      </c>
      <c r="BC166" s="38">
        <v>420</v>
      </c>
      <c r="BD166" s="38">
        <v>-2</v>
      </c>
      <c r="BE166" s="38">
        <v>-10</v>
      </c>
      <c r="BF166" s="38">
        <v>-1</v>
      </c>
      <c r="BG166" s="38">
        <v>-5</v>
      </c>
      <c r="BH166" s="38">
        <v>-10</v>
      </c>
      <c r="BI166" s="38">
        <v>11</v>
      </c>
      <c r="BJ166" s="38">
        <v>9.4</v>
      </c>
      <c r="BK166" s="38">
        <v>-10</v>
      </c>
      <c r="BL166" s="38">
        <v>7.3</v>
      </c>
      <c r="BM166" s="38">
        <v>4.0999999999999996</v>
      </c>
      <c r="BN166" s="5" t="s">
        <v>158</v>
      </c>
      <c r="BO166" s="5" t="s">
        <v>158</v>
      </c>
      <c r="BP166" s="5" t="s">
        <v>158</v>
      </c>
      <c r="BQ166" s="5" t="s">
        <v>158</v>
      </c>
      <c r="BR166" s="5" t="s">
        <v>158</v>
      </c>
      <c r="BS166" s="5" t="s">
        <v>158</v>
      </c>
      <c r="BT166" s="5" t="s">
        <v>158</v>
      </c>
      <c r="BU166" s="5" t="s">
        <v>158</v>
      </c>
      <c r="BV166" s="5" t="s">
        <v>158</v>
      </c>
      <c r="BW166" s="5" t="s">
        <v>158</v>
      </c>
      <c r="BX166" s="5" t="s">
        <v>158</v>
      </c>
      <c r="BY166" s="5" t="s">
        <v>158</v>
      </c>
      <c r="BZ166" s="5" t="s">
        <v>158</v>
      </c>
      <c r="CA166" s="5" t="s">
        <v>158</v>
      </c>
      <c r="CB166" s="5" t="s">
        <v>158</v>
      </c>
      <c r="CC166" s="5" t="s">
        <v>158</v>
      </c>
      <c r="CD166" s="5" t="s">
        <v>158</v>
      </c>
      <c r="CE166" s="5" t="s">
        <v>158</v>
      </c>
      <c r="CF166" s="5" t="s">
        <v>158</v>
      </c>
      <c r="CG166" s="5" t="s">
        <v>158</v>
      </c>
      <c r="CH166" s="5" t="s">
        <v>158</v>
      </c>
      <c r="CI166" s="17" t="s">
        <v>158</v>
      </c>
      <c r="CJ166" s="17" t="s">
        <v>158</v>
      </c>
      <c r="CK166" s="17" t="s">
        <v>158</v>
      </c>
      <c r="CL166" s="17" t="s">
        <v>158</v>
      </c>
      <c r="CM166" s="17" t="s">
        <v>158</v>
      </c>
      <c r="CN166" s="17" t="s">
        <v>158</v>
      </c>
      <c r="CO166" s="17" t="s">
        <v>158</v>
      </c>
      <c r="CP166" s="17" t="s">
        <v>158</v>
      </c>
      <c r="CQ166" s="17" t="s">
        <v>158</v>
      </c>
      <c r="CR166" s="17" t="s">
        <v>158</v>
      </c>
      <c r="CS166" s="17" t="s">
        <v>158</v>
      </c>
      <c r="CT166" s="17" t="s">
        <v>158</v>
      </c>
      <c r="CU166" s="17" t="s">
        <v>158</v>
      </c>
      <c r="CV166" s="17" t="s">
        <v>158</v>
      </c>
      <c r="CW166" s="17" t="s">
        <v>158</v>
      </c>
      <c r="CX166" s="17" t="s">
        <v>158</v>
      </c>
      <c r="CY166" s="67" t="s">
        <v>158</v>
      </c>
    </row>
    <row r="167" spans="1:103" x14ac:dyDescent="0.2">
      <c r="A167" s="37" t="s">
        <v>112</v>
      </c>
      <c r="B167" s="59" t="s">
        <v>24</v>
      </c>
      <c r="C167" s="25" t="s">
        <v>20</v>
      </c>
      <c r="D167" s="25" t="s">
        <v>125</v>
      </c>
      <c r="G167" s="28">
        <v>40796</v>
      </c>
      <c r="H167" s="16">
        <v>2011</v>
      </c>
      <c r="I167" s="135" t="s">
        <v>33</v>
      </c>
      <c r="J167" s="135">
        <v>10</v>
      </c>
      <c r="K167" s="136">
        <v>1.1000000000000001</v>
      </c>
      <c r="L167" s="5" t="s">
        <v>158</v>
      </c>
      <c r="M167" s="38" t="s">
        <v>503</v>
      </c>
      <c r="N167" s="38">
        <v>0.65</v>
      </c>
      <c r="O167" s="38">
        <v>1.5</v>
      </c>
      <c r="P167" s="38">
        <v>1.4</v>
      </c>
      <c r="Q167" s="38">
        <v>2.7</v>
      </c>
      <c r="R167" s="38">
        <v>1.9</v>
      </c>
      <c r="S167" s="39">
        <v>0.83</v>
      </c>
      <c r="T167" s="30">
        <f t="shared" si="22"/>
        <v>8.98</v>
      </c>
      <c r="U167" s="17">
        <f t="shared" si="15"/>
        <v>34.454545454545453</v>
      </c>
      <c r="V167" s="39">
        <v>1.9E-3</v>
      </c>
      <c r="W167" s="39">
        <v>6.2E-2</v>
      </c>
      <c r="X167" s="39">
        <v>1.0999999999999999E-2</v>
      </c>
      <c r="Y167" s="39">
        <v>1.4999999999999999E-2</v>
      </c>
      <c r="Z167" s="30" t="s">
        <v>158</v>
      </c>
      <c r="AA167" s="39">
        <v>2.8E-3</v>
      </c>
      <c r="AB167" s="39" t="s">
        <v>530</v>
      </c>
      <c r="AC167" s="39" t="s">
        <v>547</v>
      </c>
      <c r="AD167" s="5" t="s">
        <v>158</v>
      </c>
      <c r="AE167" s="17">
        <f t="shared" si="23"/>
        <v>9.2699999999999991E-2</v>
      </c>
      <c r="AF167" s="38">
        <v>-0.5</v>
      </c>
      <c r="AG167" s="18" t="s">
        <v>158</v>
      </c>
      <c r="AH167" s="283">
        <f t="shared" si="21"/>
        <v>9.0425531914893611</v>
      </c>
      <c r="AI167" s="283" t="s">
        <v>158</v>
      </c>
      <c r="AJ167" s="283" t="s">
        <v>158</v>
      </c>
      <c r="AK167" s="283" t="s">
        <v>158</v>
      </c>
      <c r="AL167" s="283" t="s">
        <v>158</v>
      </c>
      <c r="AM167" s="283" t="s">
        <v>158</v>
      </c>
      <c r="AN167" s="283">
        <f t="shared" si="24"/>
        <v>0.30851063829787234</v>
      </c>
      <c r="AO167" s="283">
        <f>BJ167/18.8</f>
        <v>6.3829787234042548E-2</v>
      </c>
      <c r="AP167" s="283" t="s">
        <v>158</v>
      </c>
      <c r="AQ167" s="283">
        <f t="shared" si="25"/>
        <v>0.29255319148936171</v>
      </c>
      <c r="AR167" s="283">
        <f>BM167/18.8</f>
        <v>0.4893617021276595</v>
      </c>
      <c r="AS167" s="5" t="s">
        <v>158</v>
      </c>
      <c r="AT167" s="5" t="s">
        <v>158</v>
      </c>
      <c r="AU167" s="5" t="s">
        <v>158</v>
      </c>
      <c r="AV167" s="5" t="s">
        <v>158</v>
      </c>
      <c r="AW167" s="5" t="s">
        <v>158</v>
      </c>
      <c r="BC167" s="38">
        <v>170</v>
      </c>
      <c r="BD167" s="38">
        <v>-1</v>
      </c>
      <c r="BE167" s="38">
        <v>-2</v>
      </c>
      <c r="BF167" s="38">
        <v>-1</v>
      </c>
      <c r="BG167" s="38">
        <v>-5</v>
      </c>
      <c r="BH167" s="38">
        <v>-1</v>
      </c>
      <c r="BI167" s="38">
        <v>5.8</v>
      </c>
      <c r="BJ167" s="38">
        <v>1.2</v>
      </c>
      <c r="BK167" s="38">
        <v>-10</v>
      </c>
      <c r="BL167" s="38">
        <v>5.5</v>
      </c>
      <c r="BM167" s="38">
        <v>9.1999999999999993</v>
      </c>
      <c r="BN167" s="5" t="s">
        <v>158</v>
      </c>
      <c r="BO167" s="5" t="s">
        <v>158</v>
      </c>
      <c r="BP167" s="5" t="s">
        <v>158</v>
      </c>
      <c r="BQ167" s="5" t="s">
        <v>158</v>
      </c>
      <c r="BR167" s="5" t="s">
        <v>158</v>
      </c>
      <c r="BS167" s="5" t="s">
        <v>158</v>
      </c>
      <c r="BT167" s="5" t="s">
        <v>158</v>
      </c>
      <c r="BU167" s="5" t="s">
        <v>158</v>
      </c>
      <c r="BV167" s="5" t="s">
        <v>158</v>
      </c>
      <c r="BW167" s="5" t="s">
        <v>158</v>
      </c>
      <c r="BX167" s="5" t="s">
        <v>158</v>
      </c>
      <c r="BY167" s="5" t="s">
        <v>158</v>
      </c>
      <c r="BZ167" s="5" t="s">
        <v>158</v>
      </c>
      <c r="CA167" s="5" t="s">
        <v>158</v>
      </c>
      <c r="CB167" s="5" t="s">
        <v>158</v>
      </c>
      <c r="CC167" s="5" t="s">
        <v>158</v>
      </c>
      <c r="CD167" s="5" t="s">
        <v>158</v>
      </c>
      <c r="CE167" s="5" t="s">
        <v>158</v>
      </c>
      <c r="CF167" s="5" t="s">
        <v>158</v>
      </c>
      <c r="CG167" s="5" t="s">
        <v>158</v>
      </c>
      <c r="CH167" s="5" t="s">
        <v>158</v>
      </c>
      <c r="CI167" s="17" t="s">
        <v>158</v>
      </c>
      <c r="CJ167" s="17" t="s">
        <v>158</v>
      </c>
      <c r="CK167" s="17" t="s">
        <v>158</v>
      </c>
      <c r="CL167" s="17" t="s">
        <v>158</v>
      </c>
      <c r="CM167" s="17" t="s">
        <v>158</v>
      </c>
      <c r="CN167" s="17" t="s">
        <v>158</v>
      </c>
      <c r="CO167" s="17" t="s">
        <v>158</v>
      </c>
      <c r="CP167" s="17" t="s">
        <v>158</v>
      </c>
      <c r="CQ167" s="17" t="s">
        <v>158</v>
      </c>
      <c r="CR167" s="17" t="s">
        <v>158</v>
      </c>
      <c r="CS167" s="17" t="s">
        <v>158</v>
      </c>
      <c r="CT167" s="17" t="s">
        <v>158</v>
      </c>
      <c r="CU167" s="17" t="s">
        <v>158</v>
      </c>
      <c r="CV167" s="17" t="s">
        <v>158</v>
      </c>
      <c r="CW167" s="17" t="s">
        <v>158</v>
      </c>
      <c r="CX167" s="17" t="s">
        <v>158</v>
      </c>
      <c r="CY167" s="67" t="s">
        <v>158</v>
      </c>
    </row>
    <row r="168" spans="1:103" x14ac:dyDescent="0.2">
      <c r="A168" s="37" t="s">
        <v>22</v>
      </c>
      <c r="B168" s="59" t="s">
        <v>22</v>
      </c>
      <c r="C168" s="25" t="s">
        <v>20</v>
      </c>
      <c r="D168" s="25" t="s">
        <v>125</v>
      </c>
      <c r="F168" s="40"/>
      <c r="G168" s="87">
        <v>40496</v>
      </c>
      <c r="H168" s="41">
        <v>2010</v>
      </c>
      <c r="I168" s="143" t="s">
        <v>3</v>
      </c>
      <c r="J168" s="143" t="s">
        <v>114</v>
      </c>
      <c r="K168" s="136">
        <v>0.76</v>
      </c>
      <c r="L168" s="5" t="s">
        <v>158</v>
      </c>
      <c r="M168" s="42">
        <v>1.5</v>
      </c>
      <c r="N168" s="42">
        <v>4.8</v>
      </c>
      <c r="O168" s="42">
        <v>6.8</v>
      </c>
      <c r="P168" s="42">
        <v>4.9000000000000004</v>
      </c>
      <c r="Q168" s="42">
        <v>8.4</v>
      </c>
      <c r="R168" s="42">
        <v>6.6</v>
      </c>
      <c r="S168" s="42">
        <v>1.7</v>
      </c>
      <c r="T168" s="5">
        <f t="shared" ref="T168:T192" si="26">SUM(M168:S168)</f>
        <v>34.700000000000003</v>
      </c>
      <c r="U168" s="17">
        <f t="shared" si="15"/>
        <v>196.05263157894737</v>
      </c>
      <c r="V168" s="42" t="s">
        <v>482</v>
      </c>
      <c r="W168" s="42">
        <v>0.41</v>
      </c>
      <c r="X168" s="42">
        <v>9.7000000000000003E-2</v>
      </c>
      <c r="Y168" s="42">
        <v>0.14000000000000001</v>
      </c>
      <c r="Z168" s="5" t="s">
        <v>158</v>
      </c>
      <c r="AA168" s="42">
        <v>2.5999999999999999E-2</v>
      </c>
      <c r="AB168" s="42" t="s">
        <v>548</v>
      </c>
      <c r="AC168" s="30" t="s">
        <v>158</v>
      </c>
      <c r="AD168" s="5" t="s">
        <v>158</v>
      </c>
      <c r="AE168" s="17">
        <f t="shared" si="23"/>
        <v>0.67300000000000004</v>
      </c>
      <c r="AF168" s="42">
        <v>-1</v>
      </c>
      <c r="AG168" s="18" t="s">
        <v>158</v>
      </c>
      <c r="AH168" s="283">
        <f>BC168/18.8</f>
        <v>13.617021276595745</v>
      </c>
      <c r="AI168" s="284" t="s">
        <v>158</v>
      </c>
      <c r="AJ168" s="284" t="s">
        <v>158</v>
      </c>
      <c r="AK168" s="284" t="s">
        <v>158</v>
      </c>
      <c r="AL168" s="284" t="s">
        <v>158</v>
      </c>
      <c r="AM168" s="284" t="s">
        <v>158</v>
      </c>
      <c r="AN168" s="284" t="s">
        <v>158</v>
      </c>
      <c r="AO168" s="284" t="s">
        <v>158</v>
      </c>
      <c r="AP168" s="284" t="s">
        <v>158</v>
      </c>
      <c r="AQ168" s="284" t="s">
        <v>158</v>
      </c>
      <c r="AR168" s="284" t="s">
        <v>158</v>
      </c>
      <c r="AS168" s="5" t="s">
        <v>158</v>
      </c>
      <c r="AT168" s="5" t="s">
        <v>158</v>
      </c>
      <c r="AU168" s="5" t="s">
        <v>158</v>
      </c>
      <c r="AV168" s="5" t="s">
        <v>158</v>
      </c>
      <c r="AW168" s="5" t="s">
        <v>158</v>
      </c>
      <c r="BC168" s="107">
        <v>256</v>
      </c>
      <c r="BD168" s="17" t="s">
        <v>158</v>
      </c>
      <c r="BE168" s="17" t="s">
        <v>158</v>
      </c>
      <c r="BF168" s="17" t="s">
        <v>158</v>
      </c>
      <c r="BG168" s="17" t="s">
        <v>158</v>
      </c>
      <c r="BH168" s="17" t="s">
        <v>158</v>
      </c>
      <c r="BI168" s="17" t="s">
        <v>158</v>
      </c>
      <c r="BJ168" s="17" t="s">
        <v>158</v>
      </c>
      <c r="BK168" s="17" t="s">
        <v>158</v>
      </c>
      <c r="BL168" s="17" t="s">
        <v>158</v>
      </c>
      <c r="BM168" s="17" t="s">
        <v>158</v>
      </c>
      <c r="BN168" s="5" t="s">
        <v>158</v>
      </c>
      <c r="BO168" s="5" t="s">
        <v>158</v>
      </c>
      <c r="BP168" s="5" t="s">
        <v>158</v>
      </c>
      <c r="BQ168" s="5" t="s">
        <v>158</v>
      </c>
      <c r="BR168" s="5" t="s">
        <v>158</v>
      </c>
      <c r="BS168" s="5" t="s">
        <v>158</v>
      </c>
      <c r="BT168" s="5" t="s">
        <v>158</v>
      </c>
      <c r="BU168" s="5" t="s">
        <v>158</v>
      </c>
      <c r="BV168" s="5" t="s">
        <v>158</v>
      </c>
      <c r="BW168" s="5" t="s">
        <v>158</v>
      </c>
      <c r="BX168" s="5" t="s">
        <v>158</v>
      </c>
      <c r="BY168" s="5" t="s">
        <v>158</v>
      </c>
      <c r="BZ168" s="5" t="s">
        <v>158</v>
      </c>
      <c r="CA168" s="5" t="s">
        <v>158</v>
      </c>
      <c r="CB168" s="5" t="s">
        <v>158</v>
      </c>
      <c r="CC168" s="5" t="s">
        <v>158</v>
      </c>
      <c r="CD168" s="5" t="s">
        <v>158</v>
      </c>
      <c r="CE168" s="5" t="s">
        <v>158</v>
      </c>
      <c r="CF168" s="5" t="s">
        <v>158</v>
      </c>
      <c r="CG168" s="5" t="s">
        <v>158</v>
      </c>
      <c r="CH168" s="5" t="s">
        <v>158</v>
      </c>
      <c r="CI168" s="17" t="s">
        <v>158</v>
      </c>
      <c r="CJ168" s="17" t="s">
        <v>158</v>
      </c>
      <c r="CK168" s="17" t="s">
        <v>158</v>
      </c>
      <c r="CL168" s="17" t="s">
        <v>158</v>
      </c>
      <c r="CM168" s="17" t="s">
        <v>158</v>
      </c>
      <c r="CN168" s="17" t="s">
        <v>158</v>
      </c>
      <c r="CO168" s="17" t="s">
        <v>158</v>
      </c>
      <c r="CP168" s="17" t="s">
        <v>158</v>
      </c>
      <c r="CQ168" s="17" t="s">
        <v>158</v>
      </c>
      <c r="CR168" s="17" t="s">
        <v>158</v>
      </c>
      <c r="CS168" s="17" t="s">
        <v>158</v>
      </c>
      <c r="CT168" s="17" t="s">
        <v>158</v>
      </c>
      <c r="CU168" s="17" t="s">
        <v>158</v>
      </c>
      <c r="CV168" s="17" t="s">
        <v>158</v>
      </c>
      <c r="CW168" s="17" t="s">
        <v>158</v>
      </c>
      <c r="CX168" s="17" t="s">
        <v>158</v>
      </c>
      <c r="CY168" s="67" t="s">
        <v>158</v>
      </c>
    </row>
    <row r="169" spans="1:103" x14ac:dyDescent="0.2">
      <c r="A169" s="37" t="s">
        <v>22</v>
      </c>
      <c r="B169" s="59" t="s">
        <v>22</v>
      </c>
      <c r="C169" s="25" t="s">
        <v>20</v>
      </c>
      <c r="D169" s="25" t="s">
        <v>125</v>
      </c>
      <c r="F169" s="44"/>
      <c r="G169" s="87">
        <v>40496</v>
      </c>
      <c r="H169" s="41">
        <v>2010</v>
      </c>
      <c r="I169" s="143" t="s">
        <v>3</v>
      </c>
      <c r="J169" s="143" t="s">
        <v>114</v>
      </c>
      <c r="K169" s="136">
        <v>0.69</v>
      </c>
      <c r="L169" s="5" t="s">
        <v>158</v>
      </c>
      <c r="M169" s="42">
        <v>1.9</v>
      </c>
      <c r="N169" s="42">
        <v>4.7</v>
      </c>
      <c r="O169" s="42">
        <v>4.9000000000000004</v>
      </c>
      <c r="P169" s="42">
        <v>3.9</v>
      </c>
      <c r="Q169" s="42">
        <v>7.2</v>
      </c>
      <c r="R169" s="42">
        <v>5.5</v>
      </c>
      <c r="S169" s="42">
        <v>1.6</v>
      </c>
      <c r="T169" s="5">
        <f t="shared" si="26"/>
        <v>29.700000000000003</v>
      </c>
      <c r="U169" s="17">
        <f t="shared" si="15"/>
        <v>186.95652173913044</v>
      </c>
      <c r="V169" s="42">
        <v>2.1999999999999999E-2</v>
      </c>
      <c r="W169" s="42">
        <v>0.36</v>
      </c>
      <c r="X169" s="42">
        <v>9.2999999999999999E-2</v>
      </c>
      <c r="Y169" s="42">
        <v>8.3000000000000004E-2</v>
      </c>
      <c r="Z169" s="5" t="s">
        <v>158</v>
      </c>
      <c r="AA169" s="42">
        <v>2.3E-2</v>
      </c>
      <c r="AB169" s="42">
        <v>2.1999999999999999E-2</v>
      </c>
      <c r="AC169" s="30" t="s">
        <v>158</v>
      </c>
      <c r="AD169" s="5" t="s">
        <v>158</v>
      </c>
      <c r="AE169" s="17">
        <f t="shared" si="23"/>
        <v>0.60300000000000009</v>
      </c>
      <c r="AF169" s="42">
        <v>-0.5</v>
      </c>
      <c r="AG169" s="18" t="s">
        <v>158</v>
      </c>
      <c r="AH169" s="283">
        <f t="shared" si="21"/>
        <v>22.127659574468083</v>
      </c>
      <c r="AI169" s="284" t="s">
        <v>158</v>
      </c>
      <c r="AJ169" s="284" t="s">
        <v>158</v>
      </c>
      <c r="AK169" s="284" t="s">
        <v>158</v>
      </c>
      <c r="AL169" s="284" t="s">
        <v>158</v>
      </c>
      <c r="AM169" s="284" t="s">
        <v>158</v>
      </c>
      <c r="AN169" s="284" t="s">
        <v>158</v>
      </c>
      <c r="AO169" s="284" t="s">
        <v>158</v>
      </c>
      <c r="AP169" s="284" t="s">
        <v>158</v>
      </c>
      <c r="AQ169" s="284" t="s">
        <v>158</v>
      </c>
      <c r="AR169" s="284" t="s">
        <v>158</v>
      </c>
      <c r="AS169" s="5" t="s">
        <v>158</v>
      </c>
      <c r="AT169" s="5" t="s">
        <v>158</v>
      </c>
      <c r="AU169" s="5" t="s">
        <v>158</v>
      </c>
      <c r="AV169" s="5" t="s">
        <v>158</v>
      </c>
      <c r="AW169" s="5" t="s">
        <v>158</v>
      </c>
      <c r="BC169" s="107">
        <v>416</v>
      </c>
      <c r="BD169" s="17" t="s">
        <v>158</v>
      </c>
      <c r="BE169" s="17" t="s">
        <v>158</v>
      </c>
      <c r="BF169" s="17" t="s">
        <v>158</v>
      </c>
      <c r="BG169" s="17" t="s">
        <v>158</v>
      </c>
      <c r="BH169" s="17" t="s">
        <v>158</v>
      </c>
      <c r="BI169" s="17" t="s">
        <v>158</v>
      </c>
      <c r="BJ169" s="17" t="s">
        <v>158</v>
      </c>
      <c r="BK169" s="17" t="s">
        <v>158</v>
      </c>
      <c r="BL169" s="17" t="s">
        <v>158</v>
      </c>
      <c r="BM169" s="17" t="s">
        <v>158</v>
      </c>
      <c r="BN169" s="5" t="s">
        <v>158</v>
      </c>
      <c r="BO169" s="5" t="s">
        <v>158</v>
      </c>
      <c r="BP169" s="5" t="s">
        <v>158</v>
      </c>
      <c r="BQ169" s="5" t="s">
        <v>158</v>
      </c>
      <c r="BR169" s="5" t="s">
        <v>158</v>
      </c>
      <c r="BS169" s="5" t="s">
        <v>158</v>
      </c>
      <c r="BT169" s="5" t="s">
        <v>158</v>
      </c>
      <c r="BU169" s="5" t="s">
        <v>158</v>
      </c>
      <c r="BV169" s="5" t="s">
        <v>158</v>
      </c>
      <c r="BW169" s="5" t="s">
        <v>158</v>
      </c>
      <c r="BX169" s="5" t="s">
        <v>158</v>
      </c>
      <c r="BY169" s="5" t="s">
        <v>158</v>
      </c>
      <c r="BZ169" s="5" t="s">
        <v>158</v>
      </c>
      <c r="CA169" s="5" t="s">
        <v>158</v>
      </c>
      <c r="CB169" s="5" t="s">
        <v>158</v>
      </c>
      <c r="CC169" s="5" t="s">
        <v>158</v>
      </c>
      <c r="CD169" s="5" t="s">
        <v>158</v>
      </c>
      <c r="CE169" s="5" t="s">
        <v>158</v>
      </c>
      <c r="CF169" s="5" t="s">
        <v>158</v>
      </c>
      <c r="CG169" s="5" t="s">
        <v>158</v>
      </c>
      <c r="CH169" s="5" t="s">
        <v>158</v>
      </c>
      <c r="CI169" s="17" t="s">
        <v>158</v>
      </c>
      <c r="CJ169" s="17" t="s">
        <v>158</v>
      </c>
      <c r="CK169" s="17" t="s">
        <v>158</v>
      </c>
      <c r="CL169" s="17" t="s">
        <v>158</v>
      </c>
      <c r="CM169" s="17" t="s">
        <v>158</v>
      </c>
      <c r="CN169" s="17" t="s">
        <v>158</v>
      </c>
      <c r="CO169" s="17" t="s">
        <v>158</v>
      </c>
      <c r="CP169" s="17" t="s">
        <v>158</v>
      </c>
      <c r="CQ169" s="17" t="s">
        <v>158</v>
      </c>
      <c r="CR169" s="17" t="s">
        <v>158</v>
      </c>
      <c r="CS169" s="17" t="s">
        <v>158</v>
      </c>
      <c r="CT169" s="17" t="s">
        <v>158</v>
      </c>
      <c r="CU169" s="17" t="s">
        <v>158</v>
      </c>
      <c r="CV169" s="17" t="s">
        <v>158</v>
      </c>
      <c r="CW169" s="17" t="s">
        <v>158</v>
      </c>
      <c r="CX169" s="17" t="s">
        <v>158</v>
      </c>
      <c r="CY169" s="67" t="s">
        <v>158</v>
      </c>
    </row>
    <row r="170" spans="1:103" x14ac:dyDescent="0.2">
      <c r="A170" s="37" t="s">
        <v>22</v>
      </c>
      <c r="B170" s="59" t="s">
        <v>22</v>
      </c>
      <c r="C170" s="25" t="s">
        <v>20</v>
      </c>
      <c r="D170" s="25" t="s">
        <v>125</v>
      </c>
      <c r="F170" s="40"/>
      <c r="G170" s="87">
        <v>40496</v>
      </c>
      <c r="H170" s="41">
        <v>2010</v>
      </c>
      <c r="I170" s="143" t="s">
        <v>3</v>
      </c>
      <c r="J170" s="143" t="s">
        <v>114</v>
      </c>
      <c r="K170" s="136">
        <v>0.71</v>
      </c>
      <c r="L170" s="5" t="s">
        <v>158</v>
      </c>
      <c r="M170" s="42">
        <v>2.2000000000000002</v>
      </c>
      <c r="N170" s="42">
        <v>4.3</v>
      </c>
      <c r="O170" s="42">
        <v>7.7</v>
      </c>
      <c r="P170" s="42">
        <v>7.8</v>
      </c>
      <c r="Q170" s="42">
        <v>8.6999999999999993</v>
      </c>
      <c r="R170" s="42">
        <v>8.5</v>
      </c>
      <c r="S170" s="42">
        <v>1.9</v>
      </c>
      <c r="T170" s="5">
        <f t="shared" si="26"/>
        <v>41.1</v>
      </c>
      <c r="U170" s="17">
        <f t="shared" si="15"/>
        <v>234.50704225352112</v>
      </c>
      <c r="V170" s="42" t="s">
        <v>549</v>
      </c>
      <c r="W170" s="42">
        <v>0.43</v>
      </c>
      <c r="X170" s="42">
        <v>0.11</v>
      </c>
      <c r="Y170" s="42">
        <v>0.13</v>
      </c>
      <c r="Z170" s="5" t="s">
        <v>158</v>
      </c>
      <c r="AA170" s="42">
        <v>2.7E-2</v>
      </c>
      <c r="AB170" s="42">
        <v>1.7999999999999999E-2</v>
      </c>
      <c r="AC170" s="30" t="s">
        <v>158</v>
      </c>
      <c r="AD170" s="5" t="s">
        <v>158</v>
      </c>
      <c r="AE170" s="17">
        <f t="shared" si="23"/>
        <v>0.71500000000000008</v>
      </c>
      <c r="AF170" s="42">
        <v>-0.5</v>
      </c>
      <c r="AG170" s="18" t="s">
        <v>158</v>
      </c>
      <c r="AH170" s="283">
        <f t="shared" si="21"/>
        <v>11.117021276595745</v>
      </c>
      <c r="AI170" s="284" t="s">
        <v>158</v>
      </c>
      <c r="AJ170" s="284" t="s">
        <v>158</v>
      </c>
      <c r="AK170" s="284" t="s">
        <v>158</v>
      </c>
      <c r="AL170" s="284" t="s">
        <v>158</v>
      </c>
      <c r="AM170" s="284" t="s">
        <v>158</v>
      </c>
      <c r="AN170" s="284" t="s">
        <v>158</v>
      </c>
      <c r="AO170" s="284" t="s">
        <v>158</v>
      </c>
      <c r="AP170" s="284" t="s">
        <v>158</v>
      </c>
      <c r="AQ170" s="284" t="s">
        <v>158</v>
      </c>
      <c r="AR170" s="284" t="s">
        <v>158</v>
      </c>
      <c r="AS170" s="5" t="s">
        <v>158</v>
      </c>
      <c r="AT170" s="5" t="s">
        <v>158</v>
      </c>
      <c r="AU170" s="5" t="s">
        <v>158</v>
      </c>
      <c r="AV170" s="5" t="s">
        <v>158</v>
      </c>
      <c r="AW170" s="5" t="s">
        <v>158</v>
      </c>
      <c r="BC170" s="107">
        <v>209</v>
      </c>
      <c r="BD170" s="17" t="s">
        <v>158</v>
      </c>
      <c r="BE170" s="17" t="s">
        <v>158</v>
      </c>
      <c r="BF170" s="17" t="s">
        <v>158</v>
      </c>
      <c r="BG170" s="17" t="s">
        <v>158</v>
      </c>
      <c r="BH170" s="17" t="s">
        <v>158</v>
      </c>
      <c r="BI170" s="17" t="s">
        <v>158</v>
      </c>
      <c r="BJ170" s="17" t="s">
        <v>158</v>
      </c>
      <c r="BK170" s="17" t="s">
        <v>158</v>
      </c>
      <c r="BL170" s="17" t="s">
        <v>158</v>
      </c>
      <c r="BM170" s="17" t="s">
        <v>158</v>
      </c>
      <c r="BN170" s="5" t="s">
        <v>158</v>
      </c>
      <c r="BO170" s="5" t="s">
        <v>158</v>
      </c>
      <c r="BP170" s="5" t="s">
        <v>158</v>
      </c>
      <c r="BQ170" s="5" t="s">
        <v>158</v>
      </c>
      <c r="BR170" s="5" t="s">
        <v>158</v>
      </c>
      <c r="BS170" s="5" t="s">
        <v>158</v>
      </c>
      <c r="BT170" s="5" t="s">
        <v>158</v>
      </c>
      <c r="BU170" s="5" t="s">
        <v>158</v>
      </c>
      <c r="BV170" s="5" t="s">
        <v>158</v>
      </c>
      <c r="BW170" s="5" t="s">
        <v>158</v>
      </c>
      <c r="BX170" s="5" t="s">
        <v>158</v>
      </c>
      <c r="BY170" s="5" t="s">
        <v>158</v>
      </c>
      <c r="BZ170" s="5" t="s">
        <v>158</v>
      </c>
      <c r="CA170" s="5" t="s">
        <v>158</v>
      </c>
      <c r="CB170" s="5" t="s">
        <v>158</v>
      </c>
      <c r="CC170" s="5" t="s">
        <v>158</v>
      </c>
      <c r="CD170" s="5" t="s">
        <v>158</v>
      </c>
      <c r="CE170" s="5" t="s">
        <v>158</v>
      </c>
      <c r="CF170" s="5" t="s">
        <v>158</v>
      </c>
      <c r="CG170" s="5" t="s">
        <v>158</v>
      </c>
      <c r="CH170" s="5" t="s">
        <v>158</v>
      </c>
      <c r="CI170" s="17" t="s">
        <v>158</v>
      </c>
      <c r="CJ170" s="17" t="s">
        <v>158</v>
      </c>
      <c r="CK170" s="17" t="s">
        <v>158</v>
      </c>
      <c r="CL170" s="17" t="s">
        <v>158</v>
      </c>
      <c r="CM170" s="17" t="s">
        <v>158</v>
      </c>
      <c r="CN170" s="17" t="s">
        <v>158</v>
      </c>
      <c r="CO170" s="17" t="s">
        <v>158</v>
      </c>
      <c r="CP170" s="17" t="s">
        <v>158</v>
      </c>
      <c r="CQ170" s="17" t="s">
        <v>158</v>
      </c>
      <c r="CR170" s="17" t="s">
        <v>158</v>
      </c>
      <c r="CS170" s="17" t="s">
        <v>158</v>
      </c>
      <c r="CT170" s="17" t="s">
        <v>158</v>
      </c>
      <c r="CU170" s="17" t="s">
        <v>158</v>
      </c>
      <c r="CV170" s="17" t="s">
        <v>158</v>
      </c>
      <c r="CW170" s="17" t="s">
        <v>158</v>
      </c>
      <c r="CX170" s="17" t="s">
        <v>158</v>
      </c>
      <c r="CY170" s="67" t="s">
        <v>158</v>
      </c>
    </row>
    <row r="171" spans="1:103" x14ac:dyDescent="0.2">
      <c r="A171" s="37" t="s">
        <v>22</v>
      </c>
      <c r="B171" s="59" t="s">
        <v>22</v>
      </c>
      <c r="C171" s="25" t="s">
        <v>20</v>
      </c>
      <c r="D171" s="25" t="s">
        <v>125</v>
      </c>
      <c r="F171" s="40"/>
      <c r="G171" s="87">
        <v>40496</v>
      </c>
      <c r="H171" s="41">
        <v>2010</v>
      </c>
      <c r="I171" s="143" t="s">
        <v>3</v>
      </c>
      <c r="J171" s="143" t="s">
        <v>114</v>
      </c>
      <c r="K171" s="136">
        <v>0.72</v>
      </c>
      <c r="L171" s="5" t="s">
        <v>158</v>
      </c>
      <c r="M171" s="42">
        <v>2.2999999999999998</v>
      </c>
      <c r="N171" s="42">
        <v>4</v>
      </c>
      <c r="O171" s="42">
        <v>5.5</v>
      </c>
      <c r="P171" s="42">
        <v>4.4000000000000004</v>
      </c>
      <c r="Q171" s="42">
        <v>6.9</v>
      </c>
      <c r="R171" s="42">
        <v>5.3</v>
      </c>
      <c r="S171" s="42">
        <v>1.7</v>
      </c>
      <c r="T171" s="5">
        <f t="shared" si="26"/>
        <v>30.1</v>
      </c>
      <c r="U171" s="17">
        <f t="shared" ref="U171:U192" si="27">SUM(M171,N171,O171,Q171,R171,S171)*(5/K171)</f>
        <v>178.47222222222226</v>
      </c>
      <c r="V171" s="42">
        <v>1.2E-2</v>
      </c>
      <c r="W171" s="42">
        <v>1.5</v>
      </c>
      <c r="X171" s="42">
        <v>0.51</v>
      </c>
      <c r="Y171" s="42">
        <v>0.28999999999999998</v>
      </c>
      <c r="Z171" s="5" t="s">
        <v>158</v>
      </c>
      <c r="AA171" s="42">
        <v>6.6000000000000003E-2</v>
      </c>
      <c r="AB171" s="42">
        <v>3.2000000000000001E-2</v>
      </c>
      <c r="AC171" s="30" t="s">
        <v>158</v>
      </c>
      <c r="AD171" s="5" t="s">
        <v>158</v>
      </c>
      <c r="AE171" s="17">
        <f t="shared" si="23"/>
        <v>2.41</v>
      </c>
      <c r="AF171" s="42">
        <v>-0.5</v>
      </c>
      <c r="AG171" s="18" t="s">
        <v>158</v>
      </c>
      <c r="AH171" s="283">
        <f t="shared" si="21"/>
        <v>13.617021276595745</v>
      </c>
      <c r="AI171" s="284" t="s">
        <v>158</v>
      </c>
      <c r="AJ171" s="284" t="s">
        <v>158</v>
      </c>
      <c r="AK171" s="284" t="s">
        <v>158</v>
      </c>
      <c r="AL171" s="284" t="s">
        <v>158</v>
      </c>
      <c r="AM171" s="284" t="s">
        <v>158</v>
      </c>
      <c r="AN171" s="284" t="s">
        <v>158</v>
      </c>
      <c r="AO171" s="284" t="s">
        <v>158</v>
      </c>
      <c r="AP171" s="284" t="s">
        <v>158</v>
      </c>
      <c r="AQ171" s="284" t="s">
        <v>158</v>
      </c>
      <c r="AR171" s="284" t="s">
        <v>158</v>
      </c>
      <c r="AS171" s="5" t="s">
        <v>158</v>
      </c>
      <c r="AT171" s="5" t="s">
        <v>158</v>
      </c>
      <c r="AU171" s="5" t="s">
        <v>158</v>
      </c>
      <c r="AV171" s="5" t="s">
        <v>158</v>
      </c>
      <c r="AW171" s="5" t="s">
        <v>158</v>
      </c>
      <c r="BC171" s="107">
        <v>256</v>
      </c>
      <c r="BD171" s="17" t="s">
        <v>158</v>
      </c>
      <c r="BE171" s="17" t="s">
        <v>158</v>
      </c>
      <c r="BF171" s="17" t="s">
        <v>158</v>
      </c>
      <c r="BG171" s="17" t="s">
        <v>158</v>
      </c>
      <c r="BH171" s="17" t="s">
        <v>158</v>
      </c>
      <c r="BI171" s="17" t="s">
        <v>158</v>
      </c>
      <c r="BJ171" s="17" t="s">
        <v>158</v>
      </c>
      <c r="BK171" s="17" t="s">
        <v>158</v>
      </c>
      <c r="BL171" s="17" t="s">
        <v>158</v>
      </c>
      <c r="BM171" s="17" t="s">
        <v>158</v>
      </c>
      <c r="BN171" s="5" t="s">
        <v>158</v>
      </c>
      <c r="BO171" s="5" t="s">
        <v>158</v>
      </c>
      <c r="BP171" s="5" t="s">
        <v>158</v>
      </c>
      <c r="BQ171" s="5" t="s">
        <v>158</v>
      </c>
      <c r="BR171" s="5" t="s">
        <v>158</v>
      </c>
      <c r="BS171" s="5" t="s">
        <v>158</v>
      </c>
      <c r="BT171" s="5" t="s">
        <v>158</v>
      </c>
      <c r="BU171" s="5" t="s">
        <v>158</v>
      </c>
      <c r="BV171" s="5" t="s">
        <v>158</v>
      </c>
      <c r="BW171" s="5" t="s">
        <v>158</v>
      </c>
      <c r="BX171" s="5" t="s">
        <v>158</v>
      </c>
      <c r="BY171" s="5" t="s">
        <v>158</v>
      </c>
      <c r="BZ171" s="5" t="s">
        <v>158</v>
      </c>
      <c r="CA171" s="5" t="s">
        <v>158</v>
      </c>
      <c r="CB171" s="5" t="s">
        <v>158</v>
      </c>
      <c r="CC171" s="5" t="s">
        <v>158</v>
      </c>
      <c r="CD171" s="5" t="s">
        <v>158</v>
      </c>
      <c r="CE171" s="5" t="s">
        <v>158</v>
      </c>
      <c r="CF171" s="5" t="s">
        <v>158</v>
      </c>
      <c r="CG171" s="5" t="s">
        <v>158</v>
      </c>
      <c r="CH171" s="5" t="s">
        <v>158</v>
      </c>
      <c r="CI171" s="17" t="s">
        <v>158</v>
      </c>
      <c r="CJ171" s="17" t="s">
        <v>158</v>
      </c>
      <c r="CK171" s="17" t="s">
        <v>158</v>
      </c>
      <c r="CL171" s="17" t="s">
        <v>158</v>
      </c>
      <c r="CM171" s="17" t="s">
        <v>158</v>
      </c>
      <c r="CN171" s="17" t="s">
        <v>158</v>
      </c>
      <c r="CO171" s="17" t="s">
        <v>158</v>
      </c>
      <c r="CP171" s="17" t="s">
        <v>158</v>
      </c>
      <c r="CQ171" s="17" t="s">
        <v>158</v>
      </c>
      <c r="CR171" s="17" t="s">
        <v>158</v>
      </c>
      <c r="CS171" s="17" t="s">
        <v>158</v>
      </c>
      <c r="CT171" s="17" t="s">
        <v>158</v>
      </c>
      <c r="CU171" s="17" t="s">
        <v>158</v>
      </c>
      <c r="CV171" s="17" t="s">
        <v>158</v>
      </c>
      <c r="CW171" s="17" t="s">
        <v>158</v>
      </c>
      <c r="CX171" s="17" t="s">
        <v>158</v>
      </c>
      <c r="CY171" s="67" t="s">
        <v>158</v>
      </c>
    </row>
    <row r="172" spans="1:103" x14ac:dyDescent="0.2">
      <c r="A172" s="37" t="s">
        <v>22</v>
      </c>
      <c r="B172" s="59" t="s">
        <v>22</v>
      </c>
      <c r="C172" s="25" t="s">
        <v>20</v>
      </c>
      <c r="D172" s="25" t="s">
        <v>125</v>
      </c>
      <c r="F172" s="40"/>
      <c r="G172" s="87">
        <v>40496</v>
      </c>
      <c r="H172" s="41">
        <v>2010</v>
      </c>
      <c r="I172" s="143" t="s">
        <v>3</v>
      </c>
      <c r="J172" s="143" t="s">
        <v>114</v>
      </c>
      <c r="K172" s="136">
        <v>0.72</v>
      </c>
      <c r="L172" s="5" t="s">
        <v>158</v>
      </c>
      <c r="M172" s="42">
        <v>2.9</v>
      </c>
      <c r="N172" s="42">
        <v>7.8</v>
      </c>
      <c r="O172" s="42">
        <v>13</v>
      </c>
      <c r="P172" s="42">
        <v>9.9</v>
      </c>
      <c r="Q172" s="42">
        <v>18</v>
      </c>
      <c r="R172" s="42">
        <v>11</v>
      </c>
      <c r="S172" s="42">
        <v>3.7</v>
      </c>
      <c r="T172" s="5">
        <f t="shared" si="26"/>
        <v>66.3</v>
      </c>
      <c r="U172" s="17">
        <f t="shared" si="27"/>
        <v>391.66666666666674</v>
      </c>
      <c r="V172" s="42">
        <v>9.1000000000000004E-3</v>
      </c>
      <c r="W172" s="42">
        <v>0.61</v>
      </c>
      <c r="X172" s="42">
        <v>0.18</v>
      </c>
      <c r="Y172" s="42">
        <v>0.18</v>
      </c>
      <c r="Z172" s="5" t="s">
        <v>158</v>
      </c>
      <c r="AA172" s="42">
        <v>5.7000000000000002E-2</v>
      </c>
      <c r="AB172" s="42">
        <v>2.8000000000000001E-2</v>
      </c>
      <c r="AC172" s="30" t="s">
        <v>158</v>
      </c>
      <c r="AD172" s="5" t="s">
        <v>158</v>
      </c>
      <c r="AE172" s="17">
        <f t="shared" si="23"/>
        <v>1.0640999999999998</v>
      </c>
      <c r="AF172" s="42">
        <v>-0.5</v>
      </c>
      <c r="AG172" s="18" t="s">
        <v>158</v>
      </c>
      <c r="AH172" s="283">
        <f t="shared" si="21"/>
        <v>13.617021276595745</v>
      </c>
      <c r="AI172" s="284" t="s">
        <v>158</v>
      </c>
      <c r="AJ172" s="284" t="s">
        <v>158</v>
      </c>
      <c r="AK172" s="284" t="s">
        <v>158</v>
      </c>
      <c r="AL172" s="284" t="s">
        <v>158</v>
      </c>
      <c r="AM172" s="284" t="s">
        <v>158</v>
      </c>
      <c r="AN172" s="284" t="s">
        <v>158</v>
      </c>
      <c r="AO172" s="284" t="s">
        <v>158</v>
      </c>
      <c r="AP172" s="284" t="s">
        <v>158</v>
      </c>
      <c r="AQ172" s="284" t="s">
        <v>158</v>
      </c>
      <c r="AR172" s="284" t="s">
        <v>158</v>
      </c>
      <c r="AS172" s="5" t="s">
        <v>158</v>
      </c>
      <c r="AT172" s="5" t="s">
        <v>158</v>
      </c>
      <c r="AU172" s="5" t="s">
        <v>158</v>
      </c>
      <c r="AV172" s="5" t="s">
        <v>158</v>
      </c>
      <c r="AW172" s="5" t="s">
        <v>158</v>
      </c>
      <c r="BC172" s="107">
        <v>256</v>
      </c>
      <c r="BD172" s="17" t="s">
        <v>158</v>
      </c>
      <c r="BE172" s="17" t="s">
        <v>158</v>
      </c>
      <c r="BF172" s="17" t="s">
        <v>158</v>
      </c>
      <c r="BG172" s="17" t="s">
        <v>158</v>
      </c>
      <c r="BH172" s="17" t="s">
        <v>158</v>
      </c>
      <c r="BI172" s="17" t="s">
        <v>158</v>
      </c>
      <c r="BJ172" s="17" t="s">
        <v>158</v>
      </c>
      <c r="BK172" s="17" t="s">
        <v>158</v>
      </c>
      <c r="BL172" s="17" t="s">
        <v>158</v>
      </c>
      <c r="BM172" s="17" t="s">
        <v>158</v>
      </c>
      <c r="BN172" s="5" t="s">
        <v>158</v>
      </c>
      <c r="BO172" s="5" t="s">
        <v>158</v>
      </c>
      <c r="BP172" s="5" t="s">
        <v>158</v>
      </c>
      <c r="BQ172" s="5" t="s">
        <v>158</v>
      </c>
      <c r="BR172" s="5" t="s">
        <v>158</v>
      </c>
      <c r="BS172" s="5" t="s">
        <v>158</v>
      </c>
      <c r="BT172" s="5" t="s">
        <v>158</v>
      </c>
      <c r="BU172" s="5" t="s">
        <v>158</v>
      </c>
      <c r="BV172" s="5" t="s">
        <v>158</v>
      </c>
      <c r="BW172" s="5" t="s">
        <v>158</v>
      </c>
      <c r="BX172" s="5" t="s">
        <v>158</v>
      </c>
      <c r="BY172" s="5" t="s">
        <v>158</v>
      </c>
      <c r="BZ172" s="5" t="s">
        <v>158</v>
      </c>
      <c r="CA172" s="5" t="s">
        <v>158</v>
      </c>
      <c r="CB172" s="5" t="s">
        <v>158</v>
      </c>
      <c r="CC172" s="5" t="s">
        <v>158</v>
      </c>
      <c r="CD172" s="5" t="s">
        <v>158</v>
      </c>
      <c r="CE172" s="5" t="s">
        <v>158</v>
      </c>
      <c r="CF172" s="5" t="s">
        <v>158</v>
      </c>
      <c r="CG172" s="5" t="s">
        <v>158</v>
      </c>
      <c r="CH172" s="5" t="s">
        <v>158</v>
      </c>
      <c r="CI172" s="17" t="s">
        <v>158</v>
      </c>
      <c r="CJ172" s="17" t="s">
        <v>158</v>
      </c>
      <c r="CK172" s="17" t="s">
        <v>158</v>
      </c>
      <c r="CL172" s="17" t="s">
        <v>158</v>
      </c>
      <c r="CM172" s="17" t="s">
        <v>158</v>
      </c>
      <c r="CN172" s="17" t="s">
        <v>158</v>
      </c>
      <c r="CO172" s="17" t="s">
        <v>158</v>
      </c>
      <c r="CP172" s="17" t="s">
        <v>158</v>
      </c>
      <c r="CQ172" s="17" t="s">
        <v>158</v>
      </c>
      <c r="CR172" s="17" t="s">
        <v>158</v>
      </c>
      <c r="CS172" s="17" t="s">
        <v>158</v>
      </c>
      <c r="CT172" s="17" t="s">
        <v>158</v>
      </c>
      <c r="CU172" s="17" t="s">
        <v>158</v>
      </c>
      <c r="CV172" s="17" t="s">
        <v>158</v>
      </c>
      <c r="CW172" s="17" t="s">
        <v>158</v>
      </c>
      <c r="CX172" s="17" t="s">
        <v>158</v>
      </c>
      <c r="CY172" s="67" t="s">
        <v>158</v>
      </c>
    </row>
    <row r="173" spans="1:103" x14ac:dyDescent="0.2">
      <c r="A173" s="37" t="s">
        <v>22</v>
      </c>
      <c r="B173" s="59" t="s">
        <v>22</v>
      </c>
      <c r="C173" s="25" t="s">
        <v>20</v>
      </c>
      <c r="D173" s="25" t="s">
        <v>125</v>
      </c>
      <c r="F173" s="40"/>
      <c r="G173" s="87">
        <v>40496</v>
      </c>
      <c r="H173" s="41">
        <v>2010</v>
      </c>
      <c r="I173" s="143" t="s">
        <v>3</v>
      </c>
      <c r="J173" s="143" t="s">
        <v>114</v>
      </c>
      <c r="K173" s="136">
        <v>0.74</v>
      </c>
      <c r="L173" s="5" t="s">
        <v>158</v>
      </c>
      <c r="M173" s="42">
        <v>5.0999999999999996</v>
      </c>
      <c r="N173" s="42">
        <v>8.6</v>
      </c>
      <c r="O173" s="42">
        <v>16</v>
      </c>
      <c r="P173" s="42">
        <v>13</v>
      </c>
      <c r="Q173" s="42">
        <v>35</v>
      </c>
      <c r="R173" s="42">
        <v>20</v>
      </c>
      <c r="S173" s="42">
        <v>7.7</v>
      </c>
      <c r="T173" s="5">
        <f t="shared" si="26"/>
        <v>105.4</v>
      </c>
      <c r="U173" s="17">
        <f t="shared" si="27"/>
        <v>624.32432432432438</v>
      </c>
      <c r="V173" s="42">
        <v>9.4000000000000004E-3</v>
      </c>
      <c r="W173" s="42">
        <v>0.85</v>
      </c>
      <c r="X173" s="42">
        <v>0.21</v>
      </c>
      <c r="Y173" s="42">
        <v>0.19</v>
      </c>
      <c r="Z173" s="5" t="s">
        <v>158</v>
      </c>
      <c r="AA173" s="42">
        <v>5.7000000000000002E-2</v>
      </c>
      <c r="AB173" s="42">
        <v>2.9000000000000001E-2</v>
      </c>
      <c r="AC173" s="30" t="s">
        <v>158</v>
      </c>
      <c r="AD173" s="5" t="s">
        <v>158</v>
      </c>
      <c r="AE173" s="17">
        <f t="shared" si="23"/>
        <v>1.3453999999999997</v>
      </c>
      <c r="AF173" s="42">
        <v>-0.5</v>
      </c>
      <c r="AG173" s="18" t="s">
        <v>158</v>
      </c>
      <c r="AH173" s="283">
        <f t="shared" si="21"/>
        <v>25.691489361702125</v>
      </c>
      <c r="AI173" s="284" t="s">
        <v>158</v>
      </c>
      <c r="AJ173" s="284" t="s">
        <v>158</v>
      </c>
      <c r="AK173" s="284" t="s">
        <v>158</v>
      </c>
      <c r="AL173" s="284" t="s">
        <v>158</v>
      </c>
      <c r="AM173" s="284" t="s">
        <v>158</v>
      </c>
      <c r="AN173" s="284" t="s">
        <v>158</v>
      </c>
      <c r="AO173" s="284" t="s">
        <v>158</v>
      </c>
      <c r="AP173" s="284" t="s">
        <v>158</v>
      </c>
      <c r="AQ173" s="284" t="s">
        <v>158</v>
      </c>
      <c r="AR173" s="284" t="s">
        <v>158</v>
      </c>
      <c r="AS173" s="5" t="s">
        <v>158</v>
      </c>
      <c r="AT173" s="5" t="s">
        <v>158</v>
      </c>
      <c r="AU173" s="5" t="s">
        <v>158</v>
      </c>
      <c r="AV173" s="5" t="s">
        <v>158</v>
      </c>
      <c r="AW173" s="5" t="s">
        <v>158</v>
      </c>
      <c r="BC173" s="107">
        <v>483</v>
      </c>
      <c r="BD173" s="17" t="s">
        <v>158</v>
      </c>
      <c r="BE173" s="17" t="s">
        <v>158</v>
      </c>
      <c r="BF173" s="17" t="s">
        <v>158</v>
      </c>
      <c r="BG173" s="17" t="s">
        <v>158</v>
      </c>
      <c r="BH173" s="17" t="s">
        <v>158</v>
      </c>
      <c r="BI173" s="17" t="s">
        <v>158</v>
      </c>
      <c r="BJ173" s="17" t="s">
        <v>158</v>
      </c>
      <c r="BK173" s="17" t="s">
        <v>158</v>
      </c>
      <c r="BL173" s="17" t="s">
        <v>158</v>
      </c>
      <c r="BM173" s="17" t="s">
        <v>158</v>
      </c>
      <c r="BN173" s="5" t="s">
        <v>158</v>
      </c>
      <c r="BO173" s="5" t="s">
        <v>158</v>
      </c>
      <c r="BP173" s="5" t="s">
        <v>158</v>
      </c>
      <c r="BQ173" s="5" t="s">
        <v>158</v>
      </c>
      <c r="BR173" s="5" t="s">
        <v>158</v>
      </c>
      <c r="BS173" s="5" t="s">
        <v>158</v>
      </c>
      <c r="BT173" s="5" t="s">
        <v>158</v>
      </c>
      <c r="BU173" s="5" t="s">
        <v>158</v>
      </c>
      <c r="BV173" s="5" t="s">
        <v>158</v>
      </c>
      <c r="BW173" s="5" t="s">
        <v>158</v>
      </c>
      <c r="BX173" s="5" t="s">
        <v>158</v>
      </c>
      <c r="BY173" s="5" t="s">
        <v>158</v>
      </c>
      <c r="BZ173" s="5" t="s">
        <v>158</v>
      </c>
      <c r="CA173" s="5" t="s">
        <v>158</v>
      </c>
      <c r="CB173" s="5" t="s">
        <v>158</v>
      </c>
      <c r="CC173" s="5" t="s">
        <v>158</v>
      </c>
      <c r="CD173" s="5" t="s">
        <v>158</v>
      </c>
      <c r="CE173" s="5" t="s">
        <v>158</v>
      </c>
      <c r="CF173" s="5" t="s">
        <v>158</v>
      </c>
      <c r="CG173" s="5" t="s">
        <v>158</v>
      </c>
      <c r="CH173" s="5" t="s">
        <v>158</v>
      </c>
      <c r="CI173" s="17" t="s">
        <v>158</v>
      </c>
      <c r="CJ173" s="17" t="s">
        <v>158</v>
      </c>
      <c r="CK173" s="17" t="s">
        <v>158</v>
      </c>
      <c r="CL173" s="17" t="s">
        <v>158</v>
      </c>
      <c r="CM173" s="17" t="s">
        <v>158</v>
      </c>
      <c r="CN173" s="17" t="s">
        <v>158</v>
      </c>
      <c r="CO173" s="17" t="s">
        <v>158</v>
      </c>
      <c r="CP173" s="17" t="s">
        <v>158</v>
      </c>
      <c r="CQ173" s="17" t="s">
        <v>158</v>
      </c>
      <c r="CR173" s="17" t="s">
        <v>158</v>
      </c>
      <c r="CS173" s="17" t="s">
        <v>158</v>
      </c>
      <c r="CT173" s="17" t="s">
        <v>158</v>
      </c>
      <c r="CU173" s="17" t="s">
        <v>158</v>
      </c>
      <c r="CV173" s="17" t="s">
        <v>158</v>
      </c>
      <c r="CW173" s="17" t="s">
        <v>158</v>
      </c>
      <c r="CX173" s="17" t="s">
        <v>158</v>
      </c>
      <c r="CY173" s="67" t="s">
        <v>158</v>
      </c>
    </row>
    <row r="174" spans="1:103" x14ac:dyDescent="0.2">
      <c r="A174" s="37" t="s">
        <v>22</v>
      </c>
      <c r="B174" s="59" t="s">
        <v>22</v>
      </c>
      <c r="C174" s="25" t="s">
        <v>20</v>
      </c>
      <c r="D174" s="25" t="s">
        <v>125</v>
      </c>
      <c r="F174" s="40"/>
      <c r="G174" s="87">
        <v>40496</v>
      </c>
      <c r="H174" s="41">
        <v>2010</v>
      </c>
      <c r="I174" s="143" t="s">
        <v>3</v>
      </c>
      <c r="J174" s="143" t="s">
        <v>114</v>
      </c>
      <c r="K174" s="136">
        <v>0.61</v>
      </c>
      <c r="L174" s="5" t="s">
        <v>158</v>
      </c>
      <c r="M174" s="42">
        <v>2.1</v>
      </c>
      <c r="N174" s="42">
        <v>5.2</v>
      </c>
      <c r="O174" s="42">
        <v>5</v>
      </c>
      <c r="P174" s="42">
        <v>4.8</v>
      </c>
      <c r="Q174" s="42">
        <v>8.4</v>
      </c>
      <c r="R174" s="42">
        <v>6</v>
      </c>
      <c r="S174" s="42">
        <v>2.2000000000000002</v>
      </c>
      <c r="T174" s="5">
        <f t="shared" si="26"/>
        <v>33.700000000000003</v>
      </c>
      <c r="U174" s="17">
        <f t="shared" si="27"/>
        <v>236.88524590163934</v>
      </c>
      <c r="V174" s="42">
        <v>6.9000000000000008E-3</v>
      </c>
      <c r="W174" s="42">
        <v>0.3</v>
      </c>
      <c r="X174" s="42">
        <v>0.11</v>
      </c>
      <c r="Y174" s="42">
        <v>0.13</v>
      </c>
      <c r="Z174" s="5" t="s">
        <v>158</v>
      </c>
      <c r="AA174" s="42">
        <v>2.3E-2</v>
      </c>
      <c r="AB174" s="42">
        <v>8.199999999999999E-3</v>
      </c>
      <c r="AC174" s="30" t="s">
        <v>158</v>
      </c>
      <c r="AD174" s="5" t="s">
        <v>158</v>
      </c>
      <c r="AE174" s="17">
        <f t="shared" si="23"/>
        <v>0.57810000000000006</v>
      </c>
      <c r="AF174" s="42">
        <v>-0.5</v>
      </c>
      <c r="AG174" s="18" t="s">
        <v>158</v>
      </c>
      <c r="AH174" s="283">
        <f t="shared" si="21"/>
        <v>14.627659574468085</v>
      </c>
      <c r="AI174" s="284" t="s">
        <v>158</v>
      </c>
      <c r="AJ174" s="284" t="s">
        <v>158</v>
      </c>
      <c r="AK174" s="284" t="s">
        <v>158</v>
      </c>
      <c r="AL174" s="284" t="s">
        <v>158</v>
      </c>
      <c r="AM174" s="284" t="s">
        <v>158</v>
      </c>
      <c r="AN174" s="284" t="s">
        <v>158</v>
      </c>
      <c r="AO174" s="284" t="s">
        <v>158</v>
      </c>
      <c r="AP174" s="284" t="s">
        <v>158</v>
      </c>
      <c r="AQ174" s="284" t="s">
        <v>158</v>
      </c>
      <c r="AR174" s="284" t="s">
        <v>158</v>
      </c>
      <c r="AS174" s="5" t="s">
        <v>158</v>
      </c>
      <c r="AT174" s="5" t="s">
        <v>158</v>
      </c>
      <c r="AU174" s="5" t="s">
        <v>158</v>
      </c>
      <c r="AV174" s="5" t="s">
        <v>158</v>
      </c>
      <c r="AW174" s="5" t="s">
        <v>158</v>
      </c>
      <c r="BC174" s="107">
        <v>275</v>
      </c>
      <c r="BD174" s="17" t="s">
        <v>158</v>
      </c>
      <c r="BE174" s="17" t="s">
        <v>158</v>
      </c>
      <c r="BF174" s="17" t="s">
        <v>158</v>
      </c>
      <c r="BG174" s="17" t="s">
        <v>158</v>
      </c>
      <c r="BH174" s="17" t="s">
        <v>158</v>
      </c>
      <c r="BI174" s="17" t="s">
        <v>158</v>
      </c>
      <c r="BJ174" s="17" t="s">
        <v>158</v>
      </c>
      <c r="BK174" s="17" t="s">
        <v>158</v>
      </c>
      <c r="BL174" s="17" t="s">
        <v>158</v>
      </c>
      <c r="BM174" s="17" t="s">
        <v>158</v>
      </c>
      <c r="BN174" s="5" t="s">
        <v>158</v>
      </c>
      <c r="BO174" s="5" t="s">
        <v>158</v>
      </c>
      <c r="BP174" s="5" t="s">
        <v>158</v>
      </c>
      <c r="BQ174" s="5" t="s">
        <v>158</v>
      </c>
      <c r="BR174" s="5" t="s">
        <v>158</v>
      </c>
      <c r="BS174" s="5" t="s">
        <v>158</v>
      </c>
      <c r="BT174" s="5" t="s">
        <v>158</v>
      </c>
      <c r="BU174" s="5" t="s">
        <v>158</v>
      </c>
      <c r="BV174" s="5" t="s">
        <v>158</v>
      </c>
      <c r="BW174" s="5" t="s">
        <v>158</v>
      </c>
      <c r="BX174" s="5" t="s">
        <v>158</v>
      </c>
      <c r="BY174" s="5" t="s">
        <v>158</v>
      </c>
      <c r="BZ174" s="5" t="s">
        <v>158</v>
      </c>
      <c r="CA174" s="5" t="s">
        <v>158</v>
      </c>
      <c r="CB174" s="5" t="s">
        <v>158</v>
      </c>
      <c r="CC174" s="5" t="s">
        <v>158</v>
      </c>
      <c r="CD174" s="5" t="s">
        <v>158</v>
      </c>
      <c r="CE174" s="5" t="s">
        <v>158</v>
      </c>
      <c r="CF174" s="5" t="s">
        <v>158</v>
      </c>
      <c r="CG174" s="5" t="s">
        <v>158</v>
      </c>
      <c r="CH174" s="5" t="s">
        <v>158</v>
      </c>
      <c r="CI174" s="17" t="s">
        <v>158</v>
      </c>
      <c r="CJ174" s="17" t="s">
        <v>158</v>
      </c>
      <c r="CK174" s="17" t="s">
        <v>158</v>
      </c>
      <c r="CL174" s="17" t="s">
        <v>158</v>
      </c>
      <c r="CM174" s="17" t="s">
        <v>158</v>
      </c>
      <c r="CN174" s="17" t="s">
        <v>158</v>
      </c>
      <c r="CO174" s="17" t="s">
        <v>158</v>
      </c>
      <c r="CP174" s="17" t="s">
        <v>158</v>
      </c>
      <c r="CQ174" s="17" t="s">
        <v>158</v>
      </c>
      <c r="CR174" s="17" t="s">
        <v>158</v>
      </c>
      <c r="CS174" s="17" t="s">
        <v>158</v>
      </c>
      <c r="CT174" s="17" t="s">
        <v>158</v>
      </c>
      <c r="CU174" s="17" t="s">
        <v>158</v>
      </c>
      <c r="CV174" s="17" t="s">
        <v>158</v>
      </c>
      <c r="CW174" s="17" t="s">
        <v>158</v>
      </c>
      <c r="CX174" s="17" t="s">
        <v>158</v>
      </c>
      <c r="CY174" s="67" t="s">
        <v>158</v>
      </c>
    </row>
    <row r="175" spans="1:103" x14ac:dyDescent="0.2">
      <c r="A175" s="37" t="s">
        <v>22</v>
      </c>
      <c r="B175" s="59" t="s">
        <v>22</v>
      </c>
      <c r="C175" s="25" t="s">
        <v>20</v>
      </c>
      <c r="D175" s="25" t="s">
        <v>125</v>
      </c>
      <c r="F175" s="40"/>
      <c r="G175" s="87">
        <v>40496</v>
      </c>
      <c r="H175" s="41">
        <v>2010</v>
      </c>
      <c r="I175" s="143" t="s">
        <v>3</v>
      </c>
      <c r="J175" s="143" t="s">
        <v>114</v>
      </c>
      <c r="K175" s="136">
        <v>0.52</v>
      </c>
      <c r="L175" s="5" t="s">
        <v>158</v>
      </c>
      <c r="M175" s="42">
        <v>4.0999999999999996</v>
      </c>
      <c r="N175" s="42">
        <v>7.4</v>
      </c>
      <c r="O175" s="42">
        <v>9.5</v>
      </c>
      <c r="P175" s="42">
        <v>6.8</v>
      </c>
      <c r="Q175" s="42">
        <v>14</v>
      </c>
      <c r="R175" s="42">
        <v>10</v>
      </c>
      <c r="S175" s="42">
        <v>3.2</v>
      </c>
      <c r="T175" s="5">
        <f t="shared" si="26"/>
        <v>55</v>
      </c>
      <c r="U175" s="17">
        <f t="shared" si="27"/>
        <v>463.46153846153845</v>
      </c>
      <c r="V175" s="42">
        <v>0.01</v>
      </c>
      <c r="W175" s="42">
        <v>0.45</v>
      </c>
      <c r="X175" s="42">
        <v>0.15</v>
      </c>
      <c r="Y175" s="42">
        <v>0.21</v>
      </c>
      <c r="Z175" s="5" t="s">
        <v>158</v>
      </c>
      <c r="AA175" s="42">
        <v>3.6999999999999998E-2</v>
      </c>
      <c r="AB175" s="42">
        <v>2.4E-2</v>
      </c>
      <c r="AC175" s="30" t="s">
        <v>158</v>
      </c>
      <c r="AD175" s="5" t="s">
        <v>158</v>
      </c>
      <c r="AE175" s="17">
        <f t="shared" si="23"/>
        <v>0.88100000000000012</v>
      </c>
      <c r="AF175" s="42">
        <v>-0.5</v>
      </c>
      <c r="AG175" s="18" t="s">
        <v>158</v>
      </c>
      <c r="AH175" s="283">
        <f t="shared" si="21"/>
        <v>13.24468085106383</v>
      </c>
      <c r="AI175" s="284" t="s">
        <v>158</v>
      </c>
      <c r="AJ175" s="284" t="s">
        <v>158</v>
      </c>
      <c r="AK175" s="284" t="s">
        <v>158</v>
      </c>
      <c r="AL175" s="284" t="s">
        <v>158</v>
      </c>
      <c r="AM175" s="284" t="s">
        <v>158</v>
      </c>
      <c r="AN175" s="284" t="s">
        <v>158</v>
      </c>
      <c r="AO175" s="284" t="s">
        <v>158</v>
      </c>
      <c r="AP175" s="284" t="s">
        <v>158</v>
      </c>
      <c r="AQ175" s="284" t="s">
        <v>158</v>
      </c>
      <c r="AR175" s="284" t="s">
        <v>158</v>
      </c>
      <c r="AS175" s="5" t="s">
        <v>158</v>
      </c>
      <c r="AT175" s="5" t="s">
        <v>158</v>
      </c>
      <c r="AU175" s="5" t="s">
        <v>158</v>
      </c>
      <c r="AV175" s="5" t="s">
        <v>158</v>
      </c>
      <c r="AW175" s="5" t="s">
        <v>158</v>
      </c>
      <c r="BC175" s="107">
        <v>249</v>
      </c>
      <c r="BD175" s="17" t="s">
        <v>158</v>
      </c>
      <c r="BE175" s="17" t="s">
        <v>158</v>
      </c>
      <c r="BF175" s="17" t="s">
        <v>158</v>
      </c>
      <c r="BG175" s="17" t="s">
        <v>158</v>
      </c>
      <c r="BH175" s="17" t="s">
        <v>158</v>
      </c>
      <c r="BI175" s="17" t="s">
        <v>158</v>
      </c>
      <c r="BJ175" s="17" t="s">
        <v>158</v>
      </c>
      <c r="BK175" s="17" t="s">
        <v>158</v>
      </c>
      <c r="BL175" s="17" t="s">
        <v>158</v>
      </c>
      <c r="BM175" s="17" t="s">
        <v>158</v>
      </c>
      <c r="BN175" s="5" t="s">
        <v>158</v>
      </c>
      <c r="BO175" s="5" t="s">
        <v>158</v>
      </c>
      <c r="BP175" s="5" t="s">
        <v>158</v>
      </c>
      <c r="BQ175" s="5" t="s">
        <v>158</v>
      </c>
      <c r="BR175" s="5" t="s">
        <v>158</v>
      </c>
      <c r="BS175" s="5" t="s">
        <v>158</v>
      </c>
      <c r="BT175" s="5" t="s">
        <v>158</v>
      </c>
      <c r="BU175" s="5" t="s">
        <v>158</v>
      </c>
      <c r="BV175" s="5" t="s">
        <v>158</v>
      </c>
      <c r="BW175" s="5" t="s">
        <v>158</v>
      </c>
      <c r="BX175" s="5" t="s">
        <v>158</v>
      </c>
      <c r="BY175" s="5" t="s">
        <v>158</v>
      </c>
      <c r="BZ175" s="5" t="s">
        <v>158</v>
      </c>
      <c r="CA175" s="5" t="s">
        <v>158</v>
      </c>
      <c r="CB175" s="5" t="s">
        <v>158</v>
      </c>
      <c r="CC175" s="5" t="s">
        <v>158</v>
      </c>
      <c r="CD175" s="5" t="s">
        <v>158</v>
      </c>
      <c r="CE175" s="5" t="s">
        <v>158</v>
      </c>
      <c r="CF175" s="5" t="s">
        <v>158</v>
      </c>
      <c r="CG175" s="5" t="s">
        <v>158</v>
      </c>
      <c r="CH175" s="5" t="s">
        <v>158</v>
      </c>
      <c r="CI175" s="17" t="s">
        <v>158</v>
      </c>
      <c r="CJ175" s="17" t="s">
        <v>158</v>
      </c>
      <c r="CK175" s="17" t="s">
        <v>158</v>
      </c>
      <c r="CL175" s="17" t="s">
        <v>158</v>
      </c>
      <c r="CM175" s="17" t="s">
        <v>158</v>
      </c>
      <c r="CN175" s="17" t="s">
        <v>158</v>
      </c>
      <c r="CO175" s="17" t="s">
        <v>158</v>
      </c>
      <c r="CP175" s="17" t="s">
        <v>158</v>
      </c>
      <c r="CQ175" s="17" t="s">
        <v>158</v>
      </c>
      <c r="CR175" s="17" t="s">
        <v>158</v>
      </c>
      <c r="CS175" s="17" t="s">
        <v>158</v>
      </c>
      <c r="CT175" s="17" t="s">
        <v>158</v>
      </c>
      <c r="CU175" s="17" t="s">
        <v>158</v>
      </c>
      <c r="CV175" s="17" t="s">
        <v>158</v>
      </c>
      <c r="CW175" s="17" t="s">
        <v>158</v>
      </c>
      <c r="CX175" s="17" t="s">
        <v>158</v>
      </c>
      <c r="CY175" s="67" t="s">
        <v>158</v>
      </c>
    </row>
    <row r="176" spans="1:103" x14ac:dyDescent="0.2">
      <c r="A176" s="37" t="s">
        <v>22</v>
      </c>
      <c r="B176" s="59" t="s">
        <v>22</v>
      </c>
      <c r="C176" s="25" t="s">
        <v>20</v>
      </c>
      <c r="D176" s="25" t="s">
        <v>125</v>
      </c>
      <c r="F176" s="44"/>
      <c r="G176" s="87">
        <v>40496</v>
      </c>
      <c r="H176" s="41">
        <v>2010</v>
      </c>
      <c r="I176" s="143" t="s">
        <v>3</v>
      </c>
      <c r="J176" s="143" t="s">
        <v>114</v>
      </c>
      <c r="K176" s="136">
        <v>0.64</v>
      </c>
      <c r="L176" s="5" t="s">
        <v>158</v>
      </c>
      <c r="M176" s="42">
        <v>0.91</v>
      </c>
      <c r="N176" s="42">
        <v>1.6</v>
      </c>
      <c r="O176" s="42">
        <v>2.1</v>
      </c>
      <c r="P176" s="42">
        <v>2</v>
      </c>
      <c r="Q176" s="42">
        <v>4.7</v>
      </c>
      <c r="R176" s="42">
        <v>3.2</v>
      </c>
      <c r="S176" s="42">
        <v>1.1000000000000001</v>
      </c>
      <c r="T176" s="5">
        <f t="shared" si="26"/>
        <v>15.610000000000001</v>
      </c>
      <c r="U176" s="17">
        <f t="shared" si="27"/>
        <v>106.32812500000001</v>
      </c>
      <c r="V176" s="42">
        <v>3.2000000000000002E-3</v>
      </c>
      <c r="W176" s="42">
        <v>0.18</v>
      </c>
      <c r="X176" s="42">
        <v>6.8000000000000005E-2</v>
      </c>
      <c r="Y176" s="42">
        <v>6.7000000000000004E-2</v>
      </c>
      <c r="Z176" s="5" t="s">
        <v>158</v>
      </c>
      <c r="AA176" s="42">
        <v>2.7E-2</v>
      </c>
      <c r="AB176" s="42">
        <v>1.2E-2</v>
      </c>
      <c r="AC176" s="30" t="s">
        <v>158</v>
      </c>
      <c r="AD176" s="5" t="s">
        <v>158</v>
      </c>
      <c r="AE176" s="17">
        <f t="shared" si="23"/>
        <v>0.35720000000000002</v>
      </c>
      <c r="AF176" s="42">
        <v>-2.5</v>
      </c>
      <c r="AG176" s="18" t="s">
        <v>158</v>
      </c>
      <c r="AH176" s="283">
        <f t="shared" si="21"/>
        <v>0.70212765957446799</v>
      </c>
      <c r="AI176" s="284" t="s">
        <v>158</v>
      </c>
      <c r="AJ176" s="284" t="s">
        <v>158</v>
      </c>
      <c r="AK176" s="284" t="s">
        <v>158</v>
      </c>
      <c r="AL176" s="284" t="s">
        <v>158</v>
      </c>
      <c r="AM176" s="284" t="s">
        <v>158</v>
      </c>
      <c r="AN176" s="284" t="s">
        <v>158</v>
      </c>
      <c r="AO176" s="284" t="s">
        <v>158</v>
      </c>
      <c r="AP176" s="284" t="s">
        <v>158</v>
      </c>
      <c r="AQ176" s="284" t="s">
        <v>158</v>
      </c>
      <c r="AR176" s="284" t="s">
        <v>158</v>
      </c>
      <c r="AS176" s="5" t="s">
        <v>158</v>
      </c>
      <c r="AT176" s="5" t="s">
        <v>158</v>
      </c>
      <c r="AU176" s="5" t="s">
        <v>158</v>
      </c>
      <c r="AV176" s="5" t="s">
        <v>158</v>
      </c>
      <c r="AW176" s="5" t="s">
        <v>158</v>
      </c>
      <c r="BC176" s="107">
        <v>13.2</v>
      </c>
      <c r="BD176" s="17" t="s">
        <v>158</v>
      </c>
      <c r="BE176" s="17" t="s">
        <v>158</v>
      </c>
      <c r="BF176" s="17" t="s">
        <v>158</v>
      </c>
      <c r="BG176" s="17" t="s">
        <v>158</v>
      </c>
      <c r="BH176" s="17" t="s">
        <v>158</v>
      </c>
      <c r="BI176" s="17" t="s">
        <v>158</v>
      </c>
      <c r="BJ176" s="17" t="s">
        <v>158</v>
      </c>
      <c r="BK176" s="17" t="s">
        <v>158</v>
      </c>
      <c r="BL176" s="17" t="s">
        <v>158</v>
      </c>
      <c r="BM176" s="17" t="s">
        <v>158</v>
      </c>
      <c r="BN176" s="5" t="s">
        <v>158</v>
      </c>
      <c r="BO176" s="5" t="s">
        <v>158</v>
      </c>
      <c r="BP176" s="5" t="s">
        <v>158</v>
      </c>
      <c r="BQ176" s="5" t="s">
        <v>158</v>
      </c>
      <c r="BR176" s="5" t="s">
        <v>158</v>
      </c>
      <c r="BS176" s="5" t="s">
        <v>158</v>
      </c>
      <c r="BT176" s="5" t="s">
        <v>158</v>
      </c>
      <c r="BU176" s="5" t="s">
        <v>158</v>
      </c>
      <c r="BV176" s="5" t="s">
        <v>158</v>
      </c>
      <c r="BW176" s="5" t="s">
        <v>158</v>
      </c>
      <c r="BX176" s="5" t="s">
        <v>158</v>
      </c>
      <c r="BY176" s="5" t="s">
        <v>158</v>
      </c>
      <c r="BZ176" s="5" t="s">
        <v>158</v>
      </c>
      <c r="CA176" s="5" t="s">
        <v>158</v>
      </c>
      <c r="CB176" s="5" t="s">
        <v>158</v>
      </c>
      <c r="CC176" s="5" t="s">
        <v>158</v>
      </c>
      <c r="CD176" s="5" t="s">
        <v>158</v>
      </c>
      <c r="CE176" s="5" t="s">
        <v>158</v>
      </c>
      <c r="CF176" s="5" t="s">
        <v>158</v>
      </c>
      <c r="CG176" s="5" t="s">
        <v>158</v>
      </c>
      <c r="CH176" s="5" t="s">
        <v>158</v>
      </c>
      <c r="CI176" s="17" t="s">
        <v>158</v>
      </c>
      <c r="CJ176" s="17" t="s">
        <v>158</v>
      </c>
      <c r="CK176" s="17" t="s">
        <v>158</v>
      </c>
      <c r="CL176" s="17" t="s">
        <v>158</v>
      </c>
      <c r="CM176" s="17" t="s">
        <v>158</v>
      </c>
      <c r="CN176" s="17" t="s">
        <v>158</v>
      </c>
      <c r="CO176" s="17" t="s">
        <v>158</v>
      </c>
      <c r="CP176" s="17" t="s">
        <v>158</v>
      </c>
      <c r="CQ176" s="17" t="s">
        <v>158</v>
      </c>
      <c r="CR176" s="17" t="s">
        <v>158</v>
      </c>
      <c r="CS176" s="17" t="s">
        <v>158</v>
      </c>
      <c r="CT176" s="17" t="s">
        <v>158</v>
      </c>
      <c r="CU176" s="17" t="s">
        <v>158</v>
      </c>
      <c r="CV176" s="17" t="s">
        <v>158</v>
      </c>
      <c r="CW176" s="17" t="s">
        <v>158</v>
      </c>
      <c r="CX176" s="17" t="s">
        <v>158</v>
      </c>
      <c r="CY176" s="67" t="s">
        <v>158</v>
      </c>
    </row>
    <row r="177" spans="1:103" x14ac:dyDescent="0.2">
      <c r="A177" s="37" t="s">
        <v>22</v>
      </c>
      <c r="B177" s="59" t="s">
        <v>22</v>
      </c>
      <c r="C177" s="25" t="s">
        <v>20</v>
      </c>
      <c r="D177" s="25" t="s">
        <v>125</v>
      </c>
      <c r="F177" s="44"/>
      <c r="G177" s="87">
        <v>40496</v>
      </c>
      <c r="H177" s="41">
        <v>2010</v>
      </c>
      <c r="I177" s="143" t="s">
        <v>3</v>
      </c>
      <c r="J177" s="143" t="s">
        <v>114</v>
      </c>
      <c r="K177" s="136">
        <v>0.71</v>
      </c>
      <c r="L177" s="5" t="s">
        <v>158</v>
      </c>
      <c r="M177" s="42">
        <v>1.9</v>
      </c>
      <c r="N177" s="42">
        <v>5</v>
      </c>
      <c r="O177" s="42">
        <v>8.3000000000000007</v>
      </c>
      <c r="P177" s="42">
        <v>8.1</v>
      </c>
      <c r="Q177" s="42">
        <v>15</v>
      </c>
      <c r="R177" s="42">
        <v>12</v>
      </c>
      <c r="S177" s="42">
        <v>3.9</v>
      </c>
      <c r="T177" s="5">
        <f t="shared" si="26"/>
        <v>54.199999999999996</v>
      </c>
      <c r="U177" s="17">
        <f t="shared" si="27"/>
        <v>324.64788732394368</v>
      </c>
      <c r="V177" s="42">
        <v>6.3E-3</v>
      </c>
      <c r="W177" s="42">
        <v>0.63</v>
      </c>
      <c r="X177" s="42">
        <v>0.21</v>
      </c>
      <c r="Y177" s="42">
        <v>0.24</v>
      </c>
      <c r="Z177" s="5" t="s">
        <v>158</v>
      </c>
      <c r="AA177" s="42">
        <v>6.5000000000000002E-2</v>
      </c>
      <c r="AB177" s="42">
        <v>4.2999999999999997E-2</v>
      </c>
      <c r="AC177" s="30" t="s">
        <v>158</v>
      </c>
      <c r="AD177" s="5" t="s">
        <v>158</v>
      </c>
      <c r="AE177" s="17">
        <f t="shared" si="23"/>
        <v>1.1942999999999999</v>
      </c>
      <c r="AF177" s="42">
        <v>-0.5</v>
      </c>
      <c r="AG177" s="18" t="s">
        <v>158</v>
      </c>
      <c r="AH177" s="283">
        <f t="shared" si="21"/>
        <v>15.212765957446807</v>
      </c>
      <c r="AI177" s="284" t="s">
        <v>158</v>
      </c>
      <c r="AJ177" s="284" t="s">
        <v>158</v>
      </c>
      <c r="AK177" s="284" t="s">
        <v>158</v>
      </c>
      <c r="AL177" s="284" t="s">
        <v>158</v>
      </c>
      <c r="AM177" s="284" t="s">
        <v>158</v>
      </c>
      <c r="AN177" s="284" t="s">
        <v>158</v>
      </c>
      <c r="AO177" s="284" t="s">
        <v>158</v>
      </c>
      <c r="AP177" s="284" t="s">
        <v>158</v>
      </c>
      <c r="AQ177" s="284" t="s">
        <v>158</v>
      </c>
      <c r="AR177" s="284" t="s">
        <v>158</v>
      </c>
      <c r="AS177" s="5" t="s">
        <v>158</v>
      </c>
      <c r="AT177" s="5" t="s">
        <v>158</v>
      </c>
      <c r="AU177" s="5" t="s">
        <v>158</v>
      </c>
      <c r="AV177" s="5" t="s">
        <v>158</v>
      </c>
      <c r="AW177" s="5" t="s">
        <v>158</v>
      </c>
      <c r="BC177" s="107">
        <v>286</v>
      </c>
      <c r="BD177" s="17" t="s">
        <v>158</v>
      </c>
      <c r="BE177" s="17" t="s">
        <v>158</v>
      </c>
      <c r="BF177" s="17" t="s">
        <v>158</v>
      </c>
      <c r="BG177" s="17" t="s">
        <v>158</v>
      </c>
      <c r="BH177" s="17" t="s">
        <v>158</v>
      </c>
      <c r="BI177" s="17" t="s">
        <v>158</v>
      </c>
      <c r="BJ177" s="17" t="s">
        <v>158</v>
      </c>
      <c r="BK177" s="17" t="s">
        <v>158</v>
      </c>
      <c r="BL177" s="17" t="s">
        <v>158</v>
      </c>
      <c r="BM177" s="17" t="s">
        <v>158</v>
      </c>
      <c r="BN177" s="5" t="s">
        <v>158</v>
      </c>
      <c r="BO177" s="5" t="s">
        <v>158</v>
      </c>
      <c r="BP177" s="5" t="s">
        <v>158</v>
      </c>
      <c r="BQ177" s="5" t="s">
        <v>158</v>
      </c>
      <c r="BR177" s="5" t="s">
        <v>158</v>
      </c>
      <c r="BS177" s="5" t="s">
        <v>158</v>
      </c>
      <c r="BT177" s="5" t="s">
        <v>158</v>
      </c>
      <c r="BU177" s="5" t="s">
        <v>158</v>
      </c>
      <c r="BV177" s="5" t="s">
        <v>158</v>
      </c>
      <c r="BW177" s="5" t="s">
        <v>158</v>
      </c>
      <c r="BX177" s="5" t="s">
        <v>158</v>
      </c>
      <c r="BY177" s="5" t="s">
        <v>158</v>
      </c>
      <c r="BZ177" s="5" t="s">
        <v>158</v>
      </c>
      <c r="CA177" s="5" t="s">
        <v>158</v>
      </c>
      <c r="CB177" s="5" t="s">
        <v>158</v>
      </c>
      <c r="CC177" s="5" t="s">
        <v>158</v>
      </c>
      <c r="CD177" s="5" t="s">
        <v>158</v>
      </c>
      <c r="CE177" s="5" t="s">
        <v>158</v>
      </c>
      <c r="CF177" s="5" t="s">
        <v>158</v>
      </c>
      <c r="CG177" s="5" t="s">
        <v>158</v>
      </c>
      <c r="CH177" s="5" t="s">
        <v>158</v>
      </c>
      <c r="CI177" s="17" t="s">
        <v>158</v>
      </c>
      <c r="CJ177" s="17" t="s">
        <v>158</v>
      </c>
      <c r="CK177" s="17" t="s">
        <v>158</v>
      </c>
      <c r="CL177" s="17" t="s">
        <v>158</v>
      </c>
      <c r="CM177" s="17" t="s">
        <v>158</v>
      </c>
      <c r="CN177" s="17" t="s">
        <v>158</v>
      </c>
      <c r="CO177" s="17" t="s">
        <v>158</v>
      </c>
      <c r="CP177" s="17" t="s">
        <v>158</v>
      </c>
      <c r="CQ177" s="17" t="s">
        <v>158</v>
      </c>
      <c r="CR177" s="17" t="s">
        <v>158</v>
      </c>
      <c r="CS177" s="17" t="s">
        <v>158</v>
      </c>
      <c r="CT177" s="17" t="s">
        <v>158</v>
      </c>
      <c r="CU177" s="17" t="s">
        <v>158</v>
      </c>
      <c r="CV177" s="17" t="s">
        <v>158</v>
      </c>
      <c r="CW177" s="17" t="s">
        <v>158</v>
      </c>
      <c r="CX177" s="17" t="s">
        <v>158</v>
      </c>
      <c r="CY177" s="67" t="s">
        <v>158</v>
      </c>
    </row>
    <row r="178" spans="1:103" x14ac:dyDescent="0.2">
      <c r="A178" s="37" t="s">
        <v>21</v>
      </c>
      <c r="B178" s="59" t="s">
        <v>21</v>
      </c>
      <c r="C178" s="25" t="s">
        <v>20</v>
      </c>
      <c r="D178" s="25" t="s">
        <v>125</v>
      </c>
      <c r="F178" s="44"/>
      <c r="G178" s="87">
        <v>40433</v>
      </c>
      <c r="H178" s="41">
        <v>2010</v>
      </c>
      <c r="I178" s="143" t="s">
        <v>3</v>
      </c>
      <c r="J178" s="143" t="s">
        <v>114</v>
      </c>
      <c r="K178" s="136">
        <v>0.48</v>
      </c>
      <c r="L178" s="5" t="s">
        <v>158</v>
      </c>
      <c r="M178" s="42">
        <v>0.23</v>
      </c>
      <c r="N178" s="42">
        <v>0.44</v>
      </c>
      <c r="O178" s="42">
        <v>2.5</v>
      </c>
      <c r="P178" s="42">
        <v>2</v>
      </c>
      <c r="Q178" s="42">
        <v>7</v>
      </c>
      <c r="R178" s="42">
        <v>4</v>
      </c>
      <c r="S178" s="42">
        <v>2</v>
      </c>
      <c r="T178" s="5">
        <f t="shared" si="26"/>
        <v>18.170000000000002</v>
      </c>
      <c r="U178" s="17">
        <f t="shared" si="27"/>
        <v>168.43750000000003</v>
      </c>
      <c r="V178" s="42">
        <v>1.7999999999999999E-2</v>
      </c>
      <c r="W178" s="42">
        <v>0.39</v>
      </c>
      <c r="X178" s="42">
        <v>9.8000000000000004E-2</v>
      </c>
      <c r="Y178" s="42">
        <v>7.9000000000000001E-2</v>
      </c>
      <c r="Z178" s="5" t="s">
        <v>158</v>
      </c>
      <c r="AA178" s="42">
        <v>2.7E-2</v>
      </c>
      <c r="AB178" s="42">
        <v>1.2999999999999999E-2</v>
      </c>
      <c r="AC178" s="30" t="s">
        <v>158</v>
      </c>
      <c r="AD178" s="5" t="s">
        <v>158</v>
      </c>
      <c r="AE178" s="17">
        <f t="shared" si="23"/>
        <v>0.62500000000000011</v>
      </c>
      <c r="AF178" s="42">
        <v>-0.5</v>
      </c>
      <c r="AG178" s="18" t="s">
        <v>158</v>
      </c>
      <c r="AH178" s="283">
        <f t="shared" si="21"/>
        <v>26.808510638297872</v>
      </c>
      <c r="AI178" s="284" t="s">
        <v>158</v>
      </c>
      <c r="AJ178" s="284" t="s">
        <v>158</v>
      </c>
      <c r="AK178" s="284" t="s">
        <v>158</v>
      </c>
      <c r="AL178" s="284" t="s">
        <v>158</v>
      </c>
      <c r="AM178" s="284" t="s">
        <v>158</v>
      </c>
      <c r="AN178" s="284" t="s">
        <v>158</v>
      </c>
      <c r="AO178" s="284" t="s">
        <v>158</v>
      </c>
      <c r="AP178" s="284" t="s">
        <v>158</v>
      </c>
      <c r="AQ178" s="284" t="s">
        <v>158</v>
      </c>
      <c r="AR178" s="284" t="s">
        <v>158</v>
      </c>
      <c r="AS178" s="5" t="s">
        <v>158</v>
      </c>
      <c r="AT178" s="5" t="s">
        <v>158</v>
      </c>
      <c r="AU178" s="5" t="s">
        <v>158</v>
      </c>
      <c r="AV178" s="5" t="s">
        <v>158</v>
      </c>
      <c r="AW178" s="5" t="s">
        <v>158</v>
      </c>
      <c r="BC178" s="107">
        <v>504</v>
      </c>
      <c r="BD178" s="17" t="s">
        <v>158</v>
      </c>
      <c r="BE178" s="17" t="s">
        <v>158</v>
      </c>
      <c r="BF178" s="17" t="s">
        <v>158</v>
      </c>
      <c r="BG178" s="17" t="s">
        <v>158</v>
      </c>
      <c r="BH178" s="17" t="s">
        <v>158</v>
      </c>
      <c r="BI178" s="17" t="s">
        <v>158</v>
      </c>
      <c r="BJ178" s="17" t="s">
        <v>158</v>
      </c>
      <c r="BK178" s="17" t="s">
        <v>158</v>
      </c>
      <c r="BL178" s="17" t="s">
        <v>158</v>
      </c>
      <c r="BM178" s="17" t="s">
        <v>158</v>
      </c>
      <c r="BN178" s="5" t="s">
        <v>158</v>
      </c>
      <c r="BO178" s="5" t="s">
        <v>158</v>
      </c>
      <c r="BP178" s="5" t="s">
        <v>158</v>
      </c>
      <c r="BQ178" s="5" t="s">
        <v>158</v>
      </c>
      <c r="BR178" s="5" t="s">
        <v>158</v>
      </c>
      <c r="BS178" s="5" t="s">
        <v>158</v>
      </c>
      <c r="BT178" s="5" t="s">
        <v>158</v>
      </c>
      <c r="BU178" s="5" t="s">
        <v>158</v>
      </c>
      <c r="BV178" s="5" t="s">
        <v>158</v>
      </c>
      <c r="BW178" s="5" t="s">
        <v>158</v>
      </c>
      <c r="BX178" s="5" t="s">
        <v>158</v>
      </c>
      <c r="BY178" s="5" t="s">
        <v>158</v>
      </c>
      <c r="BZ178" s="5" t="s">
        <v>158</v>
      </c>
      <c r="CA178" s="5" t="s">
        <v>158</v>
      </c>
      <c r="CB178" s="5" t="s">
        <v>158</v>
      </c>
      <c r="CC178" s="5" t="s">
        <v>158</v>
      </c>
      <c r="CD178" s="5" t="s">
        <v>158</v>
      </c>
      <c r="CE178" s="5" t="s">
        <v>158</v>
      </c>
      <c r="CF178" s="5" t="s">
        <v>158</v>
      </c>
      <c r="CG178" s="5" t="s">
        <v>158</v>
      </c>
      <c r="CH178" s="5" t="s">
        <v>158</v>
      </c>
      <c r="CI178" s="17" t="s">
        <v>158</v>
      </c>
      <c r="CJ178" s="17" t="s">
        <v>158</v>
      </c>
      <c r="CK178" s="17" t="s">
        <v>158</v>
      </c>
      <c r="CL178" s="17" t="s">
        <v>158</v>
      </c>
      <c r="CM178" s="17" t="s">
        <v>158</v>
      </c>
      <c r="CN178" s="17" t="s">
        <v>158</v>
      </c>
      <c r="CO178" s="17" t="s">
        <v>158</v>
      </c>
      <c r="CP178" s="17" t="s">
        <v>158</v>
      </c>
      <c r="CQ178" s="17" t="s">
        <v>158</v>
      </c>
      <c r="CR178" s="17" t="s">
        <v>158</v>
      </c>
      <c r="CS178" s="17" t="s">
        <v>158</v>
      </c>
      <c r="CT178" s="17" t="s">
        <v>158</v>
      </c>
      <c r="CU178" s="17" t="s">
        <v>158</v>
      </c>
      <c r="CV178" s="17" t="s">
        <v>158</v>
      </c>
      <c r="CW178" s="17" t="s">
        <v>158</v>
      </c>
      <c r="CX178" s="17" t="s">
        <v>158</v>
      </c>
      <c r="CY178" s="67" t="s">
        <v>158</v>
      </c>
    </row>
    <row r="179" spans="1:103" x14ac:dyDescent="0.2">
      <c r="A179" s="37" t="s">
        <v>21</v>
      </c>
      <c r="B179" s="59" t="s">
        <v>21</v>
      </c>
      <c r="C179" s="25" t="s">
        <v>20</v>
      </c>
      <c r="D179" s="25" t="s">
        <v>125</v>
      </c>
      <c r="F179" s="44"/>
      <c r="G179" s="87">
        <v>40433</v>
      </c>
      <c r="H179" s="41">
        <v>2010</v>
      </c>
      <c r="I179" s="143" t="s">
        <v>3</v>
      </c>
      <c r="J179" s="143" t="s">
        <v>114</v>
      </c>
      <c r="K179" s="136">
        <v>0.51</v>
      </c>
      <c r="L179" s="5" t="s">
        <v>158</v>
      </c>
      <c r="M179" s="42" t="s">
        <v>526</v>
      </c>
      <c r="N179" s="42">
        <v>0.25</v>
      </c>
      <c r="O179" s="42">
        <v>2.7</v>
      </c>
      <c r="P179" s="42">
        <v>2.2999999999999998</v>
      </c>
      <c r="Q179" s="42">
        <v>9.9</v>
      </c>
      <c r="R179" s="42">
        <v>7.2</v>
      </c>
      <c r="S179" s="42">
        <v>3</v>
      </c>
      <c r="T179" s="5">
        <f t="shared" si="26"/>
        <v>25.35</v>
      </c>
      <c r="U179" s="17">
        <f t="shared" si="27"/>
        <v>225.98039215686276</v>
      </c>
      <c r="V179" s="42" t="s">
        <v>550</v>
      </c>
      <c r="W179" s="42">
        <v>0.24</v>
      </c>
      <c r="X179" s="42">
        <v>8.8999999999999996E-2</v>
      </c>
      <c r="Y179" s="42">
        <v>0.12</v>
      </c>
      <c r="Z179" s="5" t="s">
        <v>158</v>
      </c>
      <c r="AA179" s="42">
        <v>3.6999999999999998E-2</v>
      </c>
      <c r="AB179" s="42">
        <v>1.4E-2</v>
      </c>
      <c r="AC179" s="30" t="s">
        <v>158</v>
      </c>
      <c r="AD179" s="5" t="s">
        <v>158</v>
      </c>
      <c r="AE179" s="17">
        <f t="shared" si="23"/>
        <v>0.49999999999999994</v>
      </c>
      <c r="AF179" s="42">
        <v>-0.5</v>
      </c>
      <c r="AG179" s="18" t="s">
        <v>158</v>
      </c>
      <c r="AH179" s="283">
        <f t="shared" si="21"/>
        <v>32.393617021276597</v>
      </c>
      <c r="AI179" s="284" t="s">
        <v>158</v>
      </c>
      <c r="AJ179" s="284" t="s">
        <v>158</v>
      </c>
      <c r="AK179" s="284" t="s">
        <v>158</v>
      </c>
      <c r="AL179" s="284" t="s">
        <v>158</v>
      </c>
      <c r="AM179" s="284" t="s">
        <v>158</v>
      </c>
      <c r="AN179" s="284" t="s">
        <v>158</v>
      </c>
      <c r="AO179" s="284" t="s">
        <v>158</v>
      </c>
      <c r="AP179" s="284" t="s">
        <v>158</v>
      </c>
      <c r="AQ179" s="284" t="s">
        <v>158</v>
      </c>
      <c r="AR179" s="284" t="s">
        <v>158</v>
      </c>
      <c r="AS179" s="5" t="s">
        <v>158</v>
      </c>
      <c r="AT179" s="5" t="s">
        <v>158</v>
      </c>
      <c r="AU179" s="5" t="s">
        <v>158</v>
      </c>
      <c r="AV179" s="5" t="s">
        <v>158</v>
      </c>
      <c r="AW179" s="5" t="s">
        <v>158</v>
      </c>
      <c r="BC179" s="107">
        <v>609</v>
      </c>
      <c r="BD179" s="17" t="s">
        <v>158</v>
      </c>
      <c r="BE179" s="17" t="s">
        <v>158</v>
      </c>
      <c r="BF179" s="17" t="s">
        <v>158</v>
      </c>
      <c r="BG179" s="17" t="s">
        <v>158</v>
      </c>
      <c r="BH179" s="17" t="s">
        <v>158</v>
      </c>
      <c r="BI179" s="17" t="s">
        <v>158</v>
      </c>
      <c r="BJ179" s="17" t="s">
        <v>158</v>
      </c>
      <c r="BK179" s="17" t="s">
        <v>158</v>
      </c>
      <c r="BL179" s="17" t="s">
        <v>158</v>
      </c>
      <c r="BM179" s="17" t="s">
        <v>158</v>
      </c>
      <c r="BN179" s="5" t="s">
        <v>158</v>
      </c>
      <c r="BO179" s="5" t="s">
        <v>158</v>
      </c>
      <c r="BP179" s="5" t="s">
        <v>158</v>
      </c>
      <c r="BQ179" s="5" t="s">
        <v>158</v>
      </c>
      <c r="BR179" s="5" t="s">
        <v>158</v>
      </c>
      <c r="BS179" s="5" t="s">
        <v>158</v>
      </c>
      <c r="BT179" s="5" t="s">
        <v>158</v>
      </c>
      <c r="BU179" s="5" t="s">
        <v>158</v>
      </c>
      <c r="BV179" s="5" t="s">
        <v>158</v>
      </c>
      <c r="BW179" s="5" t="s">
        <v>158</v>
      </c>
      <c r="BX179" s="5" t="s">
        <v>158</v>
      </c>
      <c r="BY179" s="5" t="s">
        <v>158</v>
      </c>
      <c r="BZ179" s="5" t="s">
        <v>158</v>
      </c>
      <c r="CA179" s="5" t="s">
        <v>158</v>
      </c>
      <c r="CB179" s="5" t="s">
        <v>158</v>
      </c>
      <c r="CC179" s="5" t="s">
        <v>158</v>
      </c>
      <c r="CD179" s="5" t="s">
        <v>158</v>
      </c>
      <c r="CE179" s="5" t="s">
        <v>158</v>
      </c>
      <c r="CF179" s="5" t="s">
        <v>158</v>
      </c>
      <c r="CG179" s="5" t="s">
        <v>158</v>
      </c>
      <c r="CH179" s="5" t="s">
        <v>158</v>
      </c>
      <c r="CI179" s="17" t="s">
        <v>158</v>
      </c>
      <c r="CJ179" s="17" t="s">
        <v>158</v>
      </c>
      <c r="CK179" s="17" t="s">
        <v>158</v>
      </c>
      <c r="CL179" s="17" t="s">
        <v>158</v>
      </c>
      <c r="CM179" s="17" t="s">
        <v>158</v>
      </c>
      <c r="CN179" s="17" t="s">
        <v>158</v>
      </c>
      <c r="CO179" s="17" t="s">
        <v>158</v>
      </c>
      <c r="CP179" s="17" t="s">
        <v>158</v>
      </c>
      <c r="CQ179" s="17" t="s">
        <v>158</v>
      </c>
      <c r="CR179" s="17" t="s">
        <v>158</v>
      </c>
      <c r="CS179" s="17" t="s">
        <v>158</v>
      </c>
      <c r="CT179" s="17" t="s">
        <v>158</v>
      </c>
      <c r="CU179" s="17" t="s">
        <v>158</v>
      </c>
      <c r="CV179" s="17" t="s">
        <v>158</v>
      </c>
      <c r="CW179" s="17" t="s">
        <v>158</v>
      </c>
      <c r="CX179" s="17" t="s">
        <v>158</v>
      </c>
      <c r="CY179" s="67" t="s">
        <v>158</v>
      </c>
    </row>
    <row r="180" spans="1:103" x14ac:dyDescent="0.2">
      <c r="A180" s="37" t="s">
        <v>21</v>
      </c>
      <c r="B180" s="59" t="s">
        <v>21</v>
      </c>
      <c r="C180" s="25" t="s">
        <v>20</v>
      </c>
      <c r="D180" s="25" t="s">
        <v>125</v>
      </c>
      <c r="F180" s="44"/>
      <c r="G180" s="87">
        <v>40433</v>
      </c>
      <c r="H180" s="41">
        <v>2010</v>
      </c>
      <c r="I180" s="143" t="s">
        <v>3</v>
      </c>
      <c r="J180" s="143" t="s">
        <v>114</v>
      </c>
      <c r="K180" s="136">
        <v>0.41</v>
      </c>
      <c r="L180" s="5" t="s">
        <v>158</v>
      </c>
      <c r="M180" s="42">
        <v>0.14000000000000001</v>
      </c>
      <c r="N180" s="42">
        <v>0.3</v>
      </c>
      <c r="O180" s="42">
        <v>2.1</v>
      </c>
      <c r="P180" s="42">
        <v>1.3</v>
      </c>
      <c r="Q180" s="42">
        <v>5</v>
      </c>
      <c r="R180" s="42">
        <v>4</v>
      </c>
      <c r="S180" s="42">
        <v>1.8</v>
      </c>
      <c r="T180" s="5">
        <f t="shared" si="26"/>
        <v>14.64</v>
      </c>
      <c r="U180" s="17">
        <f t="shared" si="27"/>
        <v>162.6829268292683</v>
      </c>
      <c r="V180" s="42" t="s">
        <v>491</v>
      </c>
      <c r="W180" s="42">
        <v>0.24</v>
      </c>
      <c r="X180" s="42">
        <v>0.1</v>
      </c>
      <c r="Y180" s="42">
        <v>0.12</v>
      </c>
      <c r="Z180" s="5" t="s">
        <v>158</v>
      </c>
      <c r="AA180" s="42">
        <v>3.1E-2</v>
      </c>
      <c r="AB180" s="42">
        <v>1.6E-2</v>
      </c>
      <c r="AC180" s="30" t="s">
        <v>158</v>
      </c>
      <c r="AD180" s="5" t="s">
        <v>158</v>
      </c>
      <c r="AE180" s="17">
        <f t="shared" si="23"/>
        <v>0.50700000000000001</v>
      </c>
      <c r="AF180" s="42">
        <v>-0.5</v>
      </c>
      <c r="AG180" s="18" t="s">
        <v>158</v>
      </c>
      <c r="AH180" s="283">
        <f t="shared" si="21"/>
        <v>20.319148936170212</v>
      </c>
      <c r="AI180" s="284" t="s">
        <v>158</v>
      </c>
      <c r="AJ180" s="284" t="s">
        <v>158</v>
      </c>
      <c r="AK180" s="284" t="s">
        <v>158</v>
      </c>
      <c r="AL180" s="284" t="s">
        <v>158</v>
      </c>
      <c r="AM180" s="284" t="s">
        <v>158</v>
      </c>
      <c r="AN180" s="284" t="s">
        <v>158</v>
      </c>
      <c r="AO180" s="284" t="s">
        <v>158</v>
      </c>
      <c r="AP180" s="284" t="s">
        <v>158</v>
      </c>
      <c r="AQ180" s="284" t="s">
        <v>158</v>
      </c>
      <c r="AR180" s="284" t="s">
        <v>158</v>
      </c>
      <c r="AS180" s="5" t="s">
        <v>158</v>
      </c>
      <c r="AT180" s="5" t="s">
        <v>158</v>
      </c>
      <c r="AU180" s="5" t="s">
        <v>158</v>
      </c>
      <c r="AV180" s="5" t="s">
        <v>158</v>
      </c>
      <c r="AW180" s="5" t="s">
        <v>158</v>
      </c>
      <c r="BC180" s="107">
        <v>382</v>
      </c>
      <c r="BD180" s="17" t="s">
        <v>158</v>
      </c>
      <c r="BE180" s="17" t="s">
        <v>158</v>
      </c>
      <c r="BF180" s="17" t="s">
        <v>158</v>
      </c>
      <c r="BG180" s="17" t="s">
        <v>158</v>
      </c>
      <c r="BH180" s="17" t="s">
        <v>158</v>
      </c>
      <c r="BI180" s="17" t="s">
        <v>158</v>
      </c>
      <c r="BJ180" s="17" t="s">
        <v>158</v>
      </c>
      <c r="BK180" s="17" t="s">
        <v>158</v>
      </c>
      <c r="BL180" s="17" t="s">
        <v>158</v>
      </c>
      <c r="BM180" s="17" t="s">
        <v>158</v>
      </c>
      <c r="BN180" s="5" t="s">
        <v>158</v>
      </c>
      <c r="BO180" s="5" t="s">
        <v>158</v>
      </c>
      <c r="BP180" s="5" t="s">
        <v>158</v>
      </c>
      <c r="BQ180" s="5" t="s">
        <v>158</v>
      </c>
      <c r="BR180" s="5" t="s">
        <v>158</v>
      </c>
      <c r="BS180" s="5" t="s">
        <v>158</v>
      </c>
      <c r="BT180" s="5" t="s">
        <v>158</v>
      </c>
      <c r="BU180" s="5" t="s">
        <v>158</v>
      </c>
      <c r="BV180" s="5" t="s">
        <v>158</v>
      </c>
      <c r="BW180" s="5" t="s">
        <v>158</v>
      </c>
      <c r="BX180" s="5" t="s">
        <v>158</v>
      </c>
      <c r="BY180" s="5" t="s">
        <v>158</v>
      </c>
      <c r="BZ180" s="5" t="s">
        <v>158</v>
      </c>
      <c r="CA180" s="5" t="s">
        <v>158</v>
      </c>
      <c r="CB180" s="5" t="s">
        <v>158</v>
      </c>
      <c r="CC180" s="5" t="s">
        <v>158</v>
      </c>
      <c r="CD180" s="5" t="s">
        <v>158</v>
      </c>
      <c r="CE180" s="5" t="s">
        <v>158</v>
      </c>
      <c r="CF180" s="5" t="s">
        <v>158</v>
      </c>
      <c r="CG180" s="5" t="s">
        <v>158</v>
      </c>
      <c r="CH180" s="5" t="s">
        <v>158</v>
      </c>
      <c r="CI180" s="17" t="s">
        <v>158</v>
      </c>
      <c r="CJ180" s="17" t="s">
        <v>158</v>
      </c>
      <c r="CK180" s="17" t="s">
        <v>158</v>
      </c>
      <c r="CL180" s="17" t="s">
        <v>158</v>
      </c>
      <c r="CM180" s="17" t="s">
        <v>158</v>
      </c>
      <c r="CN180" s="17" t="s">
        <v>158</v>
      </c>
      <c r="CO180" s="17" t="s">
        <v>158</v>
      </c>
      <c r="CP180" s="17" t="s">
        <v>158</v>
      </c>
      <c r="CQ180" s="17" t="s">
        <v>158</v>
      </c>
      <c r="CR180" s="17" t="s">
        <v>158</v>
      </c>
      <c r="CS180" s="17" t="s">
        <v>158</v>
      </c>
      <c r="CT180" s="17" t="s">
        <v>158</v>
      </c>
      <c r="CU180" s="17" t="s">
        <v>158</v>
      </c>
      <c r="CV180" s="17" t="s">
        <v>158</v>
      </c>
      <c r="CW180" s="17" t="s">
        <v>158</v>
      </c>
      <c r="CX180" s="17" t="s">
        <v>158</v>
      </c>
      <c r="CY180" s="67" t="s">
        <v>158</v>
      </c>
    </row>
    <row r="181" spans="1:103" x14ac:dyDescent="0.2">
      <c r="A181" s="37" t="s">
        <v>21</v>
      </c>
      <c r="B181" s="59" t="s">
        <v>21</v>
      </c>
      <c r="C181" s="25" t="s">
        <v>20</v>
      </c>
      <c r="D181" s="25" t="s">
        <v>125</v>
      </c>
      <c r="F181" s="44"/>
      <c r="G181" s="87">
        <v>40433</v>
      </c>
      <c r="H181" s="41">
        <v>2010</v>
      </c>
      <c r="I181" s="143" t="s">
        <v>3</v>
      </c>
      <c r="J181" s="143" t="s">
        <v>114</v>
      </c>
      <c r="K181" s="136">
        <v>0.3</v>
      </c>
      <c r="L181" s="5" t="s">
        <v>158</v>
      </c>
      <c r="M181" s="42">
        <v>0.2</v>
      </c>
      <c r="N181" s="42">
        <v>0.33</v>
      </c>
      <c r="O181" s="42">
        <v>2.9</v>
      </c>
      <c r="P181" s="42">
        <v>2.7</v>
      </c>
      <c r="Q181" s="42">
        <v>12</v>
      </c>
      <c r="R181" s="42">
        <v>7.3</v>
      </c>
      <c r="S181" s="42">
        <v>3.5</v>
      </c>
      <c r="T181" s="5">
        <f t="shared" si="26"/>
        <v>28.93</v>
      </c>
      <c r="U181" s="17">
        <f t="shared" si="27"/>
        <v>437.16666666666669</v>
      </c>
      <c r="V181" s="42" t="s">
        <v>551</v>
      </c>
      <c r="W181" s="42">
        <v>0.19</v>
      </c>
      <c r="X181" s="42">
        <v>6.9000000000000006E-2</v>
      </c>
      <c r="Y181" s="42">
        <v>0.14000000000000001</v>
      </c>
      <c r="Z181" s="5" t="s">
        <v>158</v>
      </c>
      <c r="AA181" s="42">
        <v>2.4E-2</v>
      </c>
      <c r="AB181" s="42">
        <v>1.4999999999999999E-2</v>
      </c>
      <c r="AC181" s="30" t="s">
        <v>158</v>
      </c>
      <c r="AD181" s="5" t="s">
        <v>158</v>
      </c>
      <c r="AE181" s="17">
        <f t="shared" si="23"/>
        <v>0.43800000000000006</v>
      </c>
      <c r="AF181" s="42">
        <v>-0.5</v>
      </c>
      <c r="AG181" s="18" t="s">
        <v>158</v>
      </c>
      <c r="AH181" s="283">
        <f t="shared" si="21"/>
        <v>23.723404255319149</v>
      </c>
      <c r="AI181" s="284" t="s">
        <v>158</v>
      </c>
      <c r="AJ181" s="284" t="s">
        <v>158</v>
      </c>
      <c r="AK181" s="284" t="s">
        <v>158</v>
      </c>
      <c r="AL181" s="284" t="s">
        <v>158</v>
      </c>
      <c r="AM181" s="284" t="s">
        <v>158</v>
      </c>
      <c r="AN181" s="284" t="s">
        <v>158</v>
      </c>
      <c r="AO181" s="284" t="s">
        <v>158</v>
      </c>
      <c r="AP181" s="284" t="s">
        <v>158</v>
      </c>
      <c r="AQ181" s="284" t="s">
        <v>158</v>
      </c>
      <c r="AR181" s="284" t="s">
        <v>158</v>
      </c>
      <c r="AS181" s="5" t="s">
        <v>158</v>
      </c>
      <c r="AT181" s="5" t="s">
        <v>158</v>
      </c>
      <c r="AU181" s="5" t="s">
        <v>158</v>
      </c>
      <c r="AV181" s="5" t="s">
        <v>158</v>
      </c>
      <c r="AW181" s="5" t="s">
        <v>158</v>
      </c>
      <c r="BC181" s="107">
        <v>446</v>
      </c>
      <c r="BD181" s="17" t="s">
        <v>158</v>
      </c>
      <c r="BE181" s="17" t="s">
        <v>158</v>
      </c>
      <c r="BF181" s="17" t="s">
        <v>158</v>
      </c>
      <c r="BG181" s="17" t="s">
        <v>158</v>
      </c>
      <c r="BH181" s="17" t="s">
        <v>158</v>
      </c>
      <c r="BI181" s="17" t="s">
        <v>158</v>
      </c>
      <c r="BJ181" s="17" t="s">
        <v>158</v>
      </c>
      <c r="BK181" s="17" t="s">
        <v>158</v>
      </c>
      <c r="BL181" s="17" t="s">
        <v>158</v>
      </c>
      <c r="BM181" s="17" t="s">
        <v>158</v>
      </c>
      <c r="BN181" s="5" t="s">
        <v>158</v>
      </c>
      <c r="BO181" s="5" t="s">
        <v>158</v>
      </c>
      <c r="BP181" s="5" t="s">
        <v>158</v>
      </c>
      <c r="BQ181" s="5" t="s">
        <v>158</v>
      </c>
      <c r="BR181" s="5" t="s">
        <v>158</v>
      </c>
      <c r="BS181" s="5" t="s">
        <v>158</v>
      </c>
      <c r="BT181" s="5" t="s">
        <v>158</v>
      </c>
      <c r="BU181" s="5" t="s">
        <v>158</v>
      </c>
      <c r="BV181" s="5" t="s">
        <v>158</v>
      </c>
      <c r="BW181" s="5" t="s">
        <v>158</v>
      </c>
      <c r="BX181" s="5" t="s">
        <v>158</v>
      </c>
      <c r="BY181" s="5" t="s">
        <v>158</v>
      </c>
      <c r="BZ181" s="5" t="s">
        <v>158</v>
      </c>
      <c r="CA181" s="5" t="s">
        <v>158</v>
      </c>
      <c r="CB181" s="5" t="s">
        <v>158</v>
      </c>
      <c r="CC181" s="5" t="s">
        <v>158</v>
      </c>
      <c r="CD181" s="5" t="s">
        <v>158</v>
      </c>
      <c r="CE181" s="5" t="s">
        <v>158</v>
      </c>
      <c r="CF181" s="5" t="s">
        <v>158</v>
      </c>
      <c r="CG181" s="5" t="s">
        <v>158</v>
      </c>
      <c r="CH181" s="5" t="s">
        <v>158</v>
      </c>
      <c r="CI181" s="17" t="s">
        <v>158</v>
      </c>
      <c r="CJ181" s="17" t="s">
        <v>158</v>
      </c>
      <c r="CK181" s="17" t="s">
        <v>158</v>
      </c>
      <c r="CL181" s="17" t="s">
        <v>158</v>
      </c>
      <c r="CM181" s="17" t="s">
        <v>158</v>
      </c>
      <c r="CN181" s="17" t="s">
        <v>158</v>
      </c>
      <c r="CO181" s="17" t="s">
        <v>158</v>
      </c>
      <c r="CP181" s="17" t="s">
        <v>158</v>
      </c>
      <c r="CQ181" s="17" t="s">
        <v>158</v>
      </c>
      <c r="CR181" s="17" t="s">
        <v>158</v>
      </c>
      <c r="CS181" s="17" t="s">
        <v>158</v>
      </c>
      <c r="CT181" s="17" t="s">
        <v>158</v>
      </c>
      <c r="CU181" s="17" t="s">
        <v>158</v>
      </c>
      <c r="CV181" s="17" t="s">
        <v>158</v>
      </c>
      <c r="CW181" s="17" t="s">
        <v>158</v>
      </c>
      <c r="CX181" s="17" t="s">
        <v>158</v>
      </c>
      <c r="CY181" s="67" t="s">
        <v>158</v>
      </c>
    </row>
    <row r="182" spans="1:103" x14ac:dyDescent="0.2">
      <c r="A182" s="37" t="s">
        <v>21</v>
      </c>
      <c r="B182" s="59" t="s">
        <v>21</v>
      </c>
      <c r="C182" s="25" t="s">
        <v>20</v>
      </c>
      <c r="D182" s="25" t="s">
        <v>125</v>
      </c>
      <c r="F182" s="44"/>
      <c r="G182" s="87">
        <v>40433</v>
      </c>
      <c r="H182" s="41">
        <v>2010</v>
      </c>
      <c r="I182" s="143" t="s">
        <v>3</v>
      </c>
      <c r="J182" s="143" t="s">
        <v>114</v>
      </c>
      <c r="K182" s="136">
        <v>0.34</v>
      </c>
      <c r="L182" s="5" t="s">
        <v>158</v>
      </c>
      <c r="M182" s="42">
        <v>0.16</v>
      </c>
      <c r="N182" s="42">
        <v>0.35</v>
      </c>
      <c r="O182" s="42">
        <v>1.7</v>
      </c>
      <c r="P182" s="42">
        <v>1.5</v>
      </c>
      <c r="Q182" s="42">
        <v>6.9</v>
      </c>
      <c r="R182" s="42">
        <v>4</v>
      </c>
      <c r="S182" s="42">
        <v>2.2000000000000002</v>
      </c>
      <c r="T182" s="5">
        <f t="shared" si="26"/>
        <v>16.809999999999999</v>
      </c>
      <c r="U182" s="17">
        <f t="shared" si="27"/>
        <v>225.14705882352939</v>
      </c>
      <c r="V182" s="42" t="s">
        <v>483</v>
      </c>
      <c r="W182" s="42">
        <v>0.23</v>
      </c>
      <c r="X182" s="42">
        <v>7.3999999999999996E-2</v>
      </c>
      <c r="Y182" s="42">
        <v>0.12</v>
      </c>
      <c r="Z182" s="5" t="s">
        <v>158</v>
      </c>
      <c r="AA182" s="42">
        <v>2.7E-2</v>
      </c>
      <c r="AB182" s="42">
        <v>1.4E-2</v>
      </c>
      <c r="AC182" s="30" t="s">
        <v>158</v>
      </c>
      <c r="AD182" s="5" t="s">
        <v>158</v>
      </c>
      <c r="AE182" s="17">
        <f t="shared" si="23"/>
        <v>0.46500000000000002</v>
      </c>
      <c r="AF182" s="42">
        <v>-0.5</v>
      </c>
      <c r="AG182" s="18" t="s">
        <v>158</v>
      </c>
      <c r="AH182" s="283">
        <f t="shared" si="21"/>
        <v>20.212765957446809</v>
      </c>
      <c r="AI182" s="284" t="s">
        <v>158</v>
      </c>
      <c r="AJ182" s="284" t="s">
        <v>158</v>
      </c>
      <c r="AK182" s="284" t="s">
        <v>158</v>
      </c>
      <c r="AL182" s="284" t="s">
        <v>158</v>
      </c>
      <c r="AM182" s="284" t="s">
        <v>158</v>
      </c>
      <c r="AN182" s="284" t="s">
        <v>158</v>
      </c>
      <c r="AO182" s="284" t="s">
        <v>158</v>
      </c>
      <c r="AP182" s="284" t="s">
        <v>158</v>
      </c>
      <c r="AQ182" s="284" t="s">
        <v>158</v>
      </c>
      <c r="AR182" s="284" t="s">
        <v>158</v>
      </c>
      <c r="AS182" s="5" t="s">
        <v>158</v>
      </c>
      <c r="AT182" s="5" t="s">
        <v>158</v>
      </c>
      <c r="AU182" s="5" t="s">
        <v>158</v>
      </c>
      <c r="AV182" s="5" t="s">
        <v>158</v>
      </c>
      <c r="AW182" s="5" t="s">
        <v>158</v>
      </c>
      <c r="BC182" s="107">
        <v>380</v>
      </c>
      <c r="BD182" s="17" t="s">
        <v>158</v>
      </c>
      <c r="BE182" s="17" t="s">
        <v>158</v>
      </c>
      <c r="BF182" s="17" t="s">
        <v>158</v>
      </c>
      <c r="BG182" s="17" t="s">
        <v>158</v>
      </c>
      <c r="BH182" s="17" t="s">
        <v>158</v>
      </c>
      <c r="BI182" s="17" t="s">
        <v>158</v>
      </c>
      <c r="BJ182" s="17" t="s">
        <v>158</v>
      </c>
      <c r="BK182" s="17" t="s">
        <v>158</v>
      </c>
      <c r="BL182" s="17" t="s">
        <v>158</v>
      </c>
      <c r="BM182" s="17" t="s">
        <v>158</v>
      </c>
      <c r="BN182" s="5" t="s">
        <v>158</v>
      </c>
      <c r="BO182" s="5" t="s">
        <v>158</v>
      </c>
      <c r="BP182" s="5" t="s">
        <v>158</v>
      </c>
      <c r="BQ182" s="5" t="s">
        <v>158</v>
      </c>
      <c r="BR182" s="5" t="s">
        <v>158</v>
      </c>
      <c r="BS182" s="5" t="s">
        <v>158</v>
      </c>
      <c r="BT182" s="5" t="s">
        <v>158</v>
      </c>
      <c r="BU182" s="5" t="s">
        <v>158</v>
      </c>
      <c r="BV182" s="5" t="s">
        <v>158</v>
      </c>
      <c r="BW182" s="5" t="s">
        <v>158</v>
      </c>
      <c r="BX182" s="5" t="s">
        <v>158</v>
      </c>
      <c r="BY182" s="5" t="s">
        <v>158</v>
      </c>
      <c r="BZ182" s="5" t="s">
        <v>158</v>
      </c>
      <c r="CA182" s="5" t="s">
        <v>158</v>
      </c>
      <c r="CB182" s="5" t="s">
        <v>158</v>
      </c>
      <c r="CC182" s="5" t="s">
        <v>158</v>
      </c>
      <c r="CD182" s="5" t="s">
        <v>158</v>
      </c>
      <c r="CE182" s="5" t="s">
        <v>158</v>
      </c>
      <c r="CF182" s="5" t="s">
        <v>158</v>
      </c>
      <c r="CG182" s="5" t="s">
        <v>158</v>
      </c>
      <c r="CH182" s="5" t="s">
        <v>158</v>
      </c>
      <c r="CI182" s="17" t="s">
        <v>158</v>
      </c>
      <c r="CJ182" s="17" t="s">
        <v>158</v>
      </c>
      <c r="CK182" s="17" t="s">
        <v>158</v>
      </c>
      <c r="CL182" s="17" t="s">
        <v>158</v>
      </c>
      <c r="CM182" s="17" t="s">
        <v>158</v>
      </c>
      <c r="CN182" s="17" t="s">
        <v>158</v>
      </c>
      <c r="CO182" s="17" t="s">
        <v>158</v>
      </c>
      <c r="CP182" s="17" t="s">
        <v>158</v>
      </c>
      <c r="CQ182" s="17" t="s">
        <v>158</v>
      </c>
      <c r="CR182" s="17" t="s">
        <v>158</v>
      </c>
      <c r="CS182" s="17" t="s">
        <v>158</v>
      </c>
      <c r="CT182" s="17" t="s">
        <v>158</v>
      </c>
      <c r="CU182" s="17" t="s">
        <v>158</v>
      </c>
      <c r="CV182" s="17" t="s">
        <v>158</v>
      </c>
      <c r="CW182" s="17" t="s">
        <v>158</v>
      </c>
      <c r="CX182" s="17" t="s">
        <v>158</v>
      </c>
      <c r="CY182" s="67" t="s">
        <v>158</v>
      </c>
    </row>
    <row r="183" spans="1:103" x14ac:dyDescent="0.2">
      <c r="A183" s="37" t="s">
        <v>112</v>
      </c>
      <c r="B183" s="59" t="s">
        <v>24</v>
      </c>
      <c r="C183" s="25" t="s">
        <v>20</v>
      </c>
      <c r="D183" s="25" t="s">
        <v>125</v>
      </c>
      <c r="F183" s="44"/>
      <c r="G183" s="87">
        <v>40418</v>
      </c>
      <c r="H183" s="41">
        <v>2010</v>
      </c>
      <c r="I183" s="143" t="s">
        <v>3</v>
      </c>
      <c r="J183" s="143" t="s">
        <v>114</v>
      </c>
      <c r="K183" s="136">
        <v>0.45</v>
      </c>
      <c r="L183" s="5" t="s">
        <v>158</v>
      </c>
      <c r="M183" s="42">
        <v>4.5999999999999996</v>
      </c>
      <c r="N183" s="42">
        <v>8.9</v>
      </c>
      <c r="O183" s="42">
        <v>18</v>
      </c>
      <c r="P183" s="42">
        <v>20</v>
      </c>
      <c r="Q183" s="42">
        <v>32</v>
      </c>
      <c r="R183" s="42">
        <v>20</v>
      </c>
      <c r="S183" s="42">
        <v>9.4</v>
      </c>
      <c r="T183" s="5">
        <f t="shared" si="26"/>
        <v>112.9</v>
      </c>
      <c r="U183" s="17">
        <f t="shared" si="27"/>
        <v>1032.2222222222222</v>
      </c>
      <c r="V183" s="42" t="s">
        <v>551</v>
      </c>
      <c r="W183" s="42">
        <v>0.77</v>
      </c>
      <c r="X183" s="42">
        <v>0.2</v>
      </c>
      <c r="Y183" s="42">
        <v>0.11</v>
      </c>
      <c r="Z183" s="5" t="s">
        <v>158</v>
      </c>
      <c r="AA183" s="42">
        <v>4.4999999999999998E-2</v>
      </c>
      <c r="AB183" s="42">
        <v>2.1000000000000001E-2</v>
      </c>
      <c r="AC183" s="30" t="s">
        <v>158</v>
      </c>
      <c r="AD183" s="5" t="s">
        <v>158</v>
      </c>
      <c r="AE183" s="17">
        <f t="shared" si="23"/>
        <v>1.1459999999999999</v>
      </c>
      <c r="AF183" s="5">
        <v>-0.5</v>
      </c>
      <c r="AG183" s="18" t="s">
        <v>158</v>
      </c>
      <c r="AH183" s="283">
        <f t="shared" si="21"/>
        <v>39.734042553191486</v>
      </c>
      <c r="AI183" s="284" t="s">
        <v>158</v>
      </c>
      <c r="AJ183" s="284" t="s">
        <v>158</v>
      </c>
      <c r="AK183" s="284" t="s">
        <v>158</v>
      </c>
      <c r="AL183" s="284" t="s">
        <v>158</v>
      </c>
      <c r="AM183" s="284" t="s">
        <v>158</v>
      </c>
      <c r="AN183" s="284" t="s">
        <v>158</v>
      </c>
      <c r="AO183" s="284" t="s">
        <v>158</v>
      </c>
      <c r="AP183" s="284" t="s">
        <v>158</v>
      </c>
      <c r="AQ183" s="284" t="s">
        <v>158</v>
      </c>
      <c r="AR183" s="284" t="s">
        <v>158</v>
      </c>
      <c r="AS183" s="5" t="s">
        <v>158</v>
      </c>
      <c r="AT183" s="5" t="s">
        <v>158</v>
      </c>
      <c r="AU183" s="5" t="s">
        <v>158</v>
      </c>
      <c r="AV183" s="5" t="s">
        <v>158</v>
      </c>
      <c r="AW183" s="5" t="s">
        <v>158</v>
      </c>
      <c r="BC183" s="107">
        <v>747</v>
      </c>
      <c r="BD183" s="17" t="s">
        <v>158</v>
      </c>
      <c r="BE183" s="17" t="s">
        <v>158</v>
      </c>
      <c r="BF183" s="17" t="s">
        <v>158</v>
      </c>
      <c r="BG183" s="17" t="s">
        <v>158</v>
      </c>
      <c r="BH183" s="17" t="s">
        <v>158</v>
      </c>
      <c r="BI183" s="17" t="s">
        <v>158</v>
      </c>
      <c r="BJ183" s="17" t="s">
        <v>158</v>
      </c>
      <c r="BK183" s="17" t="s">
        <v>158</v>
      </c>
      <c r="BL183" s="17" t="s">
        <v>158</v>
      </c>
      <c r="BM183" s="17" t="s">
        <v>158</v>
      </c>
      <c r="BN183" s="5" t="s">
        <v>158</v>
      </c>
      <c r="BO183" s="5" t="s">
        <v>158</v>
      </c>
      <c r="BP183" s="5" t="s">
        <v>158</v>
      </c>
      <c r="BQ183" s="5" t="s">
        <v>158</v>
      </c>
      <c r="BR183" s="5" t="s">
        <v>158</v>
      </c>
      <c r="BS183" s="5" t="s">
        <v>158</v>
      </c>
      <c r="BT183" s="5" t="s">
        <v>158</v>
      </c>
      <c r="BU183" s="5" t="s">
        <v>158</v>
      </c>
      <c r="BV183" s="5" t="s">
        <v>158</v>
      </c>
      <c r="BW183" s="5" t="s">
        <v>158</v>
      </c>
      <c r="BX183" s="5" t="s">
        <v>158</v>
      </c>
      <c r="BY183" s="5" t="s">
        <v>158</v>
      </c>
      <c r="BZ183" s="5" t="s">
        <v>158</v>
      </c>
      <c r="CA183" s="5" t="s">
        <v>158</v>
      </c>
      <c r="CB183" s="5" t="s">
        <v>158</v>
      </c>
      <c r="CC183" s="5" t="s">
        <v>158</v>
      </c>
      <c r="CD183" s="5" t="s">
        <v>158</v>
      </c>
      <c r="CE183" s="5" t="s">
        <v>158</v>
      </c>
      <c r="CF183" s="5" t="s">
        <v>158</v>
      </c>
      <c r="CG183" s="5" t="s">
        <v>158</v>
      </c>
      <c r="CH183" s="5" t="s">
        <v>158</v>
      </c>
      <c r="CI183" s="17" t="s">
        <v>158</v>
      </c>
      <c r="CJ183" s="17" t="s">
        <v>158</v>
      </c>
      <c r="CK183" s="17" t="s">
        <v>158</v>
      </c>
      <c r="CL183" s="17" t="s">
        <v>158</v>
      </c>
      <c r="CM183" s="17" t="s">
        <v>158</v>
      </c>
      <c r="CN183" s="17" t="s">
        <v>158</v>
      </c>
      <c r="CO183" s="17" t="s">
        <v>158</v>
      </c>
      <c r="CP183" s="17" t="s">
        <v>158</v>
      </c>
      <c r="CQ183" s="17" t="s">
        <v>158</v>
      </c>
      <c r="CR183" s="17" t="s">
        <v>158</v>
      </c>
      <c r="CS183" s="17" t="s">
        <v>158</v>
      </c>
      <c r="CT183" s="17" t="s">
        <v>158</v>
      </c>
      <c r="CU183" s="17" t="s">
        <v>158</v>
      </c>
      <c r="CV183" s="17" t="s">
        <v>158</v>
      </c>
      <c r="CW183" s="17" t="s">
        <v>158</v>
      </c>
      <c r="CX183" s="17" t="s">
        <v>158</v>
      </c>
      <c r="CY183" s="67" t="s">
        <v>158</v>
      </c>
    </row>
    <row r="184" spans="1:103" x14ac:dyDescent="0.2">
      <c r="A184" s="37" t="s">
        <v>112</v>
      </c>
      <c r="B184" s="59" t="s">
        <v>24</v>
      </c>
      <c r="C184" s="25" t="s">
        <v>20</v>
      </c>
      <c r="D184" s="25" t="s">
        <v>125</v>
      </c>
      <c r="F184" s="45"/>
      <c r="G184" s="87">
        <v>40418</v>
      </c>
      <c r="H184" s="41">
        <v>2010</v>
      </c>
      <c r="I184" s="143" t="s">
        <v>33</v>
      </c>
      <c r="J184" s="143" t="s">
        <v>114</v>
      </c>
      <c r="K184" s="136">
        <v>0.35</v>
      </c>
      <c r="L184" s="5" t="s">
        <v>158</v>
      </c>
      <c r="M184" s="42">
        <v>0.99</v>
      </c>
      <c r="N184" s="42">
        <v>3.6</v>
      </c>
      <c r="O184" s="42">
        <v>9.5</v>
      </c>
      <c r="P184" s="42">
        <v>8.1</v>
      </c>
      <c r="Q184" s="42">
        <v>16</v>
      </c>
      <c r="R184" s="42">
        <v>10</v>
      </c>
      <c r="S184" s="42">
        <v>5.3</v>
      </c>
      <c r="T184" s="5">
        <f t="shared" si="26"/>
        <v>53.489999999999995</v>
      </c>
      <c r="U184" s="17">
        <f t="shared" si="27"/>
        <v>648.42857142857144</v>
      </c>
      <c r="V184" s="42" t="s">
        <v>491</v>
      </c>
      <c r="W184" s="42">
        <v>0.4</v>
      </c>
      <c r="X184" s="42">
        <v>0.11</v>
      </c>
      <c r="Y184" s="42">
        <v>9.2999999999999999E-2</v>
      </c>
      <c r="Z184" s="5" t="s">
        <v>158</v>
      </c>
      <c r="AA184" s="42">
        <v>2.9000000000000001E-2</v>
      </c>
      <c r="AB184" s="42">
        <v>1.6E-2</v>
      </c>
      <c r="AC184" s="30" t="s">
        <v>158</v>
      </c>
      <c r="AD184" s="5" t="s">
        <v>158</v>
      </c>
      <c r="AE184" s="17">
        <f t="shared" si="23"/>
        <v>0.64800000000000002</v>
      </c>
      <c r="AF184" s="42">
        <v>1.2</v>
      </c>
      <c r="AG184" s="18" t="s">
        <v>158</v>
      </c>
      <c r="AH184" s="283">
        <f t="shared" si="21"/>
        <v>25.904255319148934</v>
      </c>
      <c r="AI184" s="284" t="s">
        <v>158</v>
      </c>
      <c r="AJ184" s="284" t="s">
        <v>158</v>
      </c>
      <c r="AK184" s="284" t="s">
        <v>158</v>
      </c>
      <c r="AL184" s="284" t="s">
        <v>158</v>
      </c>
      <c r="AM184" s="284" t="s">
        <v>158</v>
      </c>
      <c r="AN184" s="284" t="s">
        <v>158</v>
      </c>
      <c r="AO184" s="284" t="s">
        <v>158</v>
      </c>
      <c r="AP184" s="284" t="s">
        <v>158</v>
      </c>
      <c r="AQ184" s="284" t="s">
        <v>158</v>
      </c>
      <c r="AR184" s="284" t="s">
        <v>158</v>
      </c>
      <c r="AS184" s="5" t="s">
        <v>158</v>
      </c>
      <c r="AT184" s="5" t="s">
        <v>158</v>
      </c>
      <c r="AU184" s="5" t="s">
        <v>158</v>
      </c>
      <c r="AV184" s="5" t="s">
        <v>158</v>
      </c>
      <c r="AW184" s="5" t="s">
        <v>158</v>
      </c>
      <c r="BC184" s="107">
        <v>487</v>
      </c>
      <c r="BD184" s="17" t="s">
        <v>158</v>
      </c>
      <c r="BE184" s="17" t="s">
        <v>158</v>
      </c>
      <c r="BF184" s="17" t="s">
        <v>158</v>
      </c>
      <c r="BG184" s="17" t="s">
        <v>158</v>
      </c>
      <c r="BH184" s="17" t="s">
        <v>158</v>
      </c>
      <c r="BI184" s="17" t="s">
        <v>158</v>
      </c>
      <c r="BJ184" s="17" t="s">
        <v>158</v>
      </c>
      <c r="BK184" s="17" t="s">
        <v>158</v>
      </c>
      <c r="BL184" s="17" t="s">
        <v>158</v>
      </c>
      <c r="BM184" s="17" t="s">
        <v>158</v>
      </c>
      <c r="BN184" s="5" t="s">
        <v>158</v>
      </c>
      <c r="BO184" s="5" t="s">
        <v>158</v>
      </c>
      <c r="BP184" s="5" t="s">
        <v>158</v>
      </c>
      <c r="BQ184" s="5" t="s">
        <v>158</v>
      </c>
      <c r="BR184" s="5" t="s">
        <v>158</v>
      </c>
      <c r="BS184" s="5" t="s">
        <v>158</v>
      </c>
      <c r="BT184" s="5" t="s">
        <v>158</v>
      </c>
      <c r="BU184" s="5" t="s">
        <v>158</v>
      </c>
      <c r="BV184" s="5" t="s">
        <v>158</v>
      </c>
      <c r="BW184" s="5" t="s">
        <v>158</v>
      </c>
      <c r="BX184" s="5" t="s">
        <v>158</v>
      </c>
      <c r="BY184" s="5" t="s">
        <v>158</v>
      </c>
      <c r="BZ184" s="5" t="s">
        <v>158</v>
      </c>
      <c r="CA184" s="5" t="s">
        <v>158</v>
      </c>
      <c r="CB184" s="5" t="s">
        <v>158</v>
      </c>
      <c r="CC184" s="5" t="s">
        <v>158</v>
      </c>
      <c r="CD184" s="5" t="s">
        <v>158</v>
      </c>
      <c r="CE184" s="5" t="s">
        <v>158</v>
      </c>
      <c r="CF184" s="5" t="s">
        <v>158</v>
      </c>
      <c r="CG184" s="5" t="s">
        <v>158</v>
      </c>
      <c r="CH184" s="5" t="s">
        <v>158</v>
      </c>
      <c r="CI184" s="17" t="s">
        <v>158</v>
      </c>
      <c r="CJ184" s="17" t="s">
        <v>158</v>
      </c>
      <c r="CK184" s="17" t="s">
        <v>158</v>
      </c>
      <c r="CL184" s="17" t="s">
        <v>158</v>
      </c>
      <c r="CM184" s="17" t="s">
        <v>158</v>
      </c>
      <c r="CN184" s="17" t="s">
        <v>158</v>
      </c>
      <c r="CO184" s="17" t="s">
        <v>158</v>
      </c>
      <c r="CP184" s="17" t="s">
        <v>158</v>
      </c>
      <c r="CQ184" s="17" t="s">
        <v>158</v>
      </c>
      <c r="CR184" s="17" t="s">
        <v>158</v>
      </c>
      <c r="CS184" s="17" t="s">
        <v>158</v>
      </c>
      <c r="CT184" s="17" t="s">
        <v>158</v>
      </c>
      <c r="CU184" s="17" t="s">
        <v>158</v>
      </c>
      <c r="CV184" s="17" t="s">
        <v>158</v>
      </c>
      <c r="CW184" s="17" t="s">
        <v>158</v>
      </c>
      <c r="CX184" s="17" t="s">
        <v>158</v>
      </c>
      <c r="CY184" s="67" t="s">
        <v>158</v>
      </c>
    </row>
    <row r="185" spans="1:103" x14ac:dyDescent="0.2">
      <c r="A185" s="37" t="s">
        <v>112</v>
      </c>
      <c r="B185" s="59" t="s">
        <v>24</v>
      </c>
      <c r="C185" s="25" t="s">
        <v>20</v>
      </c>
      <c r="D185" s="25" t="s">
        <v>125</v>
      </c>
      <c r="F185" s="44"/>
      <c r="G185" s="87">
        <v>40418</v>
      </c>
      <c r="H185" s="41">
        <v>2010</v>
      </c>
      <c r="I185" s="143" t="s">
        <v>3</v>
      </c>
      <c r="J185" s="143" t="s">
        <v>114</v>
      </c>
      <c r="K185" s="136">
        <v>0.26</v>
      </c>
      <c r="L185" s="5" t="s">
        <v>158</v>
      </c>
      <c r="M185" s="42">
        <v>0.98</v>
      </c>
      <c r="N185" s="42">
        <v>4.3</v>
      </c>
      <c r="O185" s="42">
        <v>7</v>
      </c>
      <c r="P185" s="42">
        <v>5.8</v>
      </c>
      <c r="Q185" s="42">
        <v>9.8000000000000007</v>
      </c>
      <c r="R185" s="42">
        <v>5.8</v>
      </c>
      <c r="S185" s="42">
        <v>2.5</v>
      </c>
      <c r="T185" s="5">
        <f t="shared" si="26"/>
        <v>36.18</v>
      </c>
      <c r="U185" s="17">
        <f t="shared" si="27"/>
        <v>584.23076923076917</v>
      </c>
      <c r="V185" s="42" t="s">
        <v>484</v>
      </c>
      <c r="W185" s="42">
        <v>0.21</v>
      </c>
      <c r="X185" s="42">
        <v>4.1000000000000002E-2</v>
      </c>
      <c r="Y185" s="42">
        <v>4.2999999999999997E-2</v>
      </c>
      <c r="Z185" s="5" t="s">
        <v>158</v>
      </c>
      <c r="AA185" s="42">
        <v>8.3000000000000001E-3</v>
      </c>
      <c r="AB185" s="42">
        <v>4.7000000000000002E-3</v>
      </c>
      <c r="AC185" s="30" t="s">
        <v>158</v>
      </c>
      <c r="AD185" s="5" t="s">
        <v>158</v>
      </c>
      <c r="AE185" s="17">
        <f t="shared" si="23"/>
        <v>0.30699999999999994</v>
      </c>
      <c r="AF185" s="42">
        <v>-0.5</v>
      </c>
      <c r="AG185" s="18" t="s">
        <v>158</v>
      </c>
      <c r="AH185" s="283">
        <f t="shared" si="21"/>
        <v>26.702127659574469</v>
      </c>
      <c r="AI185" s="284" t="s">
        <v>158</v>
      </c>
      <c r="AJ185" s="284" t="s">
        <v>158</v>
      </c>
      <c r="AK185" s="284" t="s">
        <v>158</v>
      </c>
      <c r="AL185" s="284" t="s">
        <v>158</v>
      </c>
      <c r="AM185" s="284" t="s">
        <v>158</v>
      </c>
      <c r="AN185" s="284" t="s">
        <v>158</v>
      </c>
      <c r="AO185" s="284" t="s">
        <v>158</v>
      </c>
      <c r="AP185" s="284" t="s">
        <v>158</v>
      </c>
      <c r="AQ185" s="284" t="s">
        <v>158</v>
      </c>
      <c r="AR185" s="284" t="s">
        <v>158</v>
      </c>
      <c r="AS185" s="5" t="s">
        <v>158</v>
      </c>
      <c r="AT185" s="5" t="s">
        <v>158</v>
      </c>
      <c r="AU185" s="5" t="s">
        <v>158</v>
      </c>
      <c r="AV185" s="5" t="s">
        <v>158</v>
      </c>
      <c r="AW185" s="5" t="s">
        <v>158</v>
      </c>
      <c r="BC185" s="107">
        <v>502</v>
      </c>
      <c r="BD185" s="17" t="s">
        <v>158</v>
      </c>
      <c r="BE185" s="17" t="s">
        <v>158</v>
      </c>
      <c r="BF185" s="17" t="s">
        <v>158</v>
      </c>
      <c r="BG185" s="17" t="s">
        <v>158</v>
      </c>
      <c r="BH185" s="17" t="s">
        <v>158</v>
      </c>
      <c r="BI185" s="17" t="s">
        <v>158</v>
      </c>
      <c r="BJ185" s="17" t="s">
        <v>158</v>
      </c>
      <c r="BK185" s="17" t="s">
        <v>158</v>
      </c>
      <c r="BL185" s="17" t="s">
        <v>158</v>
      </c>
      <c r="BM185" s="17" t="s">
        <v>158</v>
      </c>
      <c r="BN185" s="5" t="s">
        <v>158</v>
      </c>
      <c r="BO185" s="5" t="s">
        <v>158</v>
      </c>
      <c r="BP185" s="5" t="s">
        <v>158</v>
      </c>
      <c r="BQ185" s="5" t="s">
        <v>158</v>
      </c>
      <c r="BR185" s="5" t="s">
        <v>158</v>
      </c>
      <c r="BS185" s="5" t="s">
        <v>158</v>
      </c>
      <c r="BT185" s="5" t="s">
        <v>158</v>
      </c>
      <c r="BU185" s="5" t="s">
        <v>158</v>
      </c>
      <c r="BV185" s="5" t="s">
        <v>158</v>
      </c>
      <c r="BW185" s="5" t="s">
        <v>158</v>
      </c>
      <c r="BX185" s="5" t="s">
        <v>158</v>
      </c>
      <c r="BY185" s="5" t="s">
        <v>158</v>
      </c>
      <c r="BZ185" s="5" t="s">
        <v>158</v>
      </c>
      <c r="CA185" s="5" t="s">
        <v>158</v>
      </c>
      <c r="CB185" s="5" t="s">
        <v>158</v>
      </c>
      <c r="CC185" s="5" t="s">
        <v>158</v>
      </c>
      <c r="CD185" s="5" t="s">
        <v>158</v>
      </c>
      <c r="CE185" s="5" t="s">
        <v>158</v>
      </c>
      <c r="CF185" s="5" t="s">
        <v>158</v>
      </c>
      <c r="CG185" s="5" t="s">
        <v>158</v>
      </c>
      <c r="CH185" s="5" t="s">
        <v>158</v>
      </c>
      <c r="CI185" s="17" t="s">
        <v>158</v>
      </c>
      <c r="CJ185" s="17" t="s">
        <v>158</v>
      </c>
      <c r="CK185" s="17" t="s">
        <v>158</v>
      </c>
      <c r="CL185" s="17" t="s">
        <v>158</v>
      </c>
      <c r="CM185" s="17" t="s">
        <v>158</v>
      </c>
      <c r="CN185" s="17" t="s">
        <v>158</v>
      </c>
      <c r="CO185" s="17" t="s">
        <v>158</v>
      </c>
      <c r="CP185" s="17" t="s">
        <v>158</v>
      </c>
      <c r="CQ185" s="17" t="s">
        <v>158</v>
      </c>
      <c r="CR185" s="17" t="s">
        <v>158</v>
      </c>
      <c r="CS185" s="17" t="s">
        <v>158</v>
      </c>
      <c r="CT185" s="17" t="s">
        <v>158</v>
      </c>
      <c r="CU185" s="17" t="s">
        <v>158</v>
      </c>
      <c r="CV185" s="17" t="s">
        <v>158</v>
      </c>
      <c r="CW185" s="17" t="s">
        <v>158</v>
      </c>
      <c r="CX185" s="17" t="s">
        <v>158</v>
      </c>
      <c r="CY185" s="67" t="s">
        <v>158</v>
      </c>
    </row>
    <row r="186" spans="1:103" x14ac:dyDescent="0.2">
      <c r="A186" s="37" t="s">
        <v>112</v>
      </c>
      <c r="B186" s="59" t="s">
        <v>24</v>
      </c>
      <c r="C186" s="25" t="s">
        <v>20</v>
      </c>
      <c r="D186" s="25" t="s">
        <v>125</v>
      </c>
      <c r="F186" s="44"/>
      <c r="G186" s="87">
        <v>40418</v>
      </c>
      <c r="H186" s="41">
        <v>2010</v>
      </c>
      <c r="I186" s="143" t="s">
        <v>3</v>
      </c>
      <c r="J186" s="143" t="s">
        <v>114</v>
      </c>
      <c r="K186" s="136">
        <v>0.44000000000000006</v>
      </c>
      <c r="L186" s="5" t="s">
        <v>158</v>
      </c>
      <c r="M186" s="42">
        <v>2.1</v>
      </c>
      <c r="N186" s="42">
        <v>5.6</v>
      </c>
      <c r="O186" s="42">
        <v>10</v>
      </c>
      <c r="P186" s="42">
        <v>9.1999999999999993</v>
      </c>
      <c r="Q186" s="42">
        <v>17</v>
      </c>
      <c r="R186" s="42">
        <v>11</v>
      </c>
      <c r="S186" s="42">
        <v>5.0999999999999996</v>
      </c>
      <c r="T186" s="5">
        <f t="shared" si="26"/>
        <v>60</v>
      </c>
      <c r="U186" s="17">
        <f t="shared" si="27"/>
        <v>577.27272727272725</v>
      </c>
      <c r="V186" s="42" t="s">
        <v>485</v>
      </c>
      <c r="W186" s="42">
        <v>0.44</v>
      </c>
      <c r="X186" s="42">
        <v>0.11</v>
      </c>
      <c r="Y186" s="42">
        <v>3.6999999999999998E-2</v>
      </c>
      <c r="Z186" s="5" t="s">
        <v>158</v>
      </c>
      <c r="AA186" s="42">
        <v>2.4E-2</v>
      </c>
      <c r="AB186" s="42">
        <v>1.4E-2</v>
      </c>
      <c r="AC186" s="30" t="s">
        <v>158</v>
      </c>
      <c r="AD186" s="5" t="s">
        <v>158</v>
      </c>
      <c r="AE186" s="17">
        <f t="shared" si="23"/>
        <v>0.625</v>
      </c>
      <c r="AF186" s="42">
        <v>-0.5</v>
      </c>
      <c r="AG186" s="18" t="s">
        <v>158</v>
      </c>
      <c r="AH186" s="283">
        <f t="shared" si="21"/>
        <v>90.90425531914893</v>
      </c>
      <c r="AI186" s="284" t="s">
        <v>158</v>
      </c>
      <c r="AJ186" s="284" t="s">
        <v>158</v>
      </c>
      <c r="AK186" s="284" t="s">
        <v>158</v>
      </c>
      <c r="AL186" s="284" t="s">
        <v>158</v>
      </c>
      <c r="AM186" s="284" t="s">
        <v>158</v>
      </c>
      <c r="AN186" s="284" t="s">
        <v>158</v>
      </c>
      <c r="AO186" s="284" t="s">
        <v>158</v>
      </c>
      <c r="AP186" s="284" t="s">
        <v>158</v>
      </c>
      <c r="AQ186" s="284" t="s">
        <v>158</v>
      </c>
      <c r="AR186" s="284" t="s">
        <v>158</v>
      </c>
      <c r="AS186" s="5" t="s">
        <v>158</v>
      </c>
      <c r="AT186" s="5" t="s">
        <v>158</v>
      </c>
      <c r="AU186" s="5" t="s">
        <v>158</v>
      </c>
      <c r="AV186" s="5" t="s">
        <v>158</v>
      </c>
      <c r="AW186" s="5" t="s">
        <v>158</v>
      </c>
      <c r="BC186" s="107">
        <v>1709</v>
      </c>
      <c r="BD186" s="17" t="s">
        <v>158</v>
      </c>
      <c r="BE186" s="17" t="s">
        <v>158</v>
      </c>
      <c r="BF186" s="17" t="s">
        <v>158</v>
      </c>
      <c r="BG186" s="17" t="s">
        <v>158</v>
      </c>
      <c r="BH186" s="17" t="s">
        <v>158</v>
      </c>
      <c r="BI186" s="17" t="s">
        <v>158</v>
      </c>
      <c r="BJ186" s="17" t="s">
        <v>158</v>
      </c>
      <c r="BK186" s="17" t="s">
        <v>158</v>
      </c>
      <c r="BL186" s="17" t="s">
        <v>158</v>
      </c>
      <c r="BM186" s="17" t="s">
        <v>158</v>
      </c>
      <c r="BN186" s="5" t="s">
        <v>158</v>
      </c>
      <c r="BO186" s="5" t="s">
        <v>158</v>
      </c>
      <c r="BP186" s="5" t="s">
        <v>158</v>
      </c>
      <c r="BQ186" s="5" t="s">
        <v>158</v>
      </c>
      <c r="BR186" s="5" t="s">
        <v>158</v>
      </c>
      <c r="BS186" s="5" t="s">
        <v>158</v>
      </c>
      <c r="BT186" s="5" t="s">
        <v>158</v>
      </c>
      <c r="BU186" s="5" t="s">
        <v>158</v>
      </c>
      <c r="BV186" s="5" t="s">
        <v>158</v>
      </c>
      <c r="BW186" s="5" t="s">
        <v>158</v>
      </c>
      <c r="BX186" s="5" t="s">
        <v>158</v>
      </c>
      <c r="BY186" s="5" t="s">
        <v>158</v>
      </c>
      <c r="BZ186" s="5" t="s">
        <v>158</v>
      </c>
      <c r="CA186" s="5" t="s">
        <v>158</v>
      </c>
      <c r="CB186" s="5" t="s">
        <v>158</v>
      </c>
      <c r="CC186" s="5" t="s">
        <v>158</v>
      </c>
      <c r="CD186" s="5" t="s">
        <v>158</v>
      </c>
      <c r="CE186" s="5" t="s">
        <v>158</v>
      </c>
      <c r="CF186" s="5" t="s">
        <v>158</v>
      </c>
      <c r="CG186" s="5" t="s">
        <v>158</v>
      </c>
      <c r="CH186" s="5" t="s">
        <v>158</v>
      </c>
      <c r="CI186" s="17" t="s">
        <v>158</v>
      </c>
      <c r="CJ186" s="17" t="s">
        <v>158</v>
      </c>
      <c r="CK186" s="17" t="s">
        <v>158</v>
      </c>
      <c r="CL186" s="17" t="s">
        <v>158</v>
      </c>
      <c r="CM186" s="17" t="s">
        <v>158</v>
      </c>
      <c r="CN186" s="17" t="s">
        <v>158</v>
      </c>
      <c r="CO186" s="17" t="s">
        <v>158</v>
      </c>
      <c r="CP186" s="17" t="s">
        <v>158</v>
      </c>
      <c r="CQ186" s="17" t="s">
        <v>158</v>
      </c>
      <c r="CR186" s="17" t="s">
        <v>158</v>
      </c>
      <c r="CS186" s="17" t="s">
        <v>158</v>
      </c>
      <c r="CT186" s="17" t="s">
        <v>158</v>
      </c>
      <c r="CU186" s="17" t="s">
        <v>158</v>
      </c>
      <c r="CV186" s="17" t="s">
        <v>158</v>
      </c>
      <c r="CW186" s="17" t="s">
        <v>158</v>
      </c>
      <c r="CX186" s="17" t="s">
        <v>158</v>
      </c>
      <c r="CY186" s="67" t="s">
        <v>158</v>
      </c>
    </row>
    <row r="187" spans="1:103" x14ac:dyDescent="0.2">
      <c r="A187" s="37" t="s">
        <v>112</v>
      </c>
      <c r="B187" s="59" t="s">
        <v>24</v>
      </c>
      <c r="C187" s="25" t="s">
        <v>20</v>
      </c>
      <c r="D187" s="25" t="s">
        <v>125</v>
      </c>
      <c r="F187" s="44"/>
      <c r="G187" s="87">
        <v>40418</v>
      </c>
      <c r="H187" s="41">
        <v>2010</v>
      </c>
      <c r="I187" s="143" t="s">
        <v>3</v>
      </c>
      <c r="J187" s="143" t="s">
        <v>114</v>
      </c>
      <c r="K187" s="136">
        <v>0.79</v>
      </c>
      <c r="L187" s="5" t="s">
        <v>158</v>
      </c>
      <c r="M187" s="42">
        <v>2.2999999999999998</v>
      </c>
      <c r="N187" s="42">
        <v>6</v>
      </c>
      <c r="O187" s="42">
        <v>17</v>
      </c>
      <c r="P187" s="42">
        <v>14</v>
      </c>
      <c r="Q187" s="42">
        <v>23</v>
      </c>
      <c r="R187" s="42">
        <v>14</v>
      </c>
      <c r="S187" s="42">
        <v>6.4</v>
      </c>
      <c r="T187" s="5">
        <f t="shared" si="26"/>
        <v>82.7</v>
      </c>
      <c r="U187" s="17">
        <f t="shared" si="27"/>
        <v>434.81012658227849</v>
      </c>
      <c r="V187" s="42" t="s">
        <v>491</v>
      </c>
      <c r="W187" s="42">
        <v>0.68</v>
      </c>
      <c r="X187" s="42">
        <v>0.24</v>
      </c>
      <c r="Y187" s="42">
        <v>0.12</v>
      </c>
      <c r="Z187" s="5" t="s">
        <v>158</v>
      </c>
      <c r="AA187" s="42">
        <v>0.01</v>
      </c>
      <c r="AB187" s="42" t="s">
        <v>493</v>
      </c>
      <c r="AC187" s="30" t="s">
        <v>158</v>
      </c>
      <c r="AD187" s="5" t="s">
        <v>158</v>
      </c>
      <c r="AE187" s="17">
        <f t="shared" si="23"/>
        <v>1.05</v>
      </c>
      <c r="AF187" s="42">
        <v>-0.5</v>
      </c>
      <c r="AG187" s="18" t="s">
        <v>158</v>
      </c>
      <c r="AH187" s="283">
        <f t="shared" si="21"/>
        <v>6.9680851063829783</v>
      </c>
      <c r="AI187" s="284" t="s">
        <v>158</v>
      </c>
      <c r="AJ187" s="284" t="s">
        <v>158</v>
      </c>
      <c r="AK187" s="284" t="s">
        <v>158</v>
      </c>
      <c r="AL187" s="284" t="s">
        <v>158</v>
      </c>
      <c r="AM187" s="284" t="s">
        <v>158</v>
      </c>
      <c r="AN187" s="284" t="s">
        <v>158</v>
      </c>
      <c r="AO187" s="284" t="s">
        <v>158</v>
      </c>
      <c r="AP187" s="284" t="s">
        <v>158</v>
      </c>
      <c r="AQ187" s="284" t="s">
        <v>158</v>
      </c>
      <c r="AR187" s="284" t="s">
        <v>158</v>
      </c>
      <c r="AS187" s="5" t="s">
        <v>158</v>
      </c>
      <c r="AT187" s="5" t="s">
        <v>158</v>
      </c>
      <c r="AU187" s="5" t="s">
        <v>158</v>
      </c>
      <c r="AV187" s="5" t="s">
        <v>158</v>
      </c>
      <c r="AW187" s="5" t="s">
        <v>158</v>
      </c>
      <c r="BC187" s="107">
        <v>131</v>
      </c>
      <c r="BD187" s="17" t="s">
        <v>158</v>
      </c>
      <c r="BE187" s="17" t="s">
        <v>158</v>
      </c>
      <c r="BF187" s="17" t="s">
        <v>158</v>
      </c>
      <c r="BG187" s="17" t="s">
        <v>158</v>
      </c>
      <c r="BH187" s="17" t="s">
        <v>158</v>
      </c>
      <c r="BI187" s="17" t="s">
        <v>158</v>
      </c>
      <c r="BJ187" s="17" t="s">
        <v>158</v>
      </c>
      <c r="BK187" s="17" t="s">
        <v>158</v>
      </c>
      <c r="BL187" s="17" t="s">
        <v>158</v>
      </c>
      <c r="BM187" s="17" t="s">
        <v>158</v>
      </c>
      <c r="BN187" s="5" t="s">
        <v>158</v>
      </c>
      <c r="BO187" s="5" t="s">
        <v>158</v>
      </c>
      <c r="BP187" s="5" t="s">
        <v>158</v>
      </c>
      <c r="BQ187" s="5" t="s">
        <v>158</v>
      </c>
      <c r="BR187" s="5" t="s">
        <v>158</v>
      </c>
      <c r="BS187" s="5" t="s">
        <v>158</v>
      </c>
      <c r="BT187" s="5" t="s">
        <v>158</v>
      </c>
      <c r="BU187" s="5" t="s">
        <v>158</v>
      </c>
      <c r="BV187" s="5" t="s">
        <v>158</v>
      </c>
      <c r="BW187" s="5" t="s">
        <v>158</v>
      </c>
      <c r="BX187" s="5" t="s">
        <v>158</v>
      </c>
      <c r="BY187" s="5" t="s">
        <v>158</v>
      </c>
      <c r="BZ187" s="5" t="s">
        <v>158</v>
      </c>
      <c r="CA187" s="5" t="s">
        <v>158</v>
      </c>
      <c r="CB187" s="5" t="s">
        <v>158</v>
      </c>
      <c r="CC187" s="5" t="s">
        <v>158</v>
      </c>
      <c r="CD187" s="5" t="s">
        <v>158</v>
      </c>
      <c r="CE187" s="5" t="s">
        <v>158</v>
      </c>
      <c r="CF187" s="5" t="s">
        <v>158</v>
      </c>
      <c r="CG187" s="5" t="s">
        <v>158</v>
      </c>
      <c r="CH187" s="5" t="s">
        <v>158</v>
      </c>
      <c r="CI187" s="17" t="s">
        <v>158</v>
      </c>
      <c r="CJ187" s="17" t="s">
        <v>158</v>
      </c>
      <c r="CK187" s="17" t="s">
        <v>158</v>
      </c>
      <c r="CL187" s="17" t="s">
        <v>158</v>
      </c>
      <c r="CM187" s="17" t="s">
        <v>158</v>
      </c>
      <c r="CN187" s="17" t="s">
        <v>158</v>
      </c>
      <c r="CO187" s="17" t="s">
        <v>158</v>
      </c>
      <c r="CP187" s="17" t="s">
        <v>158</v>
      </c>
      <c r="CQ187" s="17" t="s">
        <v>158</v>
      </c>
      <c r="CR187" s="17" t="s">
        <v>158</v>
      </c>
      <c r="CS187" s="17" t="s">
        <v>158</v>
      </c>
      <c r="CT187" s="17" t="s">
        <v>158</v>
      </c>
      <c r="CU187" s="17" t="s">
        <v>158</v>
      </c>
      <c r="CV187" s="17" t="s">
        <v>158</v>
      </c>
      <c r="CW187" s="17" t="s">
        <v>158</v>
      </c>
      <c r="CX187" s="17" t="s">
        <v>158</v>
      </c>
      <c r="CY187" s="67" t="s">
        <v>158</v>
      </c>
    </row>
    <row r="188" spans="1:103" x14ac:dyDescent="0.2">
      <c r="A188" s="37" t="s">
        <v>112</v>
      </c>
      <c r="B188" s="59" t="s">
        <v>24</v>
      </c>
      <c r="C188" s="25" t="s">
        <v>20</v>
      </c>
      <c r="D188" s="25" t="s">
        <v>125</v>
      </c>
      <c r="F188" s="44"/>
      <c r="G188" s="87">
        <v>40418</v>
      </c>
      <c r="H188" s="41">
        <v>2010</v>
      </c>
      <c r="I188" s="143" t="s">
        <v>3</v>
      </c>
      <c r="J188" s="143" t="s">
        <v>114</v>
      </c>
      <c r="K188" s="136">
        <v>0.36</v>
      </c>
      <c r="L188" s="5" t="s">
        <v>158</v>
      </c>
      <c r="M188" s="42">
        <v>2.2999999999999998</v>
      </c>
      <c r="N188" s="42">
        <v>6.8</v>
      </c>
      <c r="O188" s="42">
        <v>17</v>
      </c>
      <c r="P188" s="42">
        <v>15</v>
      </c>
      <c r="Q188" s="42">
        <v>31</v>
      </c>
      <c r="R188" s="42">
        <v>18</v>
      </c>
      <c r="S188" s="42">
        <v>8.9</v>
      </c>
      <c r="T188" s="5">
        <f t="shared" si="26"/>
        <v>99</v>
      </c>
      <c r="U188" s="17">
        <f t="shared" si="27"/>
        <v>1166.6666666666667</v>
      </c>
      <c r="V188" s="42">
        <v>1.0999999999999999E-2</v>
      </c>
      <c r="W188" s="42">
        <v>0.62</v>
      </c>
      <c r="X188" s="42">
        <v>0.16</v>
      </c>
      <c r="Y188" s="42">
        <v>0.1</v>
      </c>
      <c r="Z188" s="5" t="s">
        <v>158</v>
      </c>
      <c r="AA188" s="42">
        <v>0.04</v>
      </c>
      <c r="AB188" s="42">
        <v>2.5999999999999999E-2</v>
      </c>
      <c r="AC188" s="30" t="s">
        <v>158</v>
      </c>
      <c r="AD188" s="5" t="s">
        <v>158</v>
      </c>
      <c r="AE188" s="17">
        <f t="shared" si="23"/>
        <v>0.95700000000000007</v>
      </c>
      <c r="AF188" s="42">
        <v>-0.5</v>
      </c>
      <c r="AG188" s="18" t="s">
        <v>158</v>
      </c>
      <c r="AH188" s="283">
        <f t="shared" si="21"/>
        <v>33.191489361702125</v>
      </c>
      <c r="AI188" s="284" t="s">
        <v>158</v>
      </c>
      <c r="AJ188" s="284" t="s">
        <v>158</v>
      </c>
      <c r="AK188" s="284" t="s">
        <v>158</v>
      </c>
      <c r="AL188" s="284" t="s">
        <v>158</v>
      </c>
      <c r="AM188" s="284" t="s">
        <v>158</v>
      </c>
      <c r="AN188" s="284" t="s">
        <v>158</v>
      </c>
      <c r="AO188" s="284" t="s">
        <v>158</v>
      </c>
      <c r="AP188" s="284" t="s">
        <v>158</v>
      </c>
      <c r="AQ188" s="284" t="s">
        <v>158</v>
      </c>
      <c r="AR188" s="284" t="s">
        <v>158</v>
      </c>
      <c r="AS188" s="5" t="s">
        <v>158</v>
      </c>
      <c r="AT188" s="5" t="s">
        <v>158</v>
      </c>
      <c r="AU188" s="5" t="s">
        <v>158</v>
      </c>
      <c r="AV188" s="5" t="s">
        <v>158</v>
      </c>
      <c r="AW188" s="5" t="s">
        <v>158</v>
      </c>
      <c r="BC188" s="107">
        <v>624</v>
      </c>
      <c r="BD188" s="17" t="s">
        <v>158</v>
      </c>
      <c r="BE188" s="17" t="s">
        <v>158</v>
      </c>
      <c r="BF188" s="17" t="s">
        <v>158</v>
      </c>
      <c r="BG188" s="17" t="s">
        <v>158</v>
      </c>
      <c r="BH188" s="17" t="s">
        <v>158</v>
      </c>
      <c r="BI188" s="17" t="s">
        <v>158</v>
      </c>
      <c r="BJ188" s="17" t="s">
        <v>158</v>
      </c>
      <c r="BK188" s="17" t="s">
        <v>158</v>
      </c>
      <c r="BL188" s="17" t="s">
        <v>158</v>
      </c>
      <c r="BM188" s="17" t="s">
        <v>158</v>
      </c>
      <c r="BN188" s="5" t="s">
        <v>158</v>
      </c>
      <c r="BO188" s="5" t="s">
        <v>158</v>
      </c>
      <c r="BP188" s="5" t="s">
        <v>158</v>
      </c>
      <c r="BQ188" s="5" t="s">
        <v>158</v>
      </c>
      <c r="BR188" s="5" t="s">
        <v>158</v>
      </c>
      <c r="BS188" s="5" t="s">
        <v>158</v>
      </c>
      <c r="BT188" s="5" t="s">
        <v>158</v>
      </c>
      <c r="BU188" s="5" t="s">
        <v>158</v>
      </c>
      <c r="BV188" s="5" t="s">
        <v>158</v>
      </c>
      <c r="BW188" s="5" t="s">
        <v>158</v>
      </c>
      <c r="BX188" s="5" t="s">
        <v>158</v>
      </c>
      <c r="BY188" s="5" t="s">
        <v>158</v>
      </c>
      <c r="BZ188" s="5" t="s">
        <v>158</v>
      </c>
      <c r="CA188" s="5" t="s">
        <v>158</v>
      </c>
      <c r="CB188" s="5" t="s">
        <v>158</v>
      </c>
      <c r="CC188" s="5" t="s">
        <v>158</v>
      </c>
      <c r="CD188" s="5" t="s">
        <v>158</v>
      </c>
      <c r="CE188" s="5" t="s">
        <v>158</v>
      </c>
      <c r="CF188" s="5" t="s">
        <v>158</v>
      </c>
      <c r="CG188" s="5" t="s">
        <v>158</v>
      </c>
      <c r="CH188" s="5" t="s">
        <v>158</v>
      </c>
      <c r="CI188" s="17" t="s">
        <v>158</v>
      </c>
      <c r="CJ188" s="17" t="s">
        <v>158</v>
      </c>
      <c r="CK188" s="17" t="s">
        <v>158</v>
      </c>
      <c r="CL188" s="17" t="s">
        <v>158</v>
      </c>
      <c r="CM188" s="17" t="s">
        <v>158</v>
      </c>
      <c r="CN188" s="17" t="s">
        <v>158</v>
      </c>
      <c r="CO188" s="17" t="s">
        <v>158</v>
      </c>
      <c r="CP188" s="17" t="s">
        <v>158</v>
      </c>
      <c r="CQ188" s="17" t="s">
        <v>158</v>
      </c>
      <c r="CR188" s="17" t="s">
        <v>158</v>
      </c>
      <c r="CS188" s="17" t="s">
        <v>158</v>
      </c>
      <c r="CT188" s="17" t="s">
        <v>158</v>
      </c>
      <c r="CU188" s="17" t="s">
        <v>158</v>
      </c>
      <c r="CV188" s="17" t="s">
        <v>158</v>
      </c>
      <c r="CW188" s="17" t="s">
        <v>158</v>
      </c>
      <c r="CX188" s="17" t="s">
        <v>158</v>
      </c>
      <c r="CY188" s="67" t="s">
        <v>158</v>
      </c>
    </row>
    <row r="189" spans="1:103" x14ac:dyDescent="0.2">
      <c r="A189" s="37" t="s">
        <v>112</v>
      </c>
      <c r="B189" s="59" t="s">
        <v>24</v>
      </c>
      <c r="C189" s="25" t="s">
        <v>20</v>
      </c>
      <c r="D189" s="25" t="s">
        <v>125</v>
      </c>
      <c r="F189" s="44"/>
      <c r="G189" s="87">
        <v>40418</v>
      </c>
      <c r="H189" s="41">
        <v>2010</v>
      </c>
      <c r="I189" s="143" t="s">
        <v>3</v>
      </c>
      <c r="J189" s="143" t="s">
        <v>114</v>
      </c>
      <c r="K189" s="136">
        <v>0.38</v>
      </c>
      <c r="L189" s="5" t="s">
        <v>158</v>
      </c>
      <c r="M189" s="42">
        <v>1.7</v>
      </c>
      <c r="N189" s="42">
        <v>7.3</v>
      </c>
      <c r="O189" s="42">
        <v>13</v>
      </c>
      <c r="P189" s="42">
        <v>8.5</v>
      </c>
      <c r="Q189" s="42">
        <v>16</v>
      </c>
      <c r="R189" s="42">
        <v>11</v>
      </c>
      <c r="S189" s="42">
        <v>3.1</v>
      </c>
      <c r="T189" s="5">
        <f t="shared" si="26"/>
        <v>60.6</v>
      </c>
      <c r="U189" s="17">
        <f t="shared" si="27"/>
        <v>685.52631578947364</v>
      </c>
      <c r="V189" s="42">
        <v>1.2E-2</v>
      </c>
      <c r="W189" s="42">
        <v>0.37</v>
      </c>
      <c r="X189" s="42">
        <v>7.1999999999999995E-2</v>
      </c>
      <c r="Y189" s="42">
        <v>6.3E-2</v>
      </c>
      <c r="Z189" s="5" t="s">
        <v>158</v>
      </c>
      <c r="AA189" s="42">
        <v>1.6E-2</v>
      </c>
      <c r="AB189" s="42">
        <v>7.6E-3</v>
      </c>
      <c r="AC189" s="30" t="s">
        <v>158</v>
      </c>
      <c r="AD189" s="5" t="s">
        <v>158</v>
      </c>
      <c r="AE189" s="17">
        <f t="shared" si="23"/>
        <v>0.54060000000000008</v>
      </c>
      <c r="AF189" s="42">
        <v>-0.5</v>
      </c>
      <c r="AG189" s="18" t="s">
        <v>158</v>
      </c>
      <c r="AH189" s="283">
        <f t="shared" si="21"/>
        <v>18.191489361702128</v>
      </c>
      <c r="AI189" s="284" t="s">
        <v>158</v>
      </c>
      <c r="AJ189" s="284" t="s">
        <v>158</v>
      </c>
      <c r="AK189" s="284" t="s">
        <v>158</v>
      </c>
      <c r="AL189" s="284" t="s">
        <v>158</v>
      </c>
      <c r="AM189" s="284" t="s">
        <v>158</v>
      </c>
      <c r="AN189" s="284" t="s">
        <v>158</v>
      </c>
      <c r="AO189" s="284" t="s">
        <v>158</v>
      </c>
      <c r="AP189" s="284" t="s">
        <v>158</v>
      </c>
      <c r="AQ189" s="284" t="s">
        <v>158</v>
      </c>
      <c r="AR189" s="284" t="s">
        <v>158</v>
      </c>
      <c r="AS189" s="5" t="s">
        <v>158</v>
      </c>
      <c r="AT189" s="5" t="s">
        <v>158</v>
      </c>
      <c r="AU189" s="5" t="s">
        <v>158</v>
      </c>
      <c r="AV189" s="5" t="s">
        <v>158</v>
      </c>
      <c r="AW189" s="5" t="s">
        <v>158</v>
      </c>
      <c r="BC189" s="107">
        <v>342</v>
      </c>
      <c r="BD189" s="17" t="s">
        <v>158</v>
      </c>
      <c r="BE189" s="17" t="s">
        <v>158</v>
      </c>
      <c r="BF189" s="17" t="s">
        <v>158</v>
      </c>
      <c r="BG189" s="17" t="s">
        <v>158</v>
      </c>
      <c r="BH189" s="17" t="s">
        <v>158</v>
      </c>
      <c r="BI189" s="17" t="s">
        <v>158</v>
      </c>
      <c r="BJ189" s="17" t="s">
        <v>158</v>
      </c>
      <c r="BK189" s="17" t="s">
        <v>158</v>
      </c>
      <c r="BL189" s="17" t="s">
        <v>158</v>
      </c>
      <c r="BM189" s="17" t="s">
        <v>158</v>
      </c>
      <c r="BN189" s="5" t="s">
        <v>158</v>
      </c>
      <c r="BO189" s="5" t="s">
        <v>158</v>
      </c>
      <c r="BP189" s="5" t="s">
        <v>158</v>
      </c>
      <c r="BQ189" s="5" t="s">
        <v>158</v>
      </c>
      <c r="BR189" s="5" t="s">
        <v>158</v>
      </c>
      <c r="BS189" s="5" t="s">
        <v>158</v>
      </c>
      <c r="BT189" s="5" t="s">
        <v>158</v>
      </c>
      <c r="BU189" s="5" t="s">
        <v>158</v>
      </c>
      <c r="BV189" s="5" t="s">
        <v>158</v>
      </c>
      <c r="BW189" s="5" t="s">
        <v>158</v>
      </c>
      <c r="BX189" s="5" t="s">
        <v>158</v>
      </c>
      <c r="BY189" s="5" t="s">
        <v>158</v>
      </c>
      <c r="BZ189" s="5" t="s">
        <v>158</v>
      </c>
      <c r="CA189" s="5" t="s">
        <v>158</v>
      </c>
      <c r="CB189" s="5" t="s">
        <v>158</v>
      </c>
      <c r="CC189" s="5" t="s">
        <v>158</v>
      </c>
      <c r="CD189" s="5" t="s">
        <v>158</v>
      </c>
      <c r="CE189" s="5" t="s">
        <v>158</v>
      </c>
      <c r="CF189" s="5" t="s">
        <v>158</v>
      </c>
      <c r="CG189" s="5" t="s">
        <v>158</v>
      </c>
      <c r="CH189" s="5" t="s">
        <v>158</v>
      </c>
      <c r="CI189" s="17" t="s">
        <v>158</v>
      </c>
      <c r="CJ189" s="17" t="s">
        <v>158</v>
      </c>
      <c r="CK189" s="17" t="s">
        <v>158</v>
      </c>
      <c r="CL189" s="17" t="s">
        <v>158</v>
      </c>
      <c r="CM189" s="17" t="s">
        <v>158</v>
      </c>
      <c r="CN189" s="17" t="s">
        <v>158</v>
      </c>
      <c r="CO189" s="17" t="s">
        <v>158</v>
      </c>
      <c r="CP189" s="17" t="s">
        <v>158</v>
      </c>
      <c r="CQ189" s="17" t="s">
        <v>158</v>
      </c>
      <c r="CR189" s="17" t="s">
        <v>158</v>
      </c>
      <c r="CS189" s="17" t="s">
        <v>158</v>
      </c>
      <c r="CT189" s="17" t="s">
        <v>158</v>
      </c>
      <c r="CU189" s="17" t="s">
        <v>158</v>
      </c>
      <c r="CV189" s="17" t="s">
        <v>158</v>
      </c>
      <c r="CW189" s="17" t="s">
        <v>158</v>
      </c>
      <c r="CX189" s="17" t="s">
        <v>158</v>
      </c>
      <c r="CY189" s="67" t="s">
        <v>158</v>
      </c>
    </row>
    <row r="190" spans="1:103" x14ac:dyDescent="0.2">
      <c r="A190" s="37" t="s">
        <v>112</v>
      </c>
      <c r="B190" s="59" t="s">
        <v>24</v>
      </c>
      <c r="C190" s="25" t="s">
        <v>20</v>
      </c>
      <c r="D190" s="25" t="s">
        <v>125</v>
      </c>
      <c r="F190" s="40"/>
      <c r="G190" s="87">
        <v>40418</v>
      </c>
      <c r="H190" s="41">
        <v>2010</v>
      </c>
      <c r="I190" s="143" t="s">
        <v>3</v>
      </c>
      <c r="J190" s="143" t="s">
        <v>114</v>
      </c>
      <c r="K190" s="136">
        <v>0.3</v>
      </c>
      <c r="L190" s="5" t="s">
        <v>158</v>
      </c>
      <c r="M190" s="42">
        <v>2.2999999999999998</v>
      </c>
      <c r="N190" s="42">
        <v>6.7</v>
      </c>
      <c r="O190" s="42">
        <v>16</v>
      </c>
      <c r="P190" s="42">
        <v>14</v>
      </c>
      <c r="Q190" s="42">
        <v>29</v>
      </c>
      <c r="R190" s="42">
        <v>22</v>
      </c>
      <c r="S190" s="42">
        <v>6.4</v>
      </c>
      <c r="T190" s="5">
        <f t="shared" si="26"/>
        <v>96.4</v>
      </c>
      <c r="U190" s="17">
        <f>SUM(M190,N190,O190,Q190,R190,S190)*(5/K190)</f>
        <v>1373.3333333333335</v>
      </c>
      <c r="V190" s="42">
        <v>8.8000000000000005E-3</v>
      </c>
      <c r="W190" s="42">
        <v>0.56999999999999995</v>
      </c>
      <c r="X190" s="42">
        <v>0.14000000000000001</v>
      </c>
      <c r="Y190" s="42">
        <v>0.19</v>
      </c>
      <c r="Z190" s="5" t="s">
        <v>158</v>
      </c>
      <c r="AA190" s="42">
        <v>2.3E-2</v>
      </c>
      <c r="AB190" s="42">
        <v>1.7999999999999999E-2</v>
      </c>
      <c r="AC190" s="30" t="s">
        <v>158</v>
      </c>
      <c r="AD190" s="5" t="s">
        <v>158</v>
      </c>
      <c r="AE190" s="17">
        <f t="shared" si="23"/>
        <v>0.94979999999999998</v>
      </c>
      <c r="AF190" s="42">
        <v>-0.5</v>
      </c>
      <c r="AG190" s="18" t="s">
        <v>158</v>
      </c>
      <c r="AH190" s="283">
        <f t="shared" si="21"/>
        <v>39.521276595744681</v>
      </c>
      <c r="AI190" s="284" t="s">
        <v>158</v>
      </c>
      <c r="AJ190" s="284" t="s">
        <v>158</v>
      </c>
      <c r="AK190" s="284" t="s">
        <v>158</v>
      </c>
      <c r="AL190" s="284" t="s">
        <v>158</v>
      </c>
      <c r="AM190" s="284" t="s">
        <v>158</v>
      </c>
      <c r="AN190" s="284" t="s">
        <v>158</v>
      </c>
      <c r="AO190" s="284" t="s">
        <v>158</v>
      </c>
      <c r="AP190" s="284" t="s">
        <v>158</v>
      </c>
      <c r="AQ190" s="284" t="s">
        <v>158</v>
      </c>
      <c r="AR190" s="284" t="s">
        <v>158</v>
      </c>
      <c r="AS190" s="5" t="s">
        <v>158</v>
      </c>
      <c r="AT190" s="5" t="s">
        <v>158</v>
      </c>
      <c r="AU190" s="5" t="s">
        <v>158</v>
      </c>
      <c r="AV190" s="5" t="s">
        <v>158</v>
      </c>
      <c r="AW190" s="5" t="s">
        <v>158</v>
      </c>
      <c r="BC190" s="107">
        <v>743</v>
      </c>
      <c r="BD190" s="17" t="s">
        <v>158</v>
      </c>
      <c r="BE190" s="17" t="s">
        <v>158</v>
      </c>
      <c r="BF190" s="17" t="s">
        <v>158</v>
      </c>
      <c r="BG190" s="17" t="s">
        <v>158</v>
      </c>
      <c r="BH190" s="17" t="s">
        <v>158</v>
      </c>
      <c r="BI190" s="17" t="s">
        <v>158</v>
      </c>
      <c r="BJ190" s="17" t="s">
        <v>158</v>
      </c>
      <c r="BK190" s="17" t="s">
        <v>158</v>
      </c>
      <c r="BL190" s="17" t="s">
        <v>158</v>
      </c>
      <c r="BM190" s="17" t="s">
        <v>158</v>
      </c>
      <c r="BN190" s="5" t="s">
        <v>158</v>
      </c>
      <c r="BO190" s="5" t="s">
        <v>158</v>
      </c>
      <c r="BP190" s="5" t="s">
        <v>158</v>
      </c>
      <c r="BQ190" s="5" t="s">
        <v>158</v>
      </c>
      <c r="BR190" s="5" t="s">
        <v>158</v>
      </c>
      <c r="BS190" s="5" t="s">
        <v>158</v>
      </c>
      <c r="BT190" s="5" t="s">
        <v>158</v>
      </c>
      <c r="BU190" s="5" t="s">
        <v>158</v>
      </c>
      <c r="BV190" s="5" t="s">
        <v>158</v>
      </c>
      <c r="BW190" s="5" t="s">
        <v>158</v>
      </c>
      <c r="BX190" s="5" t="s">
        <v>158</v>
      </c>
      <c r="BY190" s="5" t="s">
        <v>158</v>
      </c>
      <c r="BZ190" s="5" t="s">
        <v>158</v>
      </c>
      <c r="CA190" s="5" t="s">
        <v>158</v>
      </c>
      <c r="CB190" s="5" t="s">
        <v>158</v>
      </c>
      <c r="CC190" s="5" t="s">
        <v>158</v>
      </c>
      <c r="CD190" s="5" t="s">
        <v>158</v>
      </c>
      <c r="CE190" s="5" t="s">
        <v>158</v>
      </c>
      <c r="CF190" s="5" t="s">
        <v>158</v>
      </c>
      <c r="CG190" s="5" t="s">
        <v>158</v>
      </c>
      <c r="CH190" s="5" t="s">
        <v>158</v>
      </c>
      <c r="CI190" s="17" t="s">
        <v>158</v>
      </c>
      <c r="CJ190" s="17" t="s">
        <v>158</v>
      </c>
      <c r="CK190" s="17" t="s">
        <v>158</v>
      </c>
      <c r="CL190" s="17" t="s">
        <v>158</v>
      </c>
      <c r="CM190" s="17" t="s">
        <v>158</v>
      </c>
      <c r="CN190" s="17" t="s">
        <v>158</v>
      </c>
      <c r="CO190" s="17" t="s">
        <v>158</v>
      </c>
      <c r="CP190" s="17" t="s">
        <v>158</v>
      </c>
      <c r="CQ190" s="17" t="s">
        <v>158</v>
      </c>
      <c r="CR190" s="17" t="s">
        <v>158</v>
      </c>
      <c r="CS190" s="17" t="s">
        <v>158</v>
      </c>
      <c r="CT190" s="17" t="s">
        <v>158</v>
      </c>
      <c r="CU190" s="17" t="s">
        <v>158</v>
      </c>
      <c r="CV190" s="17" t="s">
        <v>158</v>
      </c>
      <c r="CW190" s="17" t="s">
        <v>158</v>
      </c>
      <c r="CX190" s="17" t="s">
        <v>158</v>
      </c>
      <c r="CY190" s="67" t="s">
        <v>158</v>
      </c>
    </row>
    <row r="191" spans="1:103" x14ac:dyDescent="0.2">
      <c r="A191" s="37" t="s">
        <v>112</v>
      </c>
      <c r="B191" s="59" t="s">
        <v>24</v>
      </c>
      <c r="C191" s="25" t="s">
        <v>20</v>
      </c>
      <c r="D191" s="25" t="s">
        <v>125</v>
      </c>
      <c r="F191" s="44"/>
      <c r="G191" s="87">
        <v>40418</v>
      </c>
      <c r="H191" s="41">
        <v>2010</v>
      </c>
      <c r="I191" s="143" t="s">
        <v>3</v>
      </c>
      <c r="J191" s="143" t="s">
        <v>114</v>
      </c>
      <c r="K191" s="136">
        <v>0.38</v>
      </c>
      <c r="L191" s="5" t="s">
        <v>158</v>
      </c>
      <c r="M191" s="42">
        <v>2.2000000000000002</v>
      </c>
      <c r="N191" s="42">
        <v>7.2</v>
      </c>
      <c r="O191" s="42">
        <v>14</v>
      </c>
      <c r="P191" s="42">
        <v>11</v>
      </c>
      <c r="Q191" s="42">
        <v>16</v>
      </c>
      <c r="R191" s="42">
        <v>12</v>
      </c>
      <c r="S191" s="42">
        <v>4.5</v>
      </c>
      <c r="T191" s="5">
        <f t="shared" si="26"/>
        <v>66.900000000000006</v>
      </c>
      <c r="U191" s="17">
        <f t="shared" si="27"/>
        <v>735.52631578947364</v>
      </c>
      <c r="V191" s="42">
        <v>7.4999999999999997E-3</v>
      </c>
      <c r="W191" s="42">
        <v>0.39</v>
      </c>
      <c r="X191" s="42">
        <v>0.1</v>
      </c>
      <c r="Y191" s="42">
        <v>0.17</v>
      </c>
      <c r="Z191" s="5" t="s">
        <v>158</v>
      </c>
      <c r="AA191" s="42">
        <v>0.03</v>
      </c>
      <c r="AB191" s="42">
        <v>1.6E-2</v>
      </c>
      <c r="AC191" s="30" t="s">
        <v>158</v>
      </c>
      <c r="AD191" s="5" t="s">
        <v>158</v>
      </c>
      <c r="AE191" s="17">
        <f t="shared" si="23"/>
        <v>0.71350000000000002</v>
      </c>
      <c r="AF191" s="42">
        <v>0.79</v>
      </c>
      <c r="AG191" s="18" t="s">
        <v>158</v>
      </c>
      <c r="AH191" s="283">
        <f t="shared" si="21"/>
        <v>12.712765957446807</v>
      </c>
      <c r="AI191" s="284" t="s">
        <v>158</v>
      </c>
      <c r="AJ191" s="284" t="s">
        <v>158</v>
      </c>
      <c r="AK191" s="284" t="s">
        <v>158</v>
      </c>
      <c r="AL191" s="284" t="s">
        <v>158</v>
      </c>
      <c r="AM191" s="284" t="s">
        <v>158</v>
      </c>
      <c r="AN191" s="284" t="s">
        <v>158</v>
      </c>
      <c r="AO191" s="284" t="s">
        <v>158</v>
      </c>
      <c r="AP191" s="284" t="s">
        <v>158</v>
      </c>
      <c r="AQ191" s="284" t="s">
        <v>158</v>
      </c>
      <c r="AR191" s="284" t="s">
        <v>158</v>
      </c>
      <c r="AS191" s="5" t="s">
        <v>158</v>
      </c>
      <c r="AT191" s="5" t="s">
        <v>158</v>
      </c>
      <c r="AU191" s="5" t="s">
        <v>158</v>
      </c>
      <c r="AV191" s="5" t="s">
        <v>158</v>
      </c>
      <c r="AW191" s="5" t="s">
        <v>158</v>
      </c>
      <c r="BC191" s="107">
        <v>239</v>
      </c>
      <c r="BD191" s="17" t="s">
        <v>158</v>
      </c>
      <c r="BE191" s="17" t="s">
        <v>158</v>
      </c>
      <c r="BF191" s="17" t="s">
        <v>158</v>
      </c>
      <c r="BG191" s="17" t="s">
        <v>158</v>
      </c>
      <c r="BH191" s="17" t="s">
        <v>158</v>
      </c>
      <c r="BI191" s="17" t="s">
        <v>158</v>
      </c>
      <c r="BJ191" s="17" t="s">
        <v>158</v>
      </c>
      <c r="BK191" s="17" t="s">
        <v>158</v>
      </c>
      <c r="BL191" s="17" t="s">
        <v>158</v>
      </c>
      <c r="BM191" s="17" t="s">
        <v>158</v>
      </c>
      <c r="BN191" s="5" t="s">
        <v>158</v>
      </c>
      <c r="BO191" s="5" t="s">
        <v>158</v>
      </c>
      <c r="BP191" s="5" t="s">
        <v>158</v>
      </c>
      <c r="BQ191" s="5" t="s">
        <v>158</v>
      </c>
      <c r="BR191" s="5" t="s">
        <v>158</v>
      </c>
      <c r="BS191" s="5" t="s">
        <v>158</v>
      </c>
      <c r="BT191" s="5" t="s">
        <v>158</v>
      </c>
      <c r="BU191" s="5" t="s">
        <v>158</v>
      </c>
      <c r="BV191" s="5" t="s">
        <v>158</v>
      </c>
      <c r="BW191" s="5" t="s">
        <v>158</v>
      </c>
      <c r="BX191" s="5" t="s">
        <v>158</v>
      </c>
      <c r="BY191" s="5" t="s">
        <v>158</v>
      </c>
      <c r="BZ191" s="5" t="s">
        <v>158</v>
      </c>
      <c r="CA191" s="5" t="s">
        <v>158</v>
      </c>
      <c r="CB191" s="5" t="s">
        <v>158</v>
      </c>
      <c r="CC191" s="5" t="s">
        <v>158</v>
      </c>
      <c r="CD191" s="5" t="s">
        <v>158</v>
      </c>
      <c r="CE191" s="5" t="s">
        <v>158</v>
      </c>
      <c r="CF191" s="5" t="s">
        <v>158</v>
      </c>
      <c r="CG191" s="5" t="s">
        <v>158</v>
      </c>
      <c r="CH191" s="5" t="s">
        <v>158</v>
      </c>
      <c r="CI191" s="17" t="s">
        <v>158</v>
      </c>
      <c r="CJ191" s="17" t="s">
        <v>158</v>
      </c>
      <c r="CK191" s="17" t="s">
        <v>158</v>
      </c>
      <c r="CL191" s="17" t="s">
        <v>158</v>
      </c>
      <c r="CM191" s="17" t="s">
        <v>158</v>
      </c>
      <c r="CN191" s="17" t="s">
        <v>158</v>
      </c>
      <c r="CO191" s="17" t="s">
        <v>158</v>
      </c>
      <c r="CP191" s="17" t="s">
        <v>158</v>
      </c>
      <c r="CQ191" s="17" t="s">
        <v>158</v>
      </c>
      <c r="CR191" s="17" t="s">
        <v>158</v>
      </c>
      <c r="CS191" s="17" t="s">
        <v>158</v>
      </c>
      <c r="CT191" s="17" t="s">
        <v>158</v>
      </c>
      <c r="CU191" s="17" t="s">
        <v>158</v>
      </c>
      <c r="CV191" s="17" t="s">
        <v>158</v>
      </c>
      <c r="CW191" s="17" t="s">
        <v>158</v>
      </c>
      <c r="CX191" s="17" t="s">
        <v>158</v>
      </c>
      <c r="CY191" s="67" t="s">
        <v>158</v>
      </c>
    </row>
    <row r="192" spans="1:103" ht="15" thickBot="1" x14ac:dyDescent="0.25">
      <c r="A192" s="46" t="s">
        <v>112</v>
      </c>
      <c r="B192" s="60" t="s">
        <v>24</v>
      </c>
      <c r="C192" s="47" t="s">
        <v>20</v>
      </c>
      <c r="D192" s="47" t="s">
        <v>125</v>
      </c>
      <c r="E192" s="19"/>
      <c r="F192" s="48"/>
      <c r="G192" s="88">
        <v>40418</v>
      </c>
      <c r="H192" s="49">
        <v>2010</v>
      </c>
      <c r="I192" s="144" t="s">
        <v>3</v>
      </c>
      <c r="J192" s="144" t="s">
        <v>114</v>
      </c>
      <c r="K192" s="137">
        <v>0.72</v>
      </c>
      <c r="L192" s="20" t="s">
        <v>158</v>
      </c>
      <c r="M192" s="50">
        <v>6.6</v>
      </c>
      <c r="N192" s="50">
        <v>13</v>
      </c>
      <c r="O192" s="50">
        <v>28</v>
      </c>
      <c r="P192" s="50">
        <v>32</v>
      </c>
      <c r="Q192" s="50">
        <v>56</v>
      </c>
      <c r="R192" s="50">
        <v>45</v>
      </c>
      <c r="S192" s="50">
        <v>14</v>
      </c>
      <c r="T192" s="20">
        <f t="shared" si="26"/>
        <v>194.6</v>
      </c>
      <c r="U192" s="22">
        <f t="shared" si="27"/>
        <v>1129.1666666666667</v>
      </c>
      <c r="V192" s="50">
        <v>1.2999999999999999E-2</v>
      </c>
      <c r="W192" s="50">
        <v>1.3</v>
      </c>
      <c r="X192" s="50">
        <v>0.4</v>
      </c>
      <c r="Y192" s="50">
        <v>0.25</v>
      </c>
      <c r="Z192" s="20" t="s">
        <v>158</v>
      </c>
      <c r="AA192" s="50">
        <v>0.05</v>
      </c>
      <c r="AB192" s="50">
        <v>3.2000000000000001E-2</v>
      </c>
      <c r="AC192" s="51" t="s">
        <v>158</v>
      </c>
      <c r="AD192" s="20" t="s">
        <v>158</v>
      </c>
      <c r="AE192" s="22">
        <f t="shared" si="23"/>
        <v>2.0449999999999999</v>
      </c>
      <c r="AF192" s="50">
        <v>0.79</v>
      </c>
      <c r="AG192" s="21" t="s">
        <v>158</v>
      </c>
      <c r="AH192" s="285">
        <f t="shared" si="21"/>
        <v>8.4574468085106371</v>
      </c>
      <c r="AI192" s="286" t="s">
        <v>158</v>
      </c>
      <c r="AJ192" s="286" t="s">
        <v>158</v>
      </c>
      <c r="AK192" s="286" t="s">
        <v>158</v>
      </c>
      <c r="AL192" s="286" t="s">
        <v>158</v>
      </c>
      <c r="AM192" s="286" t="s">
        <v>158</v>
      </c>
      <c r="AN192" s="286" t="s">
        <v>158</v>
      </c>
      <c r="AO192" s="286" t="s">
        <v>158</v>
      </c>
      <c r="AP192" s="286" t="s">
        <v>158</v>
      </c>
      <c r="AQ192" s="286" t="s">
        <v>158</v>
      </c>
      <c r="AR192" s="286" t="s">
        <v>158</v>
      </c>
      <c r="AS192" s="20" t="s">
        <v>158</v>
      </c>
      <c r="AT192" s="20" t="s">
        <v>158</v>
      </c>
      <c r="AU192" s="20" t="s">
        <v>158</v>
      </c>
      <c r="AV192" s="20" t="s">
        <v>158</v>
      </c>
      <c r="AW192" s="20" t="s">
        <v>158</v>
      </c>
      <c r="AX192" s="20"/>
      <c r="AY192" s="20"/>
      <c r="AZ192" s="20"/>
      <c r="BA192" s="20"/>
      <c r="BB192" s="20"/>
      <c r="BC192" s="108">
        <v>159</v>
      </c>
      <c r="BD192" s="22" t="s">
        <v>158</v>
      </c>
      <c r="BE192" s="22" t="s">
        <v>158</v>
      </c>
      <c r="BF192" s="22" t="s">
        <v>158</v>
      </c>
      <c r="BG192" s="22" t="s">
        <v>158</v>
      </c>
      <c r="BH192" s="22" t="s">
        <v>158</v>
      </c>
      <c r="BI192" s="22" t="s">
        <v>158</v>
      </c>
      <c r="BJ192" s="22" t="s">
        <v>158</v>
      </c>
      <c r="BK192" s="22" t="s">
        <v>158</v>
      </c>
      <c r="BL192" s="22" t="s">
        <v>158</v>
      </c>
      <c r="BM192" s="22" t="s">
        <v>158</v>
      </c>
      <c r="BN192" s="20" t="s">
        <v>158</v>
      </c>
      <c r="BO192" s="20" t="s">
        <v>158</v>
      </c>
      <c r="BP192" s="20" t="s">
        <v>158</v>
      </c>
      <c r="BQ192" s="20" t="s">
        <v>158</v>
      </c>
      <c r="BR192" s="20" t="s">
        <v>158</v>
      </c>
      <c r="BS192" s="20" t="s">
        <v>158</v>
      </c>
      <c r="BT192" s="20" t="s">
        <v>158</v>
      </c>
      <c r="BU192" s="20" t="s">
        <v>158</v>
      </c>
      <c r="BV192" s="20" t="s">
        <v>158</v>
      </c>
      <c r="BW192" s="20" t="s">
        <v>158</v>
      </c>
      <c r="BX192" s="20" t="s">
        <v>158</v>
      </c>
      <c r="BY192" s="20" t="s">
        <v>158</v>
      </c>
      <c r="BZ192" s="20" t="s">
        <v>158</v>
      </c>
      <c r="CA192" s="20" t="s">
        <v>158</v>
      </c>
      <c r="CB192" s="20" t="s">
        <v>158</v>
      </c>
      <c r="CC192" s="20" t="s">
        <v>158</v>
      </c>
      <c r="CD192" s="20" t="s">
        <v>158</v>
      </c>
      <c r="CE192" s="20" t="s">
        <v>158</v>
      </c>
      <c r="CF192" s="20" t="s">
        <v>158</v>
      </c>
      <c r="CG192" s="20" t="s">
        <v>158</v>
      </c>
      <c r="CH192" s="20" t="s">
        <v>158</v>
      </c>
      <c r="CI192" s="22" t="s">
        <v>158</v>
      </c>
      <c r="CJ192" s="22" t="s">
        <v>158</v>
      </c>
      <c r="CK192" s="22" t="s">
        <v>158</v>
      </c>
      <c r="CL192" s="22" t="s">
        <v>158</v>
      </c>
      <c r="CM192" s="22" t="s">
        <v>158</v>
      </c>
      <c r="CN192" s="22" t="s">
        <v>158</v>
      </c>
      <c r="CO192" s="22" t="s">
        <v>158</v>
      </c>
      <c r="CP192" s="22" t="s">
        <v>158</v>
      </c>
      <c r="CQ192" s="22" t="s">
        <v>158</v>
      </c>
      <c r="CR192" s="22" t="s">
        <v>158</v>
      </c>
      <c r="CS192" s="22" t="s">
        <v>158</v>
      </c>
      <c r="CT192" s="22" t="s">
        <v>158</v>
      </c>
      <c r="CU192" s="22" t="s">
        <v>158</v>
      </c>
      <c r="CV192" s="22" t="s">
        <v>158</v>
      </c>
      <c r="CW192" s="22" t="s">
        <v>158</v>
      </c>
      <c r="CX192" s="22" t="s">
        <v>158</v>
      </c>
      <c r="CY192" s="70" t="s">
        <v>158</v>
      </c>
    </row>
    <row r="193" spans="2:104" x14ac:dyDescent="0.2">
      <c r="B193" s="52"/>
      <c r="C193" s="52"/>
      <c r="D193" s="52"/>
      <c r="E193" s="53"/>
      <c r="F193" s="43"/>
      <c r="G193" s="54"/>
      <c r="H193" s="42"/>
      <c r="I193" s="145"/>
      <c r="J193" s="145"/>
      <c r="K193" s="141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D193" s="42"/>
      <c r="AE193" s="5"/>
      <c r="AF193" s="42"/>
      <c r="AH193" s="287"/>
      <c r="AI193" s="284"/>
      <c r="AJ193" s="284"/>
      <c r="AL193" s="288"/>
      <c r="AM193" s="288"/>
      <c r="AP193" s="284"/>
      <c r="AR193" s="284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67"/>
    </row>
    <row r="194" spans="2:104" x14ac:dyDescent="0.2">
      <c r="B194" s="52"/>
      <c r="C194" s="52"/>
      <c r="D194" s="52"/>
      <c r="E194" s="53"/>
      <c r="F194" s="43"/>
      <c r="G194" s="54"/>
      <c r="H194" s="42"/>
      <c r="I194" s="145"/>
      <c r="J194" s="145"/>
      <c r="K194" s="141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D194" s="42"/>
      <c r="AE194" s="5"/>
      <c r="AF194" s="42"/>
      <c r="AH194" s="287"/>
      <c r="AI194" s="284"/>
      <c r="AJ194" s="284"/>
      <c r="AL194" s="288"/>
      <c r="AM194" s="288"/>
      <c r="AP194" s="284"/>
      <c r="AR194" s="284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N194" s="5"/>
      <c r="BY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67"/>
    </row>
    <row r="195" spans="2:104" x14ac:dyDescent="0.2">
      <c r="B195" s="59"/>
      <c r="C195" s="59"/>
      <c r="D195" s="59"/>
      <c r="E195" s="109"/>
      <c r="F195" s="40"/>
      <c r="G195" s="54"/>
      <c r="H195" s="41"/>
      <c r="I195" s="146"/>
      <c r="J195" s="146"/>
      <c r="K195" s="141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D195" s="42"/>
      <c r="AE195" s="5"/>
      <c r="AF195" s="42"/>
      <c r="AH195" s="287"/>
      <c r="AI195" s="284"/>
      <c r="AJ195" s="284"/>
      <c r="AL195" s="288"/>
      <c r="AM195" s="288"/>
      <c r="AP195" s="284"/>
      <c r="AR195" s="284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N195" s="5"/>
      <c r="BY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67"/>
    </row>
    <row r="196" spans="2:104" x14ac:dyDescent="0.2">
      <c r="B196" s="59"/>
      <c r="C196" s="59"/>
      <c r="D196" s="59"/>
      <c r="E196" s="109"/>
      <c r="F196" s="40"/>
      <c r="G196" s="54"/>
      <c r="H196" s="41"/>
      <c r="I196" s="146"/>
      <c r="J196" s="146"/>
      <c r="K196" s="141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D196" s="42"/>
      <c r="AE196" s="5"/>
      <c r="AF196" s="42"/>
      <c r="AH196" s="287"/>
      <c r="AI196" s="284"/>
      <c r="AJ196" s="284"/>
      <c r="AL196" s="288"/>
      <c r="AM196" s="288"/>
      <c r="AP196" s="284"/>
      <c r="AR196" s="284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N196" s="5"/>
      <c r="BY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67"/>
    </row>
    <row r="197" spans="2:104" x14ac:dyDescent="0.2">
      <c r="B197" s="59"/>
      <c r="C197" s="59"/>
      <c r="D197" s="59"/>
      <c r="E197" s="109"/>
      <c r="F197" s="40"/>
      <c r="G197" s="54"/>
      <c r="H197" s="41"/>
      <c r="I197" s="146"/>
      <c r="J197" s="146"/>
      <c r="K197" s="141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D197" s="42"/>
      <c r="AE197" s="5"/>
      <c r="AH197" s="287"/>
      <c r="AI197" s="284"/>
      <c r="AJ197" s="284"/>
      <c r="AL197" s="288"/>
      <c r="AM197" s="288"/>
      <c r="AP197" s="284"/>
      <c r="AR197" s="284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N197" s="5"/>
      <c r="BY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67"/>
    </row>
    <row r="198" spans="2:104" x14ac:dyDescent="0.2">
      <c r="B198" s="59"/>
      <c r="C198" s="59"/>
      <c r="D198" s="59"/>
      <c r="E198" s="109"/>
      <c r="F198" s="40"/>
      <c r="G198" s="54"/>
      <c r="H198" s="41"/>
      <c r="I198" s="143"/>
      <c r="J198" s="143"/>
      <c r="K198" s="141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D198" s="42"/>
      <c r="AE198" s="5"/>
      <c r="AG198" s="43"/>
      <c r="AH198" s="287"/>
      <c r="AI198" s="284"/>
      <c r="AJ198" s="284"/>
      <c r="AL198" s="288"/>
      <c r="AM198" s="288"/>
      <c r="AP198" s="284"/>
      <c r="AR198" s="284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N198" s="5"/>
      <c r="BY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67"/>
    </row>
    <row r="199" spans="2:104" x14ac:dyDescent="0.2">
      <c r="B199" s="59"/>
      <c r="C199" s="59"/>
      <c r="D199" s="59"/>
      <c r="E199" s="109"/>
      <c r="F199" s="40"/>
      <c r="G199" s="54"/>
      <c r="H199" s="41"/>
      <c r="I199" s="143"/>
      <c r="J199" s="143"/>
      <c r="K199" s="141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D199" s="42"/>
      <c r="AE199" s="5"/>
      <c r="AG199" s="43"/>
      <c r="BC199" s="17"/>
      <c r="BN199" s="5"/>
      <c r="BY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67"/>
    </row>
    <row r="200" spans="2:104" x14ac:dyDescent="0.2">
      <c r="B200" s="59"/>
      <c r="C200" s="59"/>
      <c r="D200" s="59"/>
      <c r="E200" s="109"/>
      <c r="F200" s="40"/>
      <c r="G200" s="54"/>
      <c r="H200" s="41"/>
      <c r="I200" s="143"/>
      <c r="J200" s="143"/>
      <c r="K200" s="141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D200" s="42"/>
      <c r="AE200" s="5"/>
      <c r="AG200" s="43"/>
      <c r="AH200" s="287"/>
      <c r="AI200" s="284"/>
      <c r="AJ200" s="284"/>
      <c r="AL200" s="288"/>
      <c r="AM200" s="288"/>
      <c r="AP200" s="284"/>
      <c r="AR200" s="284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N200" s="5"/>
      <c r="BY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67"/>
    </row>
    <row r="201" spans="2:104" x14ac:dyDescent="0.2">
      <c r="B201" s="59"/>
      <c r="C201" s="59"/>
      <c r="D201" s="59"/>
      <c r="E201" s="109"/>
      <c r="F201" s="40"/>
      <c r="G201" s="54"/>
      <c r="H201" s="41"/>
      <c r="I201" s="143"/>
      <c r="J201" s="143"/>
      <c r="K201" s="141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D201" s="42"/>
      <c r="AE201" s="5"/>
      <c r="AG201" s="43"/>
      <c r="AH201" s="289"/>
      <c r="AI201" s="289"/>
      <c r="AJ201" s="289"/>
      <c r="AK201" s="289"/>
      <c r="AL201" s="289"/>
      <c r="AM201" s="289"/>
      <c r="AN201" s="289"/>
      <c r="AO201" s="289"/>
      <c r="AP201" s="289"/>
      <c r="AQ201" s="289"/>
      <c r="AR201" s="289"/>
      <c r="AS201" s="94"/>
      <c r="AT201" s="94"/>
      <c r="AU201" s="94"/>
      <c r="AV201" s="94"/>
      <c r="AW201" s="94"/>
      <c r="AX201" s="94"/>
      <c r="AY201" s="94"/>
      <c r="AZ201" s="94"/>
      <c r="BA201" s="94"/>
      <c r="BB201" s="94"/>
      <c r="BC201" s="16"/>
      <c r="BD201" s="16"/>
      <c r="BE201" s="16"/>
      <c r="BF201" s="16"/>
      <c r="BG201" s="16"/>
      <c r="BN201" s="5"/>
      <c r="CB201" s="17"/>
      <c r="CI201" s="5"/>
      <c r="CJ201" s="5"/>
      <c r="CK201" s="5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67"/>
      <c r="CZ201" s="17"/>
    </row>
    <row r="202" spans="2:104" x14ac:dyDescent="0.2">
      <c r="B202" s="59"/>
      <c r="C202" s="59"/>
      <c r="D202" s="59"/>
      <c r="E202" s="109"/>
      <c r="F202" s="40"/>
      <c r="G202" s="54"/>
      <c r="H202" s="41"/>
      <c r="I202" s="143"/>
      <c r="J202" s="143"/>
      <c r="K202" s="141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D202" s="42"/>
      <c r="AE202" s="5"/>
      <c r="AG202" s="43"/>
      <c r="AH202" s="290"/>
      <c r="AI202" s="290"/>
      <c r="AJ202" s="290"/>
      <c r="AK202" s="290"/>
      <c r="AL202" s="290"/>
      <c r="AM202" s="290"/>
      <c r="AN202" s="290"/>
      <c r="AO202" s="290"/>
      <c r="AP202" s="290"/>
      <c r="AQ202" s="290"/>
      <c r="AR202" s="290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6"/>
      <c r="BD202" s="16"/>
      <c r="BE202" s="16"/>
      <c r="BF202" s="16"/>
      <c r="BG202" s="16"/>
      <c r="BN202" s="5"/>
      <c r="CB202" s="17"/>
      <c r="CI202" s="5"/>
      <c r="CJ202" s="5"/>
      <c r="CK202" s="5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67"/>
      <c r="CZ202" s="17"/>
    </row>
    <row r="203" spans="2:104" x14ac:dyDescent="0.2">
      <c r="B203" s="59"/>
      <c r="C203" s="59"/>
      <c r="D203" s="59"/>
      <c r="E203" s="109"/>
      <c r="F203" s="40"/>
      <c r="G203" s="103"/>
      <c r="H203" s="41"/>
      <c r="I203" s="143"/>
      <c r="J203" s="143"/>
      <c r="K203" s="141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D203" s="42"/>
      <c r="AE203" s="5"/>
      <c r="AG203" s="95"/>
      <c r="AH203" s="291"/>
      <c r="AS203" s="104"/>
      <c r="AT203" s="104"/>
      <c r="AU203" s="104"/>
      <c r="AV203" s="104"/>
      <c r="AW203" s="104"/>
      <c r="AX203" s="104"/>
      <c r="AY203" s="104"/>
      <c r="AZ203" s="104"/>
      <c r="BA203" s="104"/>
      <c r="BB203" s="104"/>
      <c r="BC203" s="16"/>
      <c r="BD203" s="16"/>
      <c r="BE203" s="16"/>
      <c r="BF203" s="16"/>
      <c r="BG203" s="16"/>
      <c r="BN203" s="5"/>
      <c r="CB203" s="17"/>
      <c r="CI203" s="5"/>
      <c r="CJ203" s="5"/>
      <c r="CK203" s="5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67"/>
      <c r="CZ203" s="17"/>
    </row>
    <row r="204" spans="2:104" x14ac:dyDescent="0.2">
      <c r="B204" s="59"/>
      <c r="C204" s="59"/>
      <c r="D204" s="59"/>
      <c r="E204" s="109"/>
      <c r="F204" s="40"/>
      <c r="G204" s="103"/>
      <c r="H204" s="41"/>
      <c r="K204" s="141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D204" s="42"/>
      <c r="AE204" s="5"/>
      <c r="AG204" s="95"/>
      <c r="AH204" s="292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6"/>
      <c r="BD204" s="16"/>
      <c r="BE204" s="16"/>
      <c r="BF204" s="16"/>
      <c r="BG204" s="16"/>
      <c r="BN204" s="5"/>
      <c r="CB204" s="17"/>
      <c r="CI204" s="5"/>
      <c r="CJ204" s="5"/>
      <c r="CK204" s="5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67"/>
      <c r="CZ204" s="17"/>
    </row>
    <row r="205" spans="2:104" x14ac:dyDescent="0.2">
      <c r="B205" s="59"/>
      <c r="C205" s="59"/>
      <c r="D205" s="59"/>
      <c r="E205" s="109"/>
      <c r="F205" s="40"/>
      <c r="G205" s="103"/>
      <c r="H205" s="41"/>
      <c r="K205" s="141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D205" s="42"/>
      <c r="AE205" s="5"/>
      <c r="AG205" s="95"/>
      <c r="AH205" s="292"/>
      <c r="AN205" s="291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6"/>
      <c r="BD205" s="16"/>
      <c r="BE205" s="16"/>
      <c r="BF205" s="16"/>
      <c r="BG205" s="16"/>
      <c r="BN205" s="5"/>
      <c r="CB205" s="17"/>
      <c r="CI205" s="5"/>
      <c r="CJ205" s="5"/>
      <c r="CK205" s="5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67"/>
      <c r="CZ205" s="17"/>
    </row>
    <row r="206" spans="2:104" x14ac:dyDescent="0.2">
      <c r="B206" s="59"/>
      <c r="C206" s="59"/>
      <c r="D206" s="59"/>
      <c r="E206" s="109"/>
      <c r="F206" s="40"/>
      <c r="G206" s="103"/>
      <c r="H206" s="41"/>
      <c r="I206" s="143"/>
      <c r="J206" s="143"/>
      <c r="K206" s="141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D206" s="42"/>
      <c r="AE206" s="5"/>
      <c r="AG206" s="95"/>
      <c r="AH206" s="292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6"/>
      <c r="BD206" s="16"/>
      <c r="BE206" s="16"/>
      <c r="BF206" s="16"/>
      <c r="BG206" s="16"/>
      <c r="BN206" s="5"/>
      <c r="CB206" s="17"/>
      <c r="CI206" s="5"/>
      <c r="CJ206" s="5"/>
      <c r="CK206" s="5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67"/>
      <c r="CZ206" s="17"/>
    </row>
    <row r="207" spans="2:104" x14ac:dyDescent="0.2">
      <c r="B207" s="59"/>
      <c r="C207" s="59"/>
      <c r="D207" s="59"/>
      <c r="E207" s="109"/>
      <c r="F207" s="40"/>
      <c r="G207" s="54"/>
      <c r="H207" s="41"/>
      <c r="I207" s="143"/>
      <c r="J207" s="143"/>
      <c r="K207" s="141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D207" s="42"/>
      <c r="AE207" s="5"/>
      <c r="AG207" s="95"/>
      <c r="AH207" s="292"/>
      <c r="AS207" s="104"/>
      <c r="AT207" s="104"/>
      <c r="AU207" s="104"/>
      <c r="AV207" s="104"/>
      <c r="AW207" s="104"/>
      <c r="AX207" s="104"/>
      <c r="AY207" s="104"/>
      <c r="AZ207" s="104"/>
      <c r="BA207" s="104"/>
      <c r="BB207" s="104"/>
      <c r="BC207" s="16"/>
      <c r="BD207" s="16"/>
      <c r="BE207" s="16"/>
      <c r="BF207" s="16"/>
      <c r="BG207" s="16"/>
      <c r="BN207" s="5"/>
      <c r="CB207" s="17"/>
      <c r="CI207" s="5"/>
      <c r="CJ207" s="5"/>
      <c r="CK207" s="5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67"/>
      <c r="CZ207" s="17"/>
    </row>
    <row r="208" spans="2:104" x14ac:dyDescent="0.2">
      <c r="B208" s="59"/>
      <c r="C208" s="59"/>
      <c r="D208" s="59"/>
      <c r="E208" s="109"/>
      <c r="F208" s="40"/>
      <c r="G208" s="103"/>
      <c r="H208" s="41"/>
      <c r="I208" s="143"/>
      <c r="J208" s="143"/>
      <c r="K208" s="141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D208" s="42"/>
      <c r="AE208" s="5"/>
      <c r="AG208" s="95"/>
      <c r="AH208" s="292"/>
      <c r="AN208" s="291"/>
      <c r="AS208" s="104"/>
      <c r="AT208" s="104"/>
      <c r="AU208" s="104"/>
      <c r="AV208" s="104"/>
      <c r="AW208" s="104"/>
      <c r="AX208" s="104"/>
      <c r="AY208" s="104"/>
      <c r="AZ208" s="104"/>
      <c r="BA208" s="104"/>
      <c r="BB208" s="104"/>
      <c r="BC208" s="16"/>
      <c r="BD208" s="16"/>
      <c r="BE208" s="16"/>
      <c r="BF208" s="16"/>
      <c r="BG208" s="16"/>
      <c r="BN208" s="5"/>
      <c r="CB208" s="17"/>
      <c r="CI208" s="5"/>
      <c r="CJ208" s="5"/>
      <c r="CK208" s="5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67"/>
      <c r="CZ208" s="17"/>
    </row>
    <row r="209" spans="2:104" x14ac:dyDescent="0.2">
      <c r="B209" s="59"/>
      <c r="C209" s="59"/>
      <c r="D209" s="59"/>
      <c r="E209" s="109"/>
      <c r="F209" s="40"/>
      <c r="G209" s="103"/>
      <c r="H209" s="41"/>
      <c r="I209" s="143"/>
      <c r="J209" s="143"/>
      <c r="K209" s="141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D209" s="42"/>
      <c r="AE209" s="5"/>
      <c r="AG209" s="95"/>
      <c r="AH209" s="292"/>
      <c r="AS209" s="104"/>
      <c r="AT209" s="104"/>
      <c r="AU209" s="104"/>
      <c r="AV209" s="104"/>
      <c r="AW209" s="104"/>
      <c r="AX209" s="104"/>
      <c r="AY209" s="104"/>
      <c r="AZ209" s="104"/>
      <c r="BA209" s="104"/>
      <c r="BB209" s="104"/>
      <c r="BC209" s="16"/>
      <c r="BD209" s="16"/>
      <c r="BE209" s="16"/>
      <c r="BF209" s="16"/>
      <c r="BG209" s="16"/>
      <c r="BN209" s="5"/>
      <c r="CB209" s="17"/>
      <c r="CI209" s="5"/>
      <c r="CJ209" s="5"/>
      <c r="CK209" s="5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67"/>
      <c r="CZ209" s="17"/>
    </row>
    <row r="210" spans="2:104" x14ac:dyDescent="0.2">
      <c r="B210" s="59"/>
      <c r="C210" s="59"/>
      <c r="D210" s="59"/>
      <c r="E210" s="109"/>
      <c r="F210" s="40"/>
      <c r="G210" s="103"/>
      <c r="H210" s="41"/>
      <c r="I210" s="143"/>
      <c r="J210" s="143"/>
      <c r="K210" s="141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D210" s="42"/>
      <c r="AE210" s="5"/>
      <c r="AG210" s="95"/>
      <c r="AH210" s="292"/>
      <c r="AN210" s="291"/>
      <c r="AS210" s="104"/>
      <c r="AT210" s="104"/>
      <c r="AU210" s="104"/>
      <c r="AV210" s="104"/>
      <c r="AW210" s="104"/>
      <c r="AX210" s="104"/>
      <c r="AY210" s="104"/>
      <c r="AZ210" s="104"/>
      <c r="BA210" s="104"/>
      <c r="BB210" s="104"/>
      <c r="BC210" s="16"/>
      <c r="BD210" s="16"/>
      <c r="BE210" s="16"/>
      <c r="BF210" s="16"/>
      <c r="BG210" s="16"/>
      <c r="BN210" s="5"/>
      <c r="CB210" s="17"/>
      <c r="CI210" s="5"/>
      <c r="CJ210" s="5"/>
      <c r="CK210" s="5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67"/>
      <c r="CZ210" s="17"/>
    </row>
    <row r="211" spans="2:104" x14ac:dyDescent="0.2">
      <c r="B211" s="59"/>
      <c r="C211" s="59"/>
      <c r="D211" s="59"/>
      <c r="E211" s="109"/>
      <c r="F211" s="40"/>
      <c r="G211" s="103"/>
      <c r="H211" s="41"/>
      <c r="I211" s="143"/>
      <c r="J211" s="143"/>
      <c r="K211" s="141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D211" s="42"/>
      <c r="AE211" s="5"/>
      <c r="AG211" s="95"/>
      <c r="AH211" s="292"/>
      <c r="AS211" s="104"/>
      <c r="AT211" s="104"/>
      <c r="AU211" s="104"/>
      <c r="AV211" s="104"/>
      <c r="AW211" s="104"/>
      <c r="AX211" s="104"/>
      <c r="AY211" s="104"/>
      <c r="AZ211" s="104"/>
      <c r="BA211" s="104"/>
      <c r="BB211" s="104"/>
      <c r="BC211" s="16"/>
      <c r="BD211" s="16"/>
      <c r="BE211" s="16"/>
      <c r="BF211" s="16"/>
      <c r="BG211" s="16"/>
      <c r="BN211" s="5"/>
      <c r="CB211" s="17"/>
      <c r="CI211" s="5"/>
      <c r="CJ211" s="5"/>
      <c r="CK211" s="5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67"/>
      <c r="CZ211" s="17"/>
    </row>
    <row r="212" spans="2:104" x14ac:dyDescent="0.2">
      <c r="B212" s="59"/>
      <c r="C212" s="59"/>
      <c r="D212" s="59"/>
      <c r="E212" s="109"/>
      <c r="F212" s="40"/>
      <c r="G212" s="54"/>
      <c r="H212" s="41"/>
      <c r="I212" s="143"/>
      <c r="J212" s="143"/>
      <c r="K212" s="141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D212" s="42"/>
      <c r="AE212" s="5"/>
      <c r="AG212" s="95"/>
      <c r="AH212" s="292"/>
      <c r="AS212" s="104"/>
      <c r="AT212" s="104"/>
      <c r="AU212" s="104"/>
      <c r="AV212" s="104"/>
      <c r="AW212" s="104"/>
      <c r="AX212" s="104"/>
      <c r="AY212" s="104"/>
      <c r="AZ212" s="104"/>
      <c r="BA212" s="104"/>
      <c r="BB212" s="104"/>
      <c r="BC212" s="16"/>
      <c r="BD212" s="16"/>
      <c r="BE212" s="16"/>
      <c r="BF212" s="16"/>
      <c r="BG212" s="16"/>
      <c r="BN212" s="5"/>
      <c r="CB212" s="17"/>
      <c r="CI212" s="5"/>
      <c r="CJ212" s="5"/>
      <c r="CK212" s="5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67"/>
      <c r="CZ212" s="17"/>
    </row>
    <row r="213" spans="2:104" x14ac:dyDescent="0.2">
      <c r="B213" s="59"/>
      <c r="C213" s="59"/>
      <c r="D213" s="59"/>
      <c r="E213" s="109"/>
      <c r="F213" s="40"/>
      <c r="H213" s="41"/>
      <c r="I213" s="147"/>
      <c r="J213" s="147"/>
      <c r="K213" s="141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D213" s="42"/>
      <c r="AE213" s="5"/>
      <c r="AG213" s="95"/>
      <c r="AH213" s="292"/>
      <c r="AS213" s="63"/>
      <c r="AT213" s="104"/>
      <c r="AU213" s="104"/>
      <c r="AV213" s="104"/>
      <c r="AW213" s="104"/>
      <c r="AX213" s="104"/>
      <c r="AY213" s="104"/>
      <c r="AZ213" s="104"/>
      <c r="BA213" s="104"/>
      <c r="BB213" s="104"/>
      <c r="BC213" s="16"/>
      <c r="BD213" s="16"/>
      <c r="BE213" s="16"/>
      <c r="BF213" s="16"/>
      <c r="BG213" s="16"/>
      <c r="BN213" s="5"/>
      <c r="CB213" s="17"/>
      <c r="CI213" s="5"/>
      <c r="CJ213" s="5"/>
      <c r="CK213" s="5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67"/>
      <c r="CZ213" s="17"/>
    </row>
    <row r="214" spans="2:104" x14ac:dyDescent="0.2">
      <c r="B214" s="59"/>
      <c r="C214" s="59"/>
      <c r="D214" s="59"/>
      <c r="E214" s="109"/>
      <c r="F214" s="40"/>
      <c r="G214" s="103"/>
      <c r="H214" s="41"/>
      <c r="I214" s="143"/>
      <c r="J214" s="143"/>
      <c r="K214" s="141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D214" s="42"/>
      <c r="AE214" s="5"/>
      <c r="AG214" s="95"/>
      <c r="AH214" s="292"/>
      <c r="AS214" s="104"/>
      <c r="AT214" s="104"/>
      <c r="AU214" s="104"/>
      <c r="AV214" s="104"/>
      <c r="AW214" s="104"/>
      <c r="AX214" s="104"/>
      <c r="AY214" s="104"/>
      <c r="AZ214" s="104"/>
      <c r="BA214" s="104"/>
      <c r="BB214" s="104"/>
      <c r="BC214" s="16"/>
      <c r="BD214" s="16"/>
      <c r="BE214" s="16"/>
      <c r="BF214" s="16"/>
      <c r="BG214" s="16"/>
      <c r="BN214" s="5"/>
      <c r="CB214" s="17"/>
      <c r="CI214" s="5"/>
      <c r="CJ214" s="5"/>
      <c r="CK214" s="5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67"/>
      <c r="CZ214" s="17"/>
    </row>
    <row r="215" spans="2:104" x14ac:dyDescent="0.2">
      <c r="B215" s="59"/>
      <c r="C215" s="59"/>
      <c r="D215" s="59"/>
      <c r="E215" s="109"/>
      <c r="F215" s="40"/>
      <c r="G215" s="103"/>
      <c r="H215" s="41"/>
      <c r="I215" s="143"/>
      <c r="J215" s="143"/>
      <c r="K215" s="141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D215" s="42"/>
      <c r="AE215" s="5"/>
      <c r="AG215" s="95"/>
      <c r="AH215" s="291"/>
      <c r="AS215" s="104"/>
      <c r="AT215" s="104"/>
      <c r="AU215" s="104"/>
      <c r="AV215" s="104"/>
      <c r="AW215" s="104"/>
      <c r="AX215" s="104"/>
      <c r="AY215" s="104"/>
      <c r="AZ215" s="104"/>
      <c r="BA215" s="104"/>
      <c r="BB215" s="104"/>
      <c r="BC215" s="16"/>
      <c r="BD215" s="16"/>
      <c r="BE215" s="16"/>
      <c r="BF215" s="16"/>
      <c r="BG215" s="16"/>
      <c r="BN215" s="5"/>
      <c r="CB215" s="17"/>
      <c r="CI215" s="5"/>
      <c r="CJ215" s="5"/>
      <c r="CK215" s="5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67"/>
      <c r="CZ215" s="17"/>
    </row>
    <row r="216" spans="2:104" x14ac:dyDescent="0.2">
      <c r="B216" s="59"/>
      <c r="C216" s="59"/>
      <c r="D216" s="59"/>
      <c r="E216" s="109"/>
      <c r="F216" s="40"/>
      <c r="G216" s="103"/>
      <c r="H216" s="41"/>
      <c r="I216" s="143"/>
      <c r="J216" s="143"/>
      <c r="K216" s="141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D216" s="42"/>
      <c r="AE216" s="5"/>
      <c r="AG216" s="95"/>
      <c r="AH216" s="292"/>
      <c r="AS216" s="104"/>
      <c r="AT216" s="104"/>
      <c r="AU216" s="104"/>
      <c r="AV216" s="104"/>
      <c r="AW216" s="104"/>
      <c r="AX216" s="104"/>
      <c r="AY216" s="104"/>
      <c r="AZ216" s="104"/>
      <c r="BA216" s="104"/>
      <c r="BB216" s="104"/>
      <c r="BC216" s="16"/>
      <c r="BD216" s="16"/>
      <c r="BE216" s="16"/>
      <c r="BF216" s="16"/>
      <c r="BG216" s="16"/>
      <c r="BN216" s="5"/>
      <c r="CB216" s="17"/>
      <c r="CI216" s="5"/>
      <c r="CJ216" s="5"/>
      <c r="CK216" s="5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67"/>
      <c r="CZ216" s="17"/>
    </row>
    <row r="217" spans="2:104" x14ac:dyDescent="0.2">
      <c r="B217" s="59"/>
      <c r="C217" s="59"/>
      <c r="D217" s="59"/>
      <c r="E217" s="109"/>
      <c r="F217" s="40"/>
      <c r="G217" s="103"/>
      <c r="H217" s="41"/>
      <c r="I217" s="143"/>
      <c r="J217" s="143"/>
      <c r="K217" s="141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D217" s="42"/>
      <c r="AE217" s="5"/>
      <c r="AG217" s="95"/>
      <c r="AH217" s="292"/>
      <c r="AN217" s="291"/>
      <c r="AQ217" s="291"/>
      <c r="AS217" s="63"/>
      <c r="AT217" s="63"/>
      <c r="AU217" s="63"/>
      <c r="AV217" s="104"/>
      <c r="AW217" s="104"/>
      <c r="AX217" s="104"/>
      <c r="AY217" s="104"/>
      <c r="AZ217" s="104"/>
      <c r="BA217" s="104"/>
      <c r="BB217" s="104"/>
      <c r="BC217" s="16"/>
      <c r="BD217" s="16"/>
      <c r="BE217" s="16"/>
      <c r="BF217" s="16"/>
      <c r="BG217" s="16"/>
      <c r="BN217" s="5"/>
      <c r="CB217" s="17"/>
      <c r="CI217" s="5"/>
      <c r="CJ217" s="5"/>
      <c r="CK217" s="5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67"/>
      <c r="CZ217" s="17"/>
    </row>
    <row r="218" spans="2:104" x14ac:dyDescent="0.2">
      <c r="B218" s="59"/>
      <c r="C218" s="59"/>
      <c r="D218" s="59"/>
      <c r="E218" s="109"/>
      <c r="F218" s="40"/>
      <c r="G218" s="103"/>
      <c r="H218" s="41"/>
      <c r="I218" s="143"/>
      <c r="J218" s="143"/>
      <c r="K218" s="141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D218" s="42"/>
      <c r="AE218" s="5"/>
      <c r="AG218" s="43"/>
      <c r="AH218" s="287"/>
      <c r="AI218" s="284"/>
      <c r="AJ218" s="284"/>
      <c r="AL218" s="288"/>
      <c r="AM218" s="288"/>
      <c r="AP218" s="284"/>
      <c r="AR218" s="284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N218" s="5"/>
      <c r="BY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67"/>
    </row>
    <row r="219" spans="2:104" x14ac:dyDescent="0.2">
      <c r="B219" s="59"/>
      <c r="C219" s="59"/>
      <c r="D219" s="59"/>
      <c r="E219" s="109"/>
      <c r="F219" s="40"/>
      <c r="G219" s="54"/>
      <c r="H219" s="41"/>
      <c r="I219" s="143"/>
      <c r="J219" s="143"/>
      <c r="K219" s="141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D219" s="42"/>
      <c r="AE219" s="5"/>
      <c r="AG219" s="43"/>
      <c r="AH219" s="287"/>
      <c r="AI219" s="284"/>
      <c r="AJ219" s="284"/>
      <c r="AL219" s="288"/>
      <c r="AM219" s="288"/>
      <c r="AP219" s="284"/>
      <c r="AR219" s="284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N219" s="5"/>
      <c r="BY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67"/>
    </row>
    <row r="220" spans="2:104" x14ac:dyDescent="0.2">
      <c r="B220" s="59"/>
      <c r="C220" s="59"/>
      <c r="D220" s="59"/>
      <c r="E220" s="109"/>
      <c r="F220" s="40"/>
      <c r="G220" s="103"/>
      <c r="H220" s="41"/>
      <c r="I220" s="143"/>
      <c r="J220" s="143"/>
      <c r="K220" s="141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D220" s="42"/>
      <c r="AE220" s="5"/>
      <c r="AG220" s="43"/>
      <c r="AH220" s="287"/>
      <c r="AI220" s="284"/>
      <c r="AJ220" s="284"/>
      <c r="AL220" s="288"/>
      <c r="AM220" s="288"/>
      <c r="AP220" s="284"/>
      <c r="AR220" s="284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N220" s="5"/>
      <c r="BY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67"/>
    </row>
    <row r="221" spans="2:104" x14ac:dyDescent="0.2">
      <c r="B221" s="59"/>
      <c r="C221" s="59"/>
      <c r="D221" s="59"/>
      <c r="E221" s="109"/>
      <c r="F221" s="40"/>
      <c r="G221" s="103"/>
      <c r="H221" s="41"/>
      <c r="I221" s="143"/>
      <c r="J221" s="143"/>
      <c r="K221" s="141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D221" s="42"/>
      <c r="AE221" s="5"/>
      <c r="AG221" s="43"/>
      <c r="AH221" s="287"/>
      <c r="AI221" s="284"/>
      <c r="AJ221" s="284"/>
      <c r="AL221" s="288"/>
      <c r="AM221" s="288"/>
      <c r="AP221" s="284"/>
      <c r="AR221" s="284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N221" s="5"/>
      <c r="BY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67"/>
    </row>
    <row r="222" spans="2:104" x14ac:dyDescent="0.2">
      <c r="F222" s="40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67"/>
    </row>
    <row r="223" spans="2:104" x14ac:dyDescent="0.2">
      <c r="F223" s="40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67"/>
    </row>
    <row r="224" spans="2:104" x14ac:dyDescent="0.2">
      <c r="F224" s="40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67"/>
    </row>
    <row r="225" spans="6:103" x14ac:dyDescent="0.2">
      <c r="F225" s="40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67"/>
    </row>
    <row r="226" spans="6:103" x14ac:dyDescent="0.2">
      <c r="F226" s="40"/>
      <c r="BI226" s="86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67"/>
    </row>
    <row r="227" spans="6:103" x14ac:dyDescent="0.2">
      <c r="F227" s="40"/>
      <c r="BI227" s="86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67"/>
    </row>
    <row r="228" spans="6:103" x14ac:dyDescent="0.2">
      <c r="F228" s="40"/>
      <c r="BI228" s="86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67"/>
    </row>
    <row r="229" spans="6:103" x14ac:dyDescent="0.2">
      <c r="F229" s="40"/>
      <c r="BI229" s="86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67"/>
    </row>
    <row r="230" spans="6:103" x14ac:dyDescent="0.2">
      <c r="F230" s="40"/>
      <c r="BI230" s="86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67"/>
    </row>
    <row r="231" spans="6:103" x14ac:dyDescent="0.2">
      <c r="F231" s="40"/>
      <c r="BI231" s="86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67"/>
    </row>
    <row r="232" spans="6:103" x14ac:dyDescent="0.2">
      <c r="F232" s="40"/>
      <c r="BI232" s="86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67"/>
    </row>
    <row r="233" spans="6:103" x14ac:dyDescent="0.2">
      <c r="F233" s="40"/>
      <c r="BI233" s="86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67"/>
    </row>
    <row r="234" spans="6:103" x14ac:dyDescent="0.2">
      <c r="F234" s="40"/>
      <c r="BI234" s="86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67"/>
    </row>
    <row r="235" spans="6:103" x14ac:dyDescent="0.2">
      <c r="F235" s="40"/>
      <c r="BI235" s="86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67"/>
    </row>
    <row r="236" spans="6:103" x14ac:dyDescent="0.2">
      <c r="F236" s="40"/>
      <c r="BI236" s="86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67"/>
    </row>
    <row r="237" spans="6:103" x14ac:dyDescent="0.2">
      <c r="F237" s="40"/>
      <c r="BI237" s="86"/>
    </row>
    <row r="238" spans="6:103" x14ac:dyDescent="0.2">
      <c r="F238" s="40"/>
      <c r="BI238" s="86"/>
    </row>
    <row r="239" spans="6:103" x14ac:dyDescent="0.2">
      <c r="F239" s="40"/>
    </row>
    <row r="240" spans="6:103" x14ac:dyDescent="0.2">
      <c r="F240" s="40"/>
    </row>
    <row r="241" spans="6:6" x14ac:dyDescent="0.2">
      <c r="F241" s="40"/>
    </row>
    <row r="242" spans="6:6" x14ac:dyDescent="0.2">
      <c r="F242" s="40"/>
    </row>
    <row r="243" spans="6:6" x14ac:dyDescent="0.2">
      <c r="F243" s="40"/>
    </row>
    <row r="244" spans="6:6" x14ac:dyDescent="0.2">
      <c r="F244" s="40"/>
    </row>
    <row r="245" spans="6:6" x14ac:dyDescent="0.2">
      <c r="F245" s="40"/>
    </row>
    <row r="246" spans="6:6" x14ac:dyDescent="0.2">
      <c r="F246" s="40"/>
    </row>
    <row r="247" spans="6:6" x14ac:dyDescent="0.2">
      <c r="F247" s="40"/>
    </row>
    <row r="248" spans="6:6" x14ac:dyDescent="0.2">
      <c r="F248" s="40"/>
    </row>
    <row r="249" spans="6:6" x14ac:dyDescent="0.2">
      <c r="F249" s="40"/>
    </row>
    <row r="250" spans="6:6" x14ac:dyDescent="0.2">
      <c r="F250" s="40"/>
    </row>
    <row r="251" spans="6:6" x14ac:dyDescent="0.2">
      <c r="F251" s="40"/>
    </row>
    <row r="252" spans="6:6" x14ac:dyDescent="0.2">
      <c r="F252" s="40"/>
    </row>
    <row r="253" spans="6:6" x14ac:dyDescent="0.2">
      <c r="F253" s="40"/>
    </row>
    <row r="254" spans="6:6" x14ac:dyDescent="0.2">
      <c r="F254" s="40"/>
    </row>
    <row r="255" spans="6:6" x14ac:dyDescent="0.2">
      <c r="F255" s="40"/>
    </row>
    <row r="256" spans="6:6" x14ac:dyDescent="0.2">
      <c r="F256" s="40"/>
    </row>
    <row r="257" spans="6:6" x14ac:dyDescent="0.2">
      <c r="F257" s="40"/>
    </row>
    <row r="258" spans="6:6" x14ac:dyDescent="0.2">
      <c r="F258" s="40"/>
    </row>
    <row r="259" spans="6:6" x14ac:dyDescent="0.2">
      <c r="F259" s="40"/>
    </row>
    <row r="260" spans="6:6" x14ac:dyDescent="0.2">
      <c r="F260" s="40"/>
    </row>
    <row r="261" spans="6:6" x14ac:dyDescent="0.2">
      <c r="F261" s="40"/>
    </row>
    <row r="262" spans="6:6" x14ac:dyDescent="0.2">
      <c r="F262" s="40"/>
    </row>
    <row r="263" spans="6:6" x14ac:dyDescent="0.2">
      <c r="F263" s="40"/>
    </row>
    <row r="264" spans="6:6" x14ac:dyDescent="0.2">
      <c r="F264" s="40"/>
    </row>
    <row r="265" spans="6:6" x14ac:dyDescent="0.2">
      <c r="F265" s="40"/>
    </row>
    <row r="266" spans="6:6" x14ac:dyDescent="0.2">
      <c r="F266" s="40"/>
    </row>
    <row r="267" spans="6:6" x14ac:dyDescent="0.2">
      <c r="F267" s="40"/>
    </row>
    <row r="268" spans="6:6" x14ac:dyDescent="0.2">
      <c r="F268" s="40"/>
    </row>
    <row r="269" spans="6:6" x14ac:dyDescent="0.2">
      <c r="F269" s="40"/>
    </row>
    <row r="270" spans="6:6" x14ac:dyDescent="0.2">
      <c r="F270" s="40"/>
    </row>
    <row r="271" spans="6:6" x14ac:dyDescent="0.2">
      <c r="F271" s="40"/>
    </row>
    <row r="272" spans="6:6" x14ac:dyDescent="0.2">
      <c r="F272" s="40"/>
    </row>
    <row r="273" spans="6:6" x14ac:dyDescent="0.2">
      <c r="F273" s="40"/>
    </row>
    <row r="274" spans="6:6" x14ac:dyDescent="0.2">
      <c r="F274" s="40"/>
    </row>
    <row r="275" spans="6:6" x14ac:dyDescent="0.2">
      <c r="F275" s="40"/>
    </row>
    <row r="276" spans="6:6" x14ac:dyDescent="0.2">
      <c r="F276" s="40"/>
    </row>
    <row r="277" spans="6:6" x14ac:dyDescent="0.2">
      <c r="F277" s="40"/>
    </row>
    <row r="278" spans="6:6" x14ac:dyDescent="0.2">
      <c r="F278" s="40"/>
    </row>
    <row r="279" spans="6:6" x14ac:dyDescent="0.2">
      <c r="F279" s="40"/>
    </row>
    <row r="280" spans="6:6" x14ac:dyDescent="0.2">
      <c r="F280" s="40"/>
    </row>
    <row r="281" spans="6:6" x14ac:dyDescent="0.2">
      <c r="F281" s="40"/>
    </row>
    <row r="282" spans="6:6" x14ac:dyDescent="0.2">
      <c r="F282" s="40"/>
    </row>
    <row r="283" spans="6:6" x14ac:dyDescent="0.2">
      <c r="F283" s="40"/>
    </row>
    <row r="284" spans="6:6" x14ac:dyDescent="0.2">
      <c r="F284" s="40"/>
    </row>
    <row r="285" spans="6:6" x14ac:dyDescent="0.2">
      <c r="F285" s="40"/>
    </row>
    <row r="286" spans="6:6" x14ac:dyDescent="0.2">
      <c r="F286" s="40"/>
    </row>
    <row r="287" spans="6:6" x14ac:dyDescent="0.2">
      <c r="F287" s="40"/>
    </row>
    <row r="288" spans="6:6" x14ac:dyDescent="0.2">
      <c r="F288" s="40"/>
    </row>
    <row r="289" spans="6:6" x14ac:dyDescent="0.2">
      <c r="F289" s="40"/>
    </row>
    <row r="290" spans="6:6" x14ac:dyDescent="0.2">
      <c r="F290" s="40"/>
    </row>
    <row r="291" spans="6:6" x14ac:dyDescent="0.2">
      <c r="F291" s="40"/>
    </row>
    <row r="292" spans="6:6" x14ac:dyDescent="0.2">
      <c r="F292" s="40"/>
    </row>
    <row r="293" spans="6:6" x14ac:dyDescent="0.2">
      <c r="F293" s="40"/>
    </row>
    <row r="294" spans="6:6" x14ac:dyDescent="0.2">
      <c r="F294" s="40"/>
    </row>
    <row r="295" spans="6:6" x14ac:dyDescent="0.2">
      <c r="F295" s="40"/>
    </row>
    <row r="296" spans="6:6" x14ac:dyDescent="0.2">
      <c r="F296" s="40"/>
    </row>
    <row r="297" spans="6:6" x14ac:dyDescent="0.2">
      <c r="F297" s="40"/>
    </row>
    <row r="298" spans="6:6" x14ac:dyDescent="0.2">
      <c r="F298" s="40"/>
    </row>
    <row r="299" spans="6:6" x14ac:dyDescent="0.2">
      <c r="F299" s="40"/>
    </row>
    <row r="300" spans="6:6" x14ac:dyDescent="0.2">
      <c r="F300" s="40"/>
    </row>
    <row r="301" spans="6:6" x14ac:dyDescent="0.2">
      <c r="F301" s="40"/>
    </row>
    <row r="302" spans="6:6" x14ac:dyDescent="0.2">
      <c r="F302" s="40"/>
    </row>
    <row r="303" spans="6:6" x14ac:dyDescent="0.2">
      <c r="F303" s="40"/>
    </row>
    <row r="304" spans="6:6" x14ac:dyDescent="0.2">
      <c r="F304" s="40"/>
    </row>
    <row r="305" spans="6:6" x14ac:dyDescent="0.2">
      <c r="F305" s="40"/>
    </row>
    <row r="306" spans="6:6" x14ac:dyDescent="0.2">
      <c r="F306" s="40"/>
    </row>
    <row r="307" spans="6:6" x14ac:dyDescent="0.2">
      <c r="F307" s="40"/>
    </row>
    <row r="308" spans="6:6" x14ac:dyDescent="0.2">
      <c r="F308" s="40"/>
    </row>
    <row r="309" spans="6:6" x14ac:dyDescent="0.2">
      <c r="F309" s="40"/>
    </row>
  </sheetData>
  <conditionalFormatting sqref="A193:XFD1048576 CZ164:XFD192 DL26:XFD44 DC45:XFD76 DC1:XFD25">
    <cfRule type="containsText" dxfId="8" priority="3" operator="containsText" text="&lt;">
      <formula>NOT(ISERROR(SEARCH("&lt;",A1)))</formula>
    </cfRule>
  </conditionalFormatting>
  <conditionalFormatting sqref="AR22:AR25 AI5 AL23:AM23 AL24:AL25 AL22 AL5 AT22:AW24 AV25:AW25 AI22:AI25 AK22:AK25 AX22:BB25 AJ23:AJ24">
    <cfRule type="beginsWith" dxfId="7" priority="1" operator="beginsWith" text="&lt;">
      <formula>LEFT(AI5,LEN("&lt;"))="&lt;"</formula>
    </cfRule>
    <cfRule type="cellIs" dxfId="6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B61F-5A08-4AF8-988B-AF1140B61740}">
  <dimension ref="A1:DH309"/>
  <sheetViews>
    <sheetView topLeftCell="A10" workbookViewId="0">
      <selection activeCell="B30" sqref="B30"/>
    </sheetView>
  </sheetViews>
  <sheetFormatPr defaultColWidth="9" defaultRowHeight="14.25" x14ac:dyDescent="0.2"/>
  <cols>
    <col min="1" max="1" width="21.375" style="14" bestFit="1" customWidth="1"/>
    <col min="2" max="2" width="23.875" style="14" customWidth="1"/>
    <col min="3" max="3" width="7.75" style="14" bestFit="1" customWidth="1"/>
    <col min="4" max="4" width="10.875" style="14" customWidth="1"/>
    <col min="5" max="5" width="10.125" style="15" customWidth="1"/>
    <col min="6" max="6" width="11" style="15" customWidth="1"/>
    <col min="7" max="7" width="20.625" style="16" bestFit="1" customWidth="1"/>
    <col min="8" max="8" width="5.5" style="16" bestFit="1" customWidth="1"/>
    <col min="9" max="9" width="11.25" style="135" bestFit="1" customWidth="1"/>
    <col min="10" max="10" width="11.25" style="135" customWidth="1"/>
    <col min="11" max="11" width="15" style="136" bestFit="1" customWidth="1"/>
    <col min="12" max="12" width="12.5" style="5" bestFit="1" customWidth="1"/>
    <col min="13" max="13" width="15.125" style="5" bestFit="1" customWidth="1"/>
    <col min="14" max="14" width="8.25" style="5" bestFit="1" customWidth="1"/>
    <col min="15" max="15" width="9.25" style="5" bestFit="1" customWidth="1"/>
    <col min="16" max="19" width="9.375" style="5" bestFit="1" customWidth="1"/>
    <col min="20" max="20" width="14" style="5" bestFit="1" customWidth="1"/>
    <col min="21" max="21" width="19.375" style="17" customWidth="1"/>
    <col min="22" max="22" width="19.5" style="5" bestFit="1" customWidth="1"/>
    <col min="23" max="29" width="9.25" style="5" bestFit="1" customWidth="1"/>
    <col min="30" max="30" width="21.25" style="5" bestFit="1" customWidth="1"/>
    <col min="31" max="31" width="21" style="17" customWidth="1"/>
    <col min="32" max="32" width="21" style="5" customWidth="1"/>
    <col min="33" max="33" width="18.375" style="18" bestFit="1" customWidth="1"/>
    <col min="34" max="34" width="9.375" style="18" bestFit="1" customWidth="1"/>
    <col min="35" max="44" width="9.25" style="5" bestFit="1" customWidth="1"/>
    <col min="45" max="48" width="9.25" style="5" customWidth="1"/>
    <col min="49" max="49" width="18.875" style="5" bestFit="1" customWidth="1"/>
    <col min="50" max="54" width="18.875" style="5" customWidth="1"/>
    <col min="55" max="65" width="9.25" style="5" bestFit="1" customWidth="1"/>
    <col min="66" max="66" width="9" style="17"/>
    <col min="67" max="86" width="9" style="5"/>
    <col min="87" max="102" width="9" style="16"/>
    <col min="103" max="103" width="22.875" style="110" bestFit="1" customWidth="1"/>
    <col min="104" max="16384" width="9" style="14"/>
  </cols>
  <sheetData>
    <row r="1" spans="1:103" ht="57.75" thickBot="1" x14ac:dyDescent="0.25">
      <c r="A1" s="234" t="s">
        <v>111</v>
      </c>
      <c r="B1" s="235" t="s">
        <v>0</v>
      </c>
      <c r="C1" s="235" t="s">
        <v>17</v>
      </c>
      <c r="D1" s="236" t="s">
        <v>110</v>
      </c>
      <c r="E1" s="237" t="s">
        <v>2</v>
      </c>
      <c r="F1" s="237" t="s">
        <v>2</v>
      </c>
      <c r="G1" s="238" t="s">
        <v>1</v>
      </c>
      <c r="H1" s="238" t="s">
        <v>18</v>
      </c>
      <c r="I1" s="239" t="s">
        <v>288</v>
      </c>
      <c r="J1" s="239" t="s">
        <v>113</v>
      </c>
      <c r="K1" s="240" t="s">
        <v>286</v>
      </c>
      <c r="L1" s="241" t="s">
        <v>287</v>
      </c>
      <c r="M1" s="241" t="s">
        <v>278</v>
      </c>
      <c r="N1" s="241" t="s">
        <v>279</v>
      </c>
      <c r="O1" s="241" t="s">
        <v>280</v>
      </c>
      <c r="P1" s="241" t="s">
        <v>281</v>
      </c>
      <c r="Q1" s="241" t="s">
        <v>282</v>
      </c>
      <c r="R1" s="241" t="s">
        <v>283</v>
      </c>
      <c r="S1" s="241" t="s">
        <v>284</v>
      </c>
      <c r="T1" s="241" t="s">
        <v>285</v>
      </c>
      <c r="U1" s="242" t="s">
        <v>289</v>
      </c>
      <c r="V1" s="241" t="s">
        <v>290</v>
      </c>
      <c r="W1" s="241" t="s">
        <v>291</v>
      </c>
      <c r="X1" s="241" t="s">
        <v>292</v>
      </c>
      <c r="Y1" s="241" t="s">
        <v>293</v>
      </c>
      <c r="Z1" s="241" t="s">
        <v>294</v>
      </c>
      <c r="AA1" s="241" t="s">
        <v>295</v>
      </c>
      <c r="AB1" s="241" t="s">
        <v>296</v>
      </c>
      <c r="AC1" s="241" t="s">
        <v>297</v>
      </c>
      <c r="AD1" s="241" t="s">
        <v>298</v>
      </c>
      <c r="AE1" s="242" t="s">
        <v>299</v>
      </c>
      <c r="AF1" s="241" t="s">
        <v>300</v>
      </c>
      <c r="AG1" s="243" t="s">
        <v>301</v>
      </c>
      <c r="AH1" s="243" t="s">
        <v>302</v>
      </c>
      <c r="AI1" s="241" t="s">
        <v>303</v>
      </c>
      <c r="AJ1" s="241" t="s">
        <v>304</v>
      </c>
      <c r="AK1" s="241" t="s">
        <v>305</v>
      </c>
      <c r="AL1" s="241" t="s">
        <v>306</v>
      </c>
      <c r="AM1" s="241" t="s">
        <v>307</v>
      </c>
      <c r="AN1" s="241" t="s">
        <v>308</v>
      </c>
      <c r="AO1" s="241" t="s">
        <v>309</v>
      </c>
      <c r="AP1" s="241" t="s">
        <v>310</v>
      </c>
      <c r="AQ1" s="241" t="s">
        <v>311</v>
      </c>
      <c r="AR1" s="241" t="s">
        <v>312</v>
      </c>
      <c r="AS1" s="241" t="s">
        <v>313</v>
      </c>
      <c r="AT1" s="241" t="s">
        <v>314</v>
      </c>
      <c r="AU1" s="241" t="s">
        <v>315</v>
      </c>
      <c r="AV1" s="241" t="s">
        <v>316</v>
      </c>
      <c r="AW1" s="241" t="s">
        <v>317</v>
      </c>
      <c r="AX1" s="244" t="s">
        <v>318</v>
      </c>
      <c r="AY1" s="244" t="s">
        <v>319</v>
      </c>
      <c r="AZ1" s="244" t="s">
        <v>320</v>
      </c>
      <c r="BA1" s="244" t="s">
        <v>321</v>
      </c>
      <c r="BB1" s="244" t="s">
        <v>322</v>
      </c>
      <c r="BC1" s="241" t="s">
        <v>323</v>
      </c>
      <c r="BD1" s="241" t="s">
        <v>324</v>
      </c>
      <c r="BE1" s="241" t="s">
        <v>325</v>
      </c>
      <c r="BF1" s="241" t="s">
        <v>326</v>
      </c>
      <c r="BG1" s="241" t="s">
        <v>327</v>
      </c>
      <c r="BH1" s="241" t="s">
        <v>328</v>
      </c>
      <c r="BI1" s="241" t="s">
        <v>329</v>
      </c>
      <c r="BJ1" s="241" t="s">
        <v>330</v>
      </c>
      <c r="BK1" s="241" t="s">
        <v>331</v>
      </c>
      <c r="BL1" s="241" t="s">
        <v>332</v>
      </c>
      <c r="BM1" s="241" t="s">
        <v>333</v>
      </c>
      <c r="BN1" s="242" t="s">
        <v>334</v>
      </c>
      <c r="BO1" s="241" t="s">
        <v>335</v>
      </c>
      <c r="BP1" s="241" t="s">
        <v>336</v>
      </c>
      <c r="BQ1" s="241" t="s">
        <v>337</v>
      </c>
      <c r="BR1" s="241" t="s">
        <v>338</v>
      </c>
      <c r="BS1" s="241" t="s">
        <v>339</v>
      </c>
      <c r="BT1" s="241" t="s">
        <v>340</v>
      </c>
      <c r="BU1" s="241" t="s">
        <v>341</v>
      </c>
      <c r="BV1" s="241" t="s">
        <v>342</v>
      </c>
      <c r="BW1" s="241" t="s">
        <v>343</v>
      </c>
      <c r="BX1" s="241" t="s">
        <v>344</v>
      </c>
      <c r="BY1" s="241" t="s">
        <v>345</v>
      </c>
      <c r="BZ1" s="241" t="s">
        <v>346</v>
      </c>
      <c r="CA1" s="241" t="s">
        <v>347</v>
      </c>
      <c r="CB1" s="241" t="s">
        <v>348</v>
      </c>
      <c r="CC1" s="241" t="s">
        <v>349</v>
      </c>
      <c r="CD1" s="241" t="s">
        <v>350</v>
      </c>
      <c r="CE1" s="241" t="s">
        <v>351</v>
      </c>
      <c r="CF1" s="241" t="s">
        <v>352</v>
      </c>
      <c r="CG1" s="241" t="s">
        <v>353</v>
      </c>
      <c r="CH1" s="241" t="s">
        <v>354</v>
      </c>
      <c r="CI1" s="245" t="s">
        <v>355</v>
      </c>
      <c r="CJ1" s="245" t="s">
        <v>356</v>
      </c>
      <c r="CK1" s="245" t="s">
        <v>357</v>
      </c>
      <c r="CL1" s="245" t="s">
        <v>358</v>
      </c>
      <c r="CM1" s="245" t="s">
        <v>359</v>
      </c>
      <c r="CN1" s="245" t="s">
        <v>360</v>
      </c>
      <c r="CO1" s="245" t="s">
        <v>361</v>
      </c>
      <c r="CP1" s="245" t="s">
        <v>362</v>
      </c>
      <c r="CQ1" s="238" t="s">
        <v>363</v>
      </c>
      <c r="CR1" s="238" t="s">
        <v>364</v>
      </c>
      <c r="CS1" s="238" t="s">
        <v>365</v>
      </c>
      <c r="CT1" s="238" t="s">
        <v>366</v>
      </c>
      <c r="CU1" s="238" t="s">
        <v>367</v>
      </c>
      <c r="CV1" s="238" t="s">
        <v>368</v>
      </c>
      <c r="CW1" s="238" t="s">
        <v>369</v>
      </c>
      <c r="CX1" s="238" t="s">
        <v>370</v>
      </c>
      <c r="CY1" s="246" t="s">
        <v>371</v>
      </c>
    </row>
    <row r="2" spans="1:103" x14ac:dyDescent="0.2">
      <c r="A2" s="185" t="s">
        <v>5</v>
      </c>
      <c r="B2" s="185" t="s">
        <v>5</v>
      </c>
      <c r="C2" s="186" t="s">
        <v>20</v>
      </c>
      <c r="D2" s="185"/>
      <c r="E2" s="187"/>
      <c r="F2" s="187"/>
      <c r="G2" s="188">
        <v>45169</v>
      </c>
      <c r="H2" s="189">
        <v>2023</v>
      </c>
      <c r="I2" s="190" t="s">
        <v>33</v>
      </c>
      <c r="J2" s="190">
        <v>10</v>
      </c>
      <c r="K2" s="191">
        <v>0.61740890688266237</v>
      </c>
      <c r="L2" s="191"/>
      <c r="M2" s="192">
        <v>4.8127812690046623</v>
      </c>
      <c r="N2" s="192">
        <v>7.8949777011960274</v>
      </c>
      <c r="O2" s="193">
        <v>14.68236874113116</v>
      </c>
      <c r="P2" s="193">
        <v>10.639083721873099</v>
      </c>
      <c r="Q2" s="193">
        <v>15.289762821812285</v>
      </c>
      <c r="R2" s="193">
        <v>15.198155280762213</v>
      </c>
      <c r="S2" s="192">
        <v>2.9353334684776002</v>
      </c>
      <c r="T2" s="193">
        <v>71.452463004257041</v>
      </c>
      <c r="U2" s="17">
        <f t="shared" ref="U2:U43" si="0">SUM(M2,N2,O2,Q2,R2,S2)*(5/K2)</f>
        <v>492.48867812285573</v>
      </c>
      <c r="V2" s="194" t="s">
        <v>210</v>
      </c>
      <c r="W2" s="195">
        <v>0.16121610489074714</v>
      </c>
      <c r="X2" s="195">
        <v>8.4990663233436833E-2</v>
      </c>
      <c r="Y2" s="195">
        <v>0.10614650769578192</v>
      </c>
      <c r="Z2" s="194">
        <v>1.9088322603970226E-2</v>
      </c>
      <c r="AA2" s="183">
        <v>2.4511806073074877E-2</v>
      </c>
      <c r="AB2" s="194">
        <v>3.0588227273083857E-2</v>
      </c>
      <c r="AC2" s="194" t="s">
        <v>211</v>
      </c>
      <c r="AD2" s="195">
        <v>0.42654163177009485</v>
      </c>
      <c r="AE2" s="152">
        <f t="shared" ref="AE2:AE44" si="1">SUM(V2,W2,Y2,X2,AB2,AA2)</f>
        <v>0.40745330916612466</v>
      </c>
      <c r="AF2" s="185"/>
      <c r="AG2" s="185"/>
      <c r="AH2" s="196">
        <v>9.5043034320538826</v>
      </c>
      <c r="AI2" s="197" t="s">
        <v>212</v>
      </c>
      <c r="AJ2" s="197">
        <v>0.33969492854342626</v>
      </c>
      <c r="AK2" s="197" t="s">
        <v>213</v>
      </c>
      <c r="AL2" s="197" t="s">
        <v>133</v>
      </c>
      <c r="AM2" s="197" t="s">
        <v>133</v>
      </c>
      <c r="AN2" s="197">
        <v>0.65372964111336807</v>
      </c>
      <c r="AO2" s="197">
        <v>0.19667486368010259</v>
      </c>
      <c r="AP2" s="197"/>
      <c r="AQ2" s="197">
        <v>0.66652410991125821</v>
      </c>
      <c r="AR2" s="197" t="s">
        <v>133</v>
      </c>
      <c r="AS2" s="196">
        <v>1.5831996863751376</v>
      </c>
      <c r="AT2" s="197">
        <v>0.90936954274920667</v>
      </c>
      <c r="AU2" s="198">
        <v>0.22949855661285143</v>
      </c>
      <c r="AV2" s="197" t="s">
        <v>133</v>
      </c>
      <c r="AW2" s="198">
        <v>5.7735485940339983E-2</v>
      </c>
      <c r="AX2" s="197" t="s">
        <v>133</v>
      </c>
      <c r="AY2" s="197" t="s">
        <v>133</v>
      </c>
      <c r="AZ2" s="197" t="s">
        <v>133</v>
      </c>
      <c r="BA2" s="197" t="s">
        <v>133</v>
      </c>
      <c r="BB2" s="197" t="s">
        <v>133</v>
      </c>
      <c r="BC2" s="199"/>
      <c r="BD2" s="199"/>
      <c r="BE2" s="199"/>
      <c r="BF2" s="199"/>
      <c r="BG2" s="199"/>
      <c r="BH2" s="199"/>
      <c r="BI2" s="199"/>
      <c r="BJ2" s="200"/>
      <c r="BK2" s="201"/>
      <c r="BL2" s="185"/>
      <c r="BM2" s="202"/>
      <c r="BN2" s="202">
        <v>73</v>
      </c>
      <c r="BO2" s="203"/>
      <c r="BP2" s="203"/>
      <c r="BQ2" s="203"/>
      <c r="BR2" s="203"/>
      <c r="BS2" s="203"/>
      <c r="BT2" s="203"/>
      <c r="BU2" s="203"/>
      <c r="BV2" s="203"/>
      <c r="BW2" s="203"/>
      <c r="BX2" s="203"/>
      <c r="BY2" s="203"/>
      <c r="BZ2" s="203"/>
      <c r="CA2" s="203"/>
      <c r="CB2" s="203"/>
      <c r="CC2" s="203"/>
      <c r="CD2" s="203"/>
      <c r="CE2" s="203"/>
      <c r="CF2" s="203"/>
      <c r="CG2" s="203"/>
      <c r="CH2" s="203"/>
      <c r="CI2" s="204"/>
      <c r="CJ2" s="204"/>
      <c r="CK2" s="204"/>
      <c r="CL2" s="204"/>
      <c r="CM2" s="204"/>
      <c r="CN2" s="204"/>
      <c r="CO2" s="204"/>
      <c r="CP2" s="204"/>
      <c r="CQ2" s="205"/>
      <c r="CR2" s="205"/>
      <c r="CS2" s="205"/>
      <c r="CT2" s="205"/>
      <c r="CU2" s="205"/>
      <c r="CV2" s="205"/>
      <c r="CW2" s="205"/>
      <c r="CX2" s="205"/>
      <c r="CY2" s="206"/>
    </row>
    <row r="3" spans="1:103" x14ac:dyDescent="0.2">
      <c r="A3" s="185" t="s">
        <v>171</v>
      </c>
      <c r="B3" s="185" t="s">
        <v>171</v>
      </c>
      <c r="C3" s="186" t="s">
        <v>20</v>
      </c>
      <c r="D3" s="185"/>
      <c r="E3" s="187"/>
      <c r="F3" s="187"/>
      <c r="G3" s="188">
        <v>45174</v>
      </c>
      <c r="H3" s="189">
        <v>2023</v>
      </c>
      <c r="I3" s="190" t="s">
        <v>33</v>
      </c>
      <c r="J3" s="190">
        <v>10</v>
      </c>
      <c r="K3" s="191">
        <v>0.56852485409542486</v>
      </c>
      <c r="L3" s="191"/>
      <c r="M3" s="207">
        <v>0.55535444947209645</v>
      </c>
      <c r="N3" s="192">
        <v>1.4680693815987933</v>
      </c>
      <c r="O3" s="192">
        <v>5.8920412267471081</v>
      </c>
      <c r="P3" s="192">
        <v>4.8552941176470581</v>
      </c>
      <c r="Q3" s="192">
        <v>9.2394067370537964</v>
      </c>
      <c r="R3" s="192">
        <v>8.4134942182001016</v>
      </c>
      <c r="S3" s="192">
        <v>1.8209049773755654</v>
      </c>
      <c r="T3" s="193">
        <v>32.244565108094513</v>
      </c>
      <c r="U3" s="17">
        <f t="shared" si="0"/>
        <v>240.88015495845207</v>
      </c>
      <c r="V3" s="194" t="s">
        <v>214</v>
      </c>
      <c r="W3" s="195">
        <v>0.11514735685776428</v>
      </c>
      <c r="X3" s="183">
        <v>5.8818646140047282E-2</v>
      </c>
      <c r="Y3" s="194">
        <v>2.1062693854441143E-2</v>
      </c>
      <c r="Z3" s="183">
        <v>1.7454497522672658E-2</v>
      </c>
      <c r="AA3" s="183">
        <v>1.7526688127611819E-2</v>
      </c>
      <c r="AB3" s="194">
        <v>1.5507586635324781E-2</v>
      </c>
      <c r="AC3" s="194" t="s">
        <v>215</v>
      </c>
      <c r="AD3" s="195">
        <v>0.24551746913786199</v>
      </c>
      <c r="AE3" s="152">
        <f t="shared" si="1"/>
        <v>0.22806297161518932</v>
      </c>
      <c r="AF3" s="185"/>
      <c r="AG3" s="185"/>
      <c r="AH3" s="196">
        <v>4.1781765937758726</v>
      </c>
      <c r="AI3" s="197" t="s">
        <v>212</v>
      </c>
      <c r="AJ3" s="197" t="s">
        <v>36</v>
      </c>
      <c r="AK3" s="197" t="s">
        <v>213</v>
      </c>
      <c r="AL3" s="197" t="s">
        <v>133</v>
      </c>
      <c r="AM3" s="197" t="s">
        <v>133</v>
      </c>
      <c r="AN3" s="197">
        <v>0.2692089157291514</v>
      </c>
      <c r="AO3" s="198">
        <v>0.12287537135343107</v>
      </c>
      <c r="AP3" s="198"/>
      <c r="AQ3" s="197">
        <v>0.2948911508303706</v>
      </c>
      <c r="AR3" s="197" t="s">
        <v>133</v>
      </c>
      <c r="AS3" s="197">
        <v>0.39849672884300069</v>
      </c>
      <c r="AT3" s="198">
        <v>0.22703290637835027</v>
      </c>
      <c r="AU3" s="197" t="s">
        <v>216</v>
      </c>
      <c r="AV3" s="197" t="s">
        <v>133</v>
      </c>
      <c r="AW3" s="197" t="s">
        <v>133</v>
      </c>
      <c r="AX3" s="197" t="s">
        <v>133</v>
      </c>
      <c r="AY3" s="197" t="s">
        <v>133</v>
      </c>
      <c r="AZ3" s="197" t="s">
        <v>133</v>
      </c>
      <c r="BA3" s="197" t="s">
        <v>133</v>
      </c>
      <c r="BB3" s="197" t="s">
        <v>133</v>
      </c>
      <c r="BC3" s="199"/>
      <c r="BD3" s="199"/>
      <c r="BE3" s="199"/>
      <c r="BF3" s="199"/>
      <c r="BG3" s="199"/>
      <c r="BH3" s="199"/>
      <c r="BI3" s="199"/>
      <c r="BJ3" s="200"/>
      <c r="BK3" s="208"/>
      <c r="BL3" s="185"/>
      <c r="BM3" s="202"/>
      <c r="BN3" s="202">
        <v>38</v>
      </c>
      <c r="BO3" s="203"/>
      <c r="BP3" s="203"/>
      <c r="BQ3" s="203"/>
      <c r="BR3" s="203"/>
      <c r="BS3" s="203"/>
      <c r="BT3" s="203"/>
      <c r="BU3" s="203"/>
      <c r="BV3" s="203"/>
      <c r="BW3" s="203"/>
      <c r="BX3" s="203"/>
      <c r="BY3" s="203"/>
      <c r="BZ3" s="203"/>
      <c r="CA3" s="203"/>
      <c r="CB3" s="203"/>
      <c r="CC3" s="203"/>
      <c r="CD3" s="203"/>
      <c r="CE3" s="203"/>
      <c r="CF3" s="203"/>
      <c r="CG3" s="203"/>
      <c r="CH3" s="203"/>
      <c r="CI3" s="204"/>
      <c r="CJ3" s="204"/>
      <c r="CK3" s="204"/>
      <c r="CL3" s="204"/>
      <c r="CM3" s="204"/>
      <c r="CN3" s="204"/>
      <c r="CO3" s="204"/>
      <c r="CP3" s="204"/>
      <c r="CQ3" s="205"/>
      <c r="CR3" s="205"/>
      <c r="CS3" s="205"/>
      <c r="CT3" s="205"/>
      <c r="CU3" s="205"/>
      <c r="CV3" s="205"/>
      <c r="CW3" s="205"/>
      <c r="CX3" s="205"/>
      <c r="CY3" s="206"/>
    </row>
    <row r="4" spans="1:103" x14ac:dyDescent="0.2">
      <c r="A4" s="185" t="s">
        <v>23</v>
      </c>
      <c r="B4" s="185" t="s">
        <v>23</v>
      </c>
      <c r="C4" s="186" t="s">
        <v>20</v>
      </c>
      <c r="D4" s="185"/>
      <c r="E4" s="187"/>
      <c r="F4" s="187"/>
      <c r="G4" s="188">
        <v>45169</v>
      </c>
      <c r="H4" s="189">
        <v>2023</v>
      </c>
      <c r="I4" s="190" t="s">
        <v>33</v>
      </c>
      <c r="J4" s="190">
        <v>10</v>
      </c>
      <c r="K4" s="191">
        <v>0.56772908366536023</v>
      </c>
      <c r="L4" s="191"/>
      <c r="M4" s="207">
        <v>0.20016655236602329</v>
      </c>
      <c r="N4" s="192">
        <v>1.168085627510532</v>
      </c>
      <c r="O4" s="192">
        <v>4.4648329577740764</v>
      </c>
      <c r="P4" s="192">
        <v>3.3233957088272752</v>
      </c>
      <c r="Q4" s="192">
        <v>8.3775546193788557</v>
      </c>
      <c r="R4" s="192">
        <v>7.7184481238365823</v>
      </c>
      <c r="S4" s="192">
        <v>2.0277358675418826</v>
      </c>
      <c r="T4" s="193">
        <v>27.280219457235223</v>
      </c>
      <c r="U4" s="17">
        <f t="shared" si="0"/>
        <v>210.9881670473743</v>
      </c>
      <c r="V4" s="194" t="s">
        <v>217</v>
      </c>
      <c r="W4" s="183">
        <v>4.1362112151506883E-2</v>
      </c>
      <c r="X4" s="183">
        <v>2.8783740535993703E-2</v>
      </c>
      <c r="Y4" s="183">
        <v>1.7120965943289226E-2</v>
      </c>
      <c r="Z4" s="194">
        <v>2.2125998443970289E-2</v>
      </c>
      <c r="AA4" s="194" t="s">
        <v>218</v>
      </c>
      <c r="AB4" s="194" t="s">
        <v>217</v>
      </c>
      <c r="AC4" s="194" t="s">
        <v>219</v>
      </c>
      <c r="AD4" s="195">
        <v>0.1093928170747601</v>
      </c>
      <c r="AE4" s="152">
        <f t="shared" si="1"/>
        <v>8.7266818630789805E-2</v>
      </c>
      <c r="AF4" s="185"/>
      <c r="AG4" s="185"/>
      <c r="AH4" s="209">
        <v>13.485258489713795</v>
      </c>
      <c r="AI4" s="197" t="s">
        <v>212</v>
      </c>
      <c r="AJ4" s="197" t="s">
        <v>36</v>
      </c>
      <c r="AK4" s="197" t="s">
        <v>213</v>
      </c>
      <c r="AL4" s="197" t="s">
        <v>133</v>
      </c>
      <c r="AM4" s="197" t="s">
        <v>133</v>
      </c>
      <c r="AN4" s="196">
        <v>1.0733653622414763</v>
      </c>
      <c r="AO4" s="198">
        <v>0.10807703363035358</v>
      </c>
      <c r="AP4" s="198"/>
      <c r="AQ4" s="197">
        <v>0.78409230895577553</v>
      </c>
      <c r="AR4" s="197" t="s">
        <v>133</v>
      </c>
      <c r="AS4" s="197">
        <v>0.94626260967163534</v>
      </c>
      <c r="AT4" s="197">
        <v>0.4316785064126254</v>
      </c>
      <c r="AU4" s="198">
        <v>0.33018519278938946</v>
      </c>
      <c r="AV4" s="197" t="s">
        <v>133</v>
      </c>
      <c r="AW4" s="197" t="s">
        <v>133</v>
      </c>
      <c r="AX4" s="197" t="s">
        <v>133</v>
      </c>
      <c r="AY4" s="197" t="s">
        <v>133</v>
      </c>
      <c r="AZ4" s="197" t="s">
        <v>133</v>
      </c>
      <c r="BA4" s="197" t="s">
        <v>133</v>
      </c>
      <c r="BB4" s="197" t="s">
        <v>133</v>
      </c>
      <c r="BC4" s="199"/>
      <c r="BD4" s="199"/>
      <c r="BE4" s="199"/>
      <c r="BF4" s="199"/>
      <c r="BG4" s="199"/>
      <c r="BH4" s="199"/>
      <c r="BI4" s="199"/>
      <c r="BJ4" s="200"/>
      <c r="BK4" s="210"/>
      <c r="BL4" s="185"/>
      <c r="BM4" s="202"/>
      <c r="BN4" s="202">
        <v>370</v>
      </c>
      <c r="BO4" s="203"/>
      <c r="BP4" s="203"/>
      <c r="BQ4" s="203"/>
      <c r="BR4" s="203"/>
      <c r="BS4" s="203"/>
      <c r="BT4" s="203"/>
      <c r="BU4" s="203"/>
      <c r="BV4" s="203"/>
      <c r="BW4" s="203"/>
      <c r="BX4" s="203"/>
      <c r="BY4" s="203"/>
      <c r="BZ4" s="203"/>
      <c r="CA4" s="203"/>
      <c r="CB4" s="203"/>
      <c r="CC4" s="203"/>
      <c r="CD4" s="203"/>
      <c r="CE4" s="203"/>
      <c r="CF4" s="203"/>
      <c r="CG4" s="203"/>
      <c r="CH4" s="203"/>
      <c r="CI4" s="204"/>
      <c r="CJ4" s="204"/>
      <c r="CK4" s="204"/>
      <c r="CL4" s="204"/>
      <c r="CM4" s="204"/>
      <c r="CN4" s="204"/>
      <c r="CO4" s="204"/>
      <c r="CP4" s="204"/>
      <c r="CQ4" s="205"/>
      <c r="CR4" s="205"/>
      <c r="CS4" s="205"/>
      <c r="CT4" s="205"/>
      <c r="CU4" s="205"/>
      <c r="CV4" s="205"/>
      <c r="CW4" s="205"/>
      <c r="CX4" s="205"/>
      <c r="CY4" s="206"/>
    </row>
    <row r="5" spans="1:103" x14ac:dyDescent="0.2">
      <c r="A5" s="185" t="s">
        <v>26</v>
      </c>
      <c r="B5" s="185" t="s">
        <v>26</v>
      </c>
      <c r="C5" s="186" t="s">
        <v>20</v>
      </c>
      <c r="D5" s="185"/>
      <c r="E5" s="187"/>
      <c r="F5" s="187"/>
      <c r="G5" s="188">
        <v>45177</v>
      </c>
      <c r="H5" s="189">
        <v>2023</v>
      </c>
      <c r="I5" s="190" t="s">
        <v>33</v>
      </c>
      <c r="J5" s="190">
        <v>10</v>
      </c>
      <c r="K5" s="191">
        <v>0.56687067322166473</v>
      </c>
      <c r="L5" s="191"/>
      <c r="M5" s="182">
        <v>2.3991955756661638E-2</v>
      </c>
      <c r="N5" s="182">
        <v>3.6596279537456006E-2</v>
      </c>
      <c r="O5" s="207">
        <v>0.17120663650075416</v>
      </c>
      <c r="P5" s="207">
        <v>0.19407742584213172</v>
      </c>
      <c r="Q5" s="193">
        <v>15.289762821812285</v>
      </c>
      <c r="R5" s="193">
        <v>15.198155280762213</v>
      </c>
      <c r="S5" s="207">
        <v>0.17447963800904978</v>
      </c>
      <c r="T5" s="193">
        <v>31.088270038220553</v>
      </c>
      <c r="U5" s="17">
        <f t="shared" si="0"/>
        <v>272.49771483854659</v>
      </c>
      <c r="V5" s="194" t="s">
        <v>214</v>
      </c>
      <c r="W5" s="194" t="s">
        <v>220</v>
      </c>
      <c r="X5" s="194" t="s">
        <v>220</v>
      </c>
      <c r="Y5" s="194" t="s">
        <v>221</v>
      </c>
      <c r="Z5" s="183">
        <v>1.4011993247602083E-2</v>
      </c>
      <c r="AA5" s="183" t="s">
        <v>222</v>
      </c>
      <c r="AB5" s="183" t="s">
        <v>214</v>
      </c>
      <c r="AC5" s="194" t="s">
        <v>215</v>
      </c>
      <c r="AD5" s="194">
        <v>1.4011993247602083E-2</v>
      </c>
      <c r="AE5" s="152">
        <f t="shared" si="1"/>
        <v>0</v>
      </c>
      <c r="AF5" s="185"/>
      <c r="AG5" s="185"/>
      <c r="AH5" s="197">
        <v>0.55671061162740421</v>
      </c>
      <c r="AI5" s="197" t="s">
        <v>212</v>
      </c>
      <c r="AJ5" s="197" t="s">
        <v>36</v>
      </c>
      <c r="AK5" s="197" t="s">
        <v>213</v>
      </c>
      <c r="AL5" s="197" t="s">
        <v>133</v>
      </c>
      <c r="AM5" s="197" t="s">
        <v>133</v>
      </c>
      <c r="AN5" s="197">
        <v>6.6032706577335912E-2</v>
      </c>
      <c r="AO5" s="197" t="s">
        <v>133</v>
      </c>
      <c r="AP5" s="197"/>
      <c r="AQ5" s="197" t="s">
        <v>129</v>
      </c>
      <c r="AR5" s="197" t="s">
        <v>133</v>
      </c>
      <c r="AS5" s="197" t="s">
        <v>223</v>
      </c>
      <c r="AT5" s="197" t="s">
        <v>224</v>
      </c>
      <c r="AU5" s="197" t="s">
        <v>216</v>
      </c>
      <c r="AV5" s="197" t="s">
        <v>133</v>
      </c>
      <c r="AW5" s="197" t="s">
        <v>133</v>
      </c>
      <c r="AX5" s="197" t="s">
        <v>133</v>
      </c>
      <c r="AY5" s="197" t="s">
        <v>133</v>
      </c>
      <c r="AZ5" s="197" t="s">
        <v>133</v>
      </c>
      <c r="BA5" s="197" t="s">
        <v>133</v>
      </c>
      <c r="BB5" s="197" t="s">
        <v>133</v>
      </c>
      <c r="BC5" s="199"/>
      <c r="BD5" s="199"/>
      <c r="BE5" s="199"/>
      <c r="BF5" s="199"/>
      <c r="BG5" s="199"/>
      <c r="BH5" s="199"/>
      <c r="BI5" s="199"/>
      <c r="BJ5" s="200"/>
      <c r="BK5" s="211"/>
      <c r="BL5" s="185"/>
      <c r="BM5" s="202"/>
      <c r="BN5" s="202">
        <v>41</v>
      </c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4"/>
      <c r="CJ5" s="204"/>
      <c r="CK5" s="204"/>
      <c r="CL5" s="204"/>
      <c r="CM5" s="204"/>
      <c r="CN5" s="204"/>
      <c r="CO5" s="204"/>
      <c r="CP5" s="204"/>
      <c r="CQ5" s="205"/>
      <c r="CR5" s="205"/>
      <c r="CS5" s="205"/>
      <c r="CT5" s="205"/>
      <c r="CU5" s="205"/>
      <c r="CV5" s="205"/>
      <c r="CW5" s="205"/>
      <c r="CX5" s="205"/>
      <c r="CY5" s="206"/>
    </row>
    <row r="6" spans="1:103" x14ac:dyDescent="0.2">
      <c r="A6" s="185" t="s">
        <v>79</v>
      </c>
      <c r="B6" s="185" t="s">
        <v>79</v>
      </c>
      <c r="C6" s="186" t="s">
        <v>20</v>
      </c>
      <c r="D6" s="185"/>
      <c r="E6" s="187"/>
      <c r="F6" s="187"/>
      <c r="G6" s="188">
        <v>45169</v>
      </c>
      <c r="H6" s="189">
        <v>2023</v>
      </c>
      <c r="I6" s="190" t="s">
        <v>33</v>
      </c>
      <c r="J6" s="190">
        <v>10</v>
      </c>
      <c r="K6" s="191">
        <v>0.67045916294195507</v>
      </c>
      <c r="L6" s="191"/>
      <c r="M6" s="207">
        <v>0.21301336454980005</v>
      </c>
      <c r="N6" s="207">
        <v>0.43243585991610578</v>
      </c>
      <c r="O6" s="192">
        <v>1.5412740220466299</v>
      </c>
      <c r="P6" s="192">
        <v>1.2459467369037167</v>
      </c>
      <c r="Q6" s="192">
        <v>2.7617647058823529</v>
      </c>
      <c r="R6" s="192">
        <v>2.6039020583357724</v>
      </c>
      <c r="S6" s="207">
        <v>0.70495073651351092</v>
      </c>
      <c r="T6" s="193">
        <v>9.5032874841478883</v>
      </c>
      <c r="U6" s="17">
        <f t="shared" si="0"/>
        <v>61.579744178684976</v>
      </c>
      <c r="V6" s="194" t="s">
        <v>225</v>
      </c>
      <c r="W6" s="194">
        <v>1.9419378560423195E-2</v>
      </c>
      <c r="X6" s="194">
        <v>1.9785511744822872E-2</v>
      </c>
      <c r="Y6" s="194">
        <v>1.1963900529724555E-2</v>
      </c>
      <c r="Z6" s="183">
        <v>2.2561808266358847E-2</v>
      </c>
      <c r="AA6" s="183" t="s">
        <v>226</v>
      </c>
      <c r="AB6" s="183" t="s">
        <v>225</v>
      </c>
      <c r="AC6" s="194" t="s">
        <v>227</v>
      </c>
      <c r="AD6" s="194">
        <v>7.373059910132948E-2</v>
      </c>
      <c r="AE6" s="152">
        <f t="shared" si="1"/>
        <v>5.1168790834970626E-2</v>
      </c>
      <c r="AF6" s="185"/>
      <c r="AG6" s="185"/>
      <c r="AH6" s="196">
        <v>5.1885249330655947</v>
      </c>
      <c r="AI6" s="197" t="s">
        <v>212</v>
      </c>
      <c r="AJ6" s="198">
        <v>8.1632083891120019E-2</v>
      </c>
      <c r="AK6" s="197" t="s">
        <v>213</v>
      </c>
      <c r="AL6" s="197" t="s">
        <v>133</v>
      </c>
      <c r="AM6" s="198">
        <v>5.7730923694779099E-2</v>
      </c>
      <c r="AN6" s="197">
        <v>0.47986390004462282</v>
      </c>
      <c r="AO6" s="197" t="s">
        <v>133</v>
      </c>
      <c r="AP6" s="197"/>
      <c r="AQ6" s="197">
        <v>0.43946619812583659</v>
      </c>
      <c r="AR6" s="197" t="s">
        <v>133</v>
      </c>
      <c r="AS6" s="197">
        <v>0.6258087907184291</v>
      </c>
      <c r="AT6" s="198">
        <v>0.13289268183846495</v>
      </c>
      <c r="AU6" s="197" t="s">
        <v>216</v>
      </c>
      <c r="AV6" s="197" t="s">
        <v>133</v>
      </c>
      <c r="AW6" s="197" t="s">
        <v>133</v>
      </c>
      <c r="AX6" s="197" t="s">
        <v>133</v>
      </c>
      <c r="AY6" s="197" t="s">
        <v>133</v>
      </c>
      <c r="AZ6" s="197" t="s">
        <v>133</v>
      </c>
      <c r="BA6" s="197" t="s">
        <v>133</v>
      </c>
      <c r="BB6" s="197" t="s">
        <v>133</v>
      </c>
      <c r="BC6" s="199"/>
      <c r="BD6" s="199"/>
      <c r="BE6" s="199"/>
      <c r="BF6" s="199"/>
      <c r="BG6" s="199"/>
      <c r="BH6" s="199"/>
      <c r="BI6" s="199"/>
      <c r="BJ6" s="200"/>
      <c r="BK6" s="210"/>
      <c r="BL6" s="185"/>
      <c r="BM6" s="202"/>
      <c r="BN6" s="202">
        <v>110</v>
      </c>
      <c r="BO6" s="203"/>
      <c r="BP6" s="203"/>
      <c r="BQ6" s="203"/>
      <c r="BR6" s="203"/>
      <c r="BS6" s="203"/>
      <c r="BT6" s="203"/>
      <c r="BU6" s="203"/>
      <c r="BV6" s="203"/>
      <c r="BW6" s="203"/>
      <c r="BX6" s="203"/>
      <c r="BY6" s="203"/>
      <c r="BZ6" s="203"/>
      <c r="CA6" s="203"/>
      <c r="CB6" s="203"/>
      <c r="CC6" s="203"/>
      <c r="CD6" s="203"/>
      <c r="CE6" s="203"/>
      <c r="CF6" s="203"/>
      <c r="CG6" s="203"/>
      <c r="CH6" s="203"/>
      <c r="CI6" s="204"/>
      <c r="CJ6" s="204"/>
      <c r="CK6" s="204"/>
      <c r="CL6" s="204"/>
      <c r="CM6" s="204"/>
      <c r="CN6" s="204"/>
      <c r="CO6" s="204"/>
      <c r="CP6" s="204"/>
      <c r="CQ6" s="205"/>
      <c r="CR6" s="205"/>
      <c r="CS6" s="205"/>
      <c r="CT6" s="205"/>
      <c r="CU6" s="205"/>
      <c r="CV6" s="205"/>
      <c r="CW6" s="205"/>
      <c r="CX6" s="205"/>
      <c r="CY6" s="206"/>
    </row>
    <row r="7" spans="1:103" x14ac:dyDescent="0.2">
      <c r="A7" s="185" t="s">
        <v>25</v>
      </c>
      <c r="B7" s="185" t="s">
        <v>25</v>
      </c>
      <c r="C7" s="186" t="s">
        <v>20</v>
      </c>
      <c r="D7" s="185"/>
      <c r="E7" s="187"/>
      <c r="F7" s="187"/>
      <c r="G7" s="188">
        <v>45170</v>
      </c>
      <c r="H7" s="189">
        <v>2023</v>
      </c>
      <c r="I7" s="190" t="s">
        <v>33</v>
      </c>
      <c r="J7" s="190">
        <v>10</v>
      </c>
      <c r="K7" s="191">
        <v>0.58063870257286399</v>
      </c>
      <c r="L7" s="191"/>
      <c r="M7" s="212" t="s">
        <v>138</v>
      </c>
      <c r="N7" s="212">
        <v>6.0789240319243279E-2</v>
      </c>
      <c r="O7" s="207">
        <v>0.69921667159326051</v>
      </c>
      <c r="P7" s="207">
        <v>0.54887181003054497</v>
      </c>
      <c r="Q7" s="192">
        <v>2.5416198640260124</v>
      </c>
      <c r="R7" s="192">
        <v>2.1435412355897134</v>
      </c>
      <c r="S7" s="207">
        <v>0.73793477189870926</v>
      </c>
      <c r="T7" s="192">
        <v>6.731973593457484</v>
      </c>
      <c r="U7" s="17">
        <f t="shared" si="0"/>
        <v>53.243968719524219</v>
      </c>
      <c r="V7" s="213" t="s">
        <v>228</v>
      </c>
      <c r="W7" s="213">
        <v>5.3543620087528804E-2</v>
      </c>
      <c r="X7" s="213">
        <v>3.4330691037025962E-2</v>
      </c>
      <c r="Y7" s="213">
        <v>4.7884913448240758E-2</v>
      </c>
      <c r="Z7" s="213">
        <v>1.7692556819453274E-2</v>
      </c>
      <c r="AA7" s="213">
        <v>7.726382386593276E-3</v>
      </c>
      <c r="AB7" s="213" t="s">
        <v>228</v>
      </c>
      <c r="AC7" s="194" t="s">
        <v>229</v>
      </c>
      <c r="AD7" s="195">
        <v>0.16117816377884209</v>
      </c>
      <c r="AE7" s="152">
        <f t="shared" si="1"/>
        <v>0.14348560695938881</v>
      </c>
      <c r="AF7" s="185"/>
      <c r="AG7" s="185"/>
      <c r="AH7" s="209">
        <v>12.367993447268216</v>
      </c>
      <c r="AI7" s="197" t="s">
        <v>212</v>
      </c>
      <c r="AJ7" s="197" t="s">
        <v>36</v>
      </c>
      <c r="AK7" s="197" t="s">
        <v>213</v>
      </c>
      <c r="AL7" s="197" t="s">
        <v>133</v>
      </c>
      <c r="AM7" s="197" t="s">
        <v>133</v>
      </c>
      <c r="AN7" s="197">
        <v>0.93556480415596688</v>
      </c>
      <c r="AO7" s="197">
        <v>0.27468343221464619</v>
      </c>
      <c r="AP7" s="197"/>
      <c r="AQ7" s="197">
        <v>0.30191268927654291</v>
      </c>
      <c r="AR7" s="197" t="s">
        <v>133</v>
      </c>
      <c r="AS7" s="197">
        <v>0.16206204433424831</v>
      </c>
      <c r="AT7" s="197" t="s">
        <v>224</v>
      </c>
      <c r="AU7" s="197" t="s">
        <v>216</v>
      </c>
      <c r="AV7" s="197" t="s">
        <v>133</v>
      </c>
      <c r="AW7" s="197" t="s">
        <v>133</v>
      </c>
      <c r="AX7" s="197" t="s">
        <v>133</v>
      </c>
      <c r="AY7" s="197" t="s">
        <v>133</v>
      </c>
      <c r="AZ7" s="197" t="s">
        <v>133</v>
      </c>
      <c r="BA7" s="197" t="s">
        <v>133</v>
      </c>
      <c r="BB7" s="197" t="s">
        <v>133</v>
      </c>
      <c r="BC7" s="199"/>
      <c r="BD7" s="199"/>
      <c r="BE7" s="199"/>
      <c r="BF7" s="199"/>
      <c r="BG7" s="199"/>
      <c r="BH7" s="199"/>
      <c r="BI7" s="199"/>
      <c r="BJ7" s="200"/>
      <c r="BK7" s="210"/>
      <c r="BL7" s="185"/>
      <c r="BM7" s="202"/>
      <c r="BN7" s="202">
        <v>86</v>
      </c>
      <c r="BO7" s="203"/>
      <c r="BP7" s="203"/>
      <c r="BQ7" s="203"/>
      <c r="BR7" s="203"/>
      <c r="BS7" s="203"/>
      <c r="BT7" s="203"/>
      <c r="BU7" s="203"/>
      <c r="BV7" s="203"/>
      <c r="BW7" s="203"/>
      <c r="BX7" s="203"/>
      <c r="BY7" s="203"/>
      <c r="BZ7" s="203"/>
      <c r="CA7" s="203"/>
      <c r="CB7" s="203"/>
      <c r="CC7" s="203"/>
      <c r="CD7" s="203"/>
      <c r="CE7" s="203"/>
      <c r="CF7" s="203"/>
      <c r="CG7" s="203"/>
      <c r="CH7" s="203"/>
      <c r="CI7" s="204"/>
      <c r="CJ7" s="204"/>
      <c r="CK7" s="204"/>
      <c r="CL7" s="204"/>
      <c r="CM7" s="204"/>
      <c r="CN7" s="204"/>
      <c r="CO7" s="204"/>
      <c r="CP7" s="204"/>
      <c r="CQ7" s="205"/>
      <c r="CR7" s="205"/>
      <c r="CS7" s="205"/>
      <c r="CT7" s="205"/>
      <c r="CU7" s="205"/>
      <c r="CV7" s="205"/>
      <c r="CW7" s="205"/>
      <c r="CX7" s="205"/>
      <c r="CY7" s="206"/>
    </row>
    <row r="8" spans="1:103" x14ac:dyDescent="0.2">
      <c r="A8" s="185" t="s">
        <v>6</v>
      </c>
      <c r="B8" s="185" t="s">
        <v>6</v>
      </c>
      <c r="C8" s="186" t="s">
        <v>20</v>
      </c>
      <c r="D8" s="185"/>
      <c r="E8" s="187"/>
      <c r="F8" s="187"/>
      <c r="G8" s="188">
        <v>45175</v>
      </c>
      <c r="H8" s="189">
        <v>2023</v>
      </c>
      <c r="I8" s="190" t="s">
        <v>33</v>
      </c>
      <c r="J8" s="190">
        <v>10</v>
      </c>
      <c r="K8" s="191">
        <v>0.48081738956230963</v>
      </c>
      <c r="L8" s="191"/>
      <c r="M8" s="182">
        <v>3.5046305617072684E-2</v>
      </c>
      <c r="N8" s="207">
        <v>0.38043587678679291</v>
      </c>
      <c r="O8" s="192">
        <v>2.3064274209784581</v>
      </c>
      <c r="P8" s="192">
        <v>1.8520636198912825</v>
      </c>
      <c r="Q8" s="192">
        <v>5.3342963559492658</v>
      </c>
      <c r="R8" s="192">
        <v>4.2933058184014499</v>
      </c>
      <c r="S8" s="192">
        <v>1.2768773907791424</v>
      </c>
      <c r="T8" s="193">
        <v>15.477300181195895</v>
      </c>
      <c r="U8" s="17">
        <f t="shared" si="0"/>
        <v>141.70025319712695</v>
      </c>
      <c r="V8" s="194" t="s">
        <v>230</v>
      </c>
      <c r="W8" s="194">
        <v>0.12606724087022481</v>
      </c>
      <c r="X8" s="194">
        <v>4.3198189251169403E-2</v>
      </c>
      <c r="Y8" s="194">
        <v>8.5261853004302848E-2</v>
      </c>
      <c r="Z8" s="183">
        <v>2.0523895227499023E-2</v>
      </c>
      <c r="AA8" s="183">
        <v>9.8970240420161535E-3</v>
      </c>
      <c r="AB8" s="183" t="s">
        <v>230</v>
      </c>
      <c r="AC8" s="213" t="s">
        <v>231</v>
      </c>
      <c r="AD8" s="195">
        <v>0.28494820239521224</v>
      </c>
      <c r="AE8" s="152">
        <f t="shared" si="1"/>
        <v>0.2644243071677132</v>
      </c>
      <c r="AF8" s="185"/>
      <c r="AG8" s="185"/>
      <c r="AH8" s="196">
        <v>4.9399306794433961</v>
      </c>
      <c r="AI8" s="197" t="s">
        <v>212</v>
      </c>
      <c r="AJ8" s="197" t="s">
        <v>36</v>
      </c>
      <c r="AK8" s="197" t="s">
        <v>213</v>
      </c>
      <c r="AL8" s="197" t="s">
        <v>133</v>
      </c>
      <c r="AM8" s="198">
        <v>6.7638513685712817E-2</v>
      </c>
      <c r="AN8" s="197">
        <v>0.66765210595171354</v>
      </c>
      <c r="AO8" s="198">
        <v>9.2716244456904018E-2</v>
      </c>
      <c r="AP8" s="198"/>
      <c r="AQ8" s="197">
        <v>0.27957592130077985</v>
      </c>
      <c r="AR8" s="197" t="s">
        <v>133</v>
      </c>
      <c r="AS8" s="197">
        <v>0.22627724824574819</v>
      </c>
      <c r="AT8" s="197" t="s">
        <v>224</v>
      </c>
      <c r="AU8" s="197" t="s">
        <v>216</v>
      </c>
      <c r="AV8" s="197" t="s">
        <v>133</v>
      </c>
      <c r="AW8" s="197" t="s">
        <v>133</v>
      </c>
      <c r="AX8" s="197" t="s">
        <v>133</v>
      </c>
      <c r="AY8" s="197" t="s">
        <v>133</v>
      </c>
      <c r="AZ8" s="197" t="s">
        <v>133</v>
      </c>
      <c r="BA8" s="197" t="s">
        <v>133</v>
      </c>
      <c r="BB8" s="197" t="s">
        <v>133</v>
      </c>
      <c r="BC8" s="199"/>
      <c r="BD8" s="199"/>
      <c r="BE8" s="199"/>
      <c r="BF8" s="199"/>
      <c r="BG8" s="199"/>
      <c r="BH8" s="199"/>
      <c r="BI8" s="199"/>
      <c r="BJ8" s="200"/>
      <c r="BK8" s="211"/>
      <c r="BL8" s="185"/>
      <c r="BM8" s="202"/>
      <c r="BN8" s="202">
        <v>54</v>
      </c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4"/>
      <c r="CJ8" s="204"/>
      <c r="CK8" s="204"/>
      <c r="CL8" s="204"/>
      <c r="CM8" s="204"/>
      <c r="CN8" s="204"/>
      <c r="CO8" s="204"/>
      <c r="CP8" s="204"/>
      <c r="CQ8" s="205"/>
      <c r="CR8" s="205"/>
      <c r="CS8" s="205"/>
      <c r="CT8" s="205"/>
      <c r="CU8" s="205"/>
      <c r="CV8" s="205"/>
      <c r="CW8" s="205"/>
      <c r="CX8" s="205"/>
      <c r="CY8" s="206"/>
    </row>
    <row r="9" spans="1:103" x14ac:dyDescent="0.2">
      <c r="A9" s="185" t="s">
        <v>203</v>
      </c>
      <c r="B9" s="185" t="s">
        <v>203</v>
      </c>
      <c r="C9" s="186" t="s">
        <v>20</v>
      </c>
      <c r="D9" s="185"/>
      <c r="E9" s="187"/>
      <c r="F9" s="187"/>
      <c r="G9" s="188">
        <v>45170</v>
      </c>
      <c r="H9" s="189">
        <v>2023</v>
      </c>
      <c r="I9" s="190" t="s">
        <v>33</v>
      </c>
      <c r="J9" s="190">
        <v>10</v>
      </c>
      <c r="K9" s="191">
        <v>0.56471764117944345</v>
      </c>
      <c r="L9" s="191"/>
      <c r="M9" s="207">
        <v>0.44432182985553775</v>
      </c>
      <c r="N9" s="192">
        <v>1.2042987560192617</v>
      </c>
      <c r="O9" s="192">
        <v>5.4840339085072225</v>
      </c>
      <c r="P9" s="192">
        <v>4.5118479133226321</v>
      </c>
      <c r="Q9" s="193">
        <v>11.613563402889245</v>
      </c>
      <c r="R9" s="193">
        <v>10.423725922953452</v>
      </c>
      <c r="S9" s="192">
        <v>3.0970204654895666</v>
      </c>
      <c r="T9" s="193">
        <v>36.778812199036913</v>
      </c>
      <c r="U9" s="17">
        <f t="shared" si="0"/>
        <v>285.69113068898446</v>
      </c>
      <c r="V9" s="194" t="s">
        <v>232</v>
      </c>
      <c r="W9" s="194">
        <v>9.5966778310588155E-2</v>
      </c>
      <c r="X9" s="194">
        <v>4.469765995413684E-2</v>
      </c>
      <c r="Y9" s="194">
        <v>5.2282195514730533E-2</v>
      </c>
      <c r="Z9" s="183">
        <v>1.7389299563974406E-2</v>
      </c>
      <c r="AA9" s="183">
        <v>8.5136817328390797E-3</v>
      </c>
      <c r="AB9" s="194" t="s">
        <v>232</v>
      </c>
      <c r="AC9" s="194" t="s">
        <v>233</v>
      </c>
      <c r="AD9" s="195">
        <v>0.21884961507626902</v>
      </c>
      <c r="AE9" s="152">
        <f t="shared" si="1"/>
        <v>0.20146031551229462</v>
      </c>
      <c r="AF9" s="185"/>
      <c r="AG9" s="185"/>
      <c r="AH9" s="196">
        <v>3.4018073966648927</v>
      </c>
      <c r="AI9" s="197" t="s">
        <v>212</v>
      </c>
      <c r="AJ9" s="197" t="s">
        <v>36</v>
      </c>
      <c r="AK9" s="197" t="s">
        <v>213</v>
      </c>
      <c r="AL9" s="197" t="s">
        <v>133</v>
      </c>
      <c r="AM9" s="198">
        <v>6.5113156885308804E-2</v>
      </c>
      <c r="AN9" s="197">
        <v>0.13369411946446694</v>
      </c>
      <c r="AO9" s="197" t="s">
        <v>133</v>
      </c>
      <c r="AP9" s="197"/>
      <c r="AQ9" s="197">
        <v>0.30418616150648736</v>
      </c>
      <c r="AR9" s="197" t="s">
        <v>133</v>
      </c>
      <c r="AS9" s="197">
        <v>0.60276413774135995</v>
      </c>
      <c r="AT9" s="198">
        <v>0.34287851233353711</v>
      </c>
      <c r="AU9" s="197" t="s">
        <v>216</v>
      </c>
      <c r="AV9" s="197" t="s">
        <v>133</v>
      </c>
      <c r="AW9" s="197" t="s">
        <v>133</v>
      </c>
      <c r="AX9" s="197" t="s">
        <v>133</v>
      </c>
      <c r="AY9" s="197" t="s">
        <v>133</v>
      </c>
      <c r="AZ9" s="197" t="s">
        <v>133</v>
      </c>
      <c r="BA9" s="197" t="s">
        <v>133</v>
      </c>
      <c r="BB9" s="197" t="s">
        <v>133</v>
      </c>
      <c r="BC9" s="199"/>
      <c r="BD9" s="199"/>
      <c r="BE9" s="199"/>
      <c r="BF9" s="199"/>
      <c r="BG9" s="199"/>
      <c r="BH9" s="199"/>
      <c r="BI9" s="199"/>
      <c r="BJ9" s="200"/>
      <c r="BK9" s="211"/>
      <c r="BL9" s="185"/>
      <c r="BM9" s="202"/>
      <c r="BN9" s="202">
        <v>240</v>
      </c>
      <c r="BO9" s="203"/>
      <c r="BP9" s="203"/>
      <c r="BQ9" s="203"/>
      <c r="BR9" s="203"/>
      <c r="BS9" s="203"/>
      <c r="BT9" s="203"/>
      <c r="BU9" s="203"/>
      <c r="BV9" s="203"/>
      <c r="BW9" s="203"/>
      <c r="BX9" s="203"/>
      <c r="BY9" s="203"/>
      <c r="BZ9" s="203"/>
      <c r="CA9" s="203"/>
      <c r="CB9" s="203"/>
      <c r="CC9" s="203"/>
      <c r="CD9" s="203"/>
      <c r="CE9" s="203"/>
      <c r="CF9" s="203"/>
      <c r="CG9" s="203"/>
      <c r="CH9" s="203"/>
      <c r="CI9" s="204"/>
      <c r="CJ9" s="204"/>
      <c r="CK9" s="204"/>
      <c r="CL9" s="204"/>
      <c r="CM9" s="204"/>
      <c r="CN9" s="204"/>
      <c r="CO9" s="204"/>
      <c r="CP9" s="204"/>
      <c r="CQ9" s="205"/>
      <c r="CR9" s="205"/>
      <c r="CS9" s="205"/>
      <c r="CT9" s="205"/>
      <c r="CU9" s="205"/>
      <c r="CV9" s="205"/>
      <c r="CW9" s="205"/>
      <c r="CX9" s="205"/>
      <c r="CY9" s="206"/>
    </row>
    <row r="10" spans="1:103" s="181" customFormat="1" x14ac:dyDescent="0.2">
      <c r="A10" s="185" t="s">
        <v>204</v>
      </c>
      <c r="B10" s="185" t="s">
        <v>204</v>
      </c>
      <c r="C10" s="186" t="s">
        <v>20</v>
      </c>
      <c r="D10" s="185"/>
      <c r="E10" s="187"/>
      <c r="F10" s="187"/>
      <c r="G10" s="208"/>
      <c r="H10" s="189">
        <v>2021</v>
      </c>
      <c r="I10" s="190" t="s">
        <v>33</v>
      </c>
      <c r="J10" s="190">
        <v>10</v>
      </c>
      <c r="K10" s="191">
        <v>0.56402137344157643</v>
      </c>
      <c r="L10" s="191"/>
      <c r="M10" s="182">
        <v>1.522167487684729E-2</v>
      </c>
      <c r="N10" s="212">
        <v>5.7571428571428572E-2</v>
      </c>
      <c r="O10" s="207">
        <v>0.64161083743842362</v>
      </c>
      <c r="P10" s="207">
        <v>0.53382266009852219</v>
      </c>
      <c r="Q10" s="192">
        <v>2.5490443349753695</v>
      </c>
      <c r="R10" s="192">
        <v>2.1790344827586208</v>
      </c>
      <c r="S10" s="207">
        <v>0.7492512315270935</v>
      </c>
      <c r="T10" s="192">
        <v>6.7255566502463058</v>
      </c>
      <c r="U10" s="17">
        <f t="shared" si="0"/>
        <v>54.889178688094056</v>
      </c>
      <c r="V10" s="194" t="s">
        <v>234</v>
      </c>
      <c r="W10" s="183">
        <v>5.6462309847059529E-2</v>
      </c>
      <c r="X10" s="183">
        <v>3.7733985775730408E-2</v>
      </c>
      <c r="Y10" s="183">
        <v>5.2100561497443978E-2</v>
      </c>
      <c r="Z10" s="194">
        <v>2.1777794955048644E-2</v>
      </c>
      <c r="AA10" s="194">
        <v>8.4081721315387731E-3</v>
      </c>
      <c r="AB10" s="194">
        <v>7.6434139470555936E-3</v>
      </c>
      <c r="AC10" s="194" t="s">
        <v>235</v>
      </c>
      <c r="AD10" s="195">
        <v>0.18412623815387694</v>
      </c>
      <c r="AE10" s="152">
        <f t="shared" si="1"/>
        <v>0.1623484431988283</v>
      </c>
      <c r="AF10" s="185"/>
      <c r="AG10" s="214"/>
      <c r="AH10" s="209">
        <v>24.76489720336167</v>
      </c>
      <c r="AI10" s="197" t="s">
        <v>212</v>
      </c>
      <c r="AJ10" s="197" t="s">
        <v>36</v>
      </c>
      <c r="AK10" s="197" t="s">
        <v>213</v>
      </c>
      <c r="AL10" s="197" t="s">
        <v>133</v>
      </c>
      <c r="AM10" s="198">
        <v>0.14590950097336311</v>
      </c>
      <c r="AN10" s="196">
        <v>1.2500672649288578</v>
      </c>
      <c r="AO10" s="197">
        <v>0.28968235126537206</v>
      </c>
      <c r="AP10" s="197"/>
      <c r="AQ10" s="197">
        <v>0.53829352832249189</v>
      </c>
      <c r="AR10" s="197" t="s">
        <v>133</v>
      </c>
      <c r="AS10" s="197">
        <v>0.38504027982210415</v>
      </c>
      <c r="AT10" s="198">
        <v>0.2182549103398066</v>
      </c>
      <c r="AU10" s="197" t="s">
        <v>216</v>
      </c>
      <c r="AV10" s="197" t="s">
        <v>133</v>
      </c>
      <c r="AW10" s="197" t="s">
        <v>133</v>
      </c>
      <c r="AX10" s="198">
        <v>7.969707041451024E-2</v>
      </c>
      <c r="AY10" s="197" t="s">
        <v>133</v>
      </c>
      <c r="AZ10" s="197" t="s">
        <v>133</v>
      </c>
      <c r="BA10" s="197" t="s">
        <v>133</v>
      </c>
      <c r="BB10" s="197" t="s">
        <v>133</v>
      </c>
      <c r="BC10" s="199"/>
      <c r="BD10" s="199"/>
      <c r="BE10" s="199"/>
      <c r="BF10" s="199"/>
      <c r="BG10" s="199"/>
      <c r="BH10" s="199"/>
      <c r="BI10" s="199"/>
      <c r="BJ10" s="200"/>
      <c r="BK10" s="215"/>
      <c r="BL10" s="185"/>
      <c r="BM10" s="202"/>
      <c r="BN10" s="202">
        <v>120</v>
      </c>
      <c r="BO10" s="203"/>
      <c r="BP10" s="203"/>
      <c r="BQ10" s="203"/>
      <c r="BR10" s="203"/>
      <c r="BS10" s="203"/>
      <c r="BT10" s="203"/>
      <c r="BU10" s="203"/>
      <c r="BV10" s="203"/>
      <c r="BW10" s="203"/>
      <c r="BX10" s="203"/>
      <c r="BY10" s="203"/>
      <c r="BZ10" s="203"/>
      <c r="CA10" s="203"/>
      <c r="CB10" s="203"/>
      <c r="CC10" s="203"/>
      <c r="CD10" s="203"/>
      <c r="CE10" s="203"/>
      <c r="CF10" s="203"/>
      <c r="CG10" s="203"/>
      <c r="CH10" s="203"/>
      <c r="CI10" s="204"/>
      <c r="CJ10" s="204"/>
      <c r="CK10" s="204"/>
      <c r="CL10" s="204"/>
      <c r="CM10" s="204"/>
      <c r="CN10" s="204"/>
      <c r="CO10" s="204"/>
      <c r="CP10" s="204"/>
      <c r="CQ10" s="205"/>
      <c r="CR10" s="205"/>
      <c r="CS10" s="205"/>
      <c r="CT10" s="205"/>
      <c r="CU10" s="205"/>
      <c r="CV10" s="205"/>
      <c r="CW10" s="205"/>
      <c r="CX10" s="205"/>
      <c r="CY10" s="206"/>
    </row>
    <row r="11" spans="1:103" s="181" customFormat="1" x14ac:dyDescent="0.2">
      <c r="A11" s="185" t="s">
        <v>205</v>
      </c>
      <c r="B11" s="185" t="s">
        <v>205</v>
      </c>
      <c r="C11" s="186" t="s">
        <v>20</v>
      </c>
      <c r="D11" s="185"/>
      <c r="E11" s="187"/>
      <c r="F11" s="187"/>
      <c r="G11" s="208"/>
      <c r="H11" s="189">
        <v>2020</v>
      </c>
      <c r="I11" s="190" t="s">
        <v>33</v>
      </c>
      <c r="J11" s="190">
        <v>10</v>
      </c>
      <c r="K11" s="191">
        <v>0.66626287098730563</v>
      </c>
      <c r="L11" s="191"/>
      <c r="M11" s="182">
        <v>2.7262835097437928E-2</v>
      </c>
      <c r="N11" s="212">
        <v>5.9644870907112471E-2</v>
      </c>
      <c r="O11" s="207">
        <v>0.66828073993471171</v>
      </c>
      <c r="P11" s="207">
        <v>0.59709170046493221</v>
      </c>
      <c r="Q11" s="192">
        <v>2.8534375309130477</v>
      </c>
      <c r="R11" s="192">
        <v>2.4126026313186268</v>
      </c>
      <c r="S11" s="207">
        <v>0.98198634879810065</v>
      </c>
      <c r="T11" s="192">
        <v>7.6003066574339702</v>
      </c>
      <c r="U11" s="17">
        <f t="shared" si="0"/>
        <v>52.555944972524742</v>
      </c>
      <c r="V11" s="194" t="s">
        <v>236</v>
      </c>
      <c r="W11" s="194">
        <v>8.3172326779904299E-2</v>
      </c>
      <c r="X11" s="194">
        <v>4.2777718250608179E-2</v>
      </c>
      <c r="Y11" s="183">
        <v>4.4173612214956463E-2</v>
      </c>
      <c r="Z11" s="194" t="s">
        <v>236</v>
      </c>
      <c r="AA11" s="183">
        <v>1.4470331642116025E-2</v>
      </c>
      <c r="AB11" s="194">
        <v>8.9426372098588003E-3</v>
      </c>
      <c r="AC11" s="194" t="s">
        <v>237</v>
      </c>
      <c r="AD11" s="195">
        <v>0.19353662609744379</v>
      </c>
      <c r="AE11" s="152">
        <f t="shared" si="1"/>
        <v>0.19353662609744379</v>
      </c>
      <c r="AF11" s="185"/>
      <c r="AG11" s="216"/>
      <c r="AH11" s="209">
        <v>28.013422651658537</v>
      </c>
      <c r="AI11" s="197" t="s">
        <v>212</v>
      </c>
      <c r="AJ11" s="197" t="s">
        <v>36</v>
      </c>
      <c r="AK11" s="197" t="s">
        <v>213</v>
      </c>
      <c r="AL11" s="197" t="s">
        <v>133</v>
      </c>
      <c r="AM11" s="197" t="s">
        <v>133</v>
      </c>
      <c r="AN11" s="196">
        <v>1.8722316299764259</v>
      </c>
      <c r="AO11" s="197">
        <v>0.43769299731048922</v>
      </c>
      <c r="AP11" s="197"/>
      <c r="AQ11" s="197">
        <v>0.50199223030182305</v>
      </c>
      <c r="AR11" s="197" t="s">
        <v>133</v>
      </c>
      <c r="AS11" s="197">
        <v>0.39318325198392939</v>
      </c>
      <c r="AT11" s="198">
        <v>0.17016967161403862</v>
      </c>
      <c r="AU11" s="197" t="s">
        <v>216</v>
      </c>
      <c r="AV11" s="197" t="s">
        <v>133</v>
      </c>
      <c r="AW11" s="197" t="s">
        <v>133</v>
      </c>
      <c r="AX11" s="197">
        <v>7.3488395258491906E-2</v>
      </c>
      <c r="AY11" s="197" t="s">
        <v>133</v>
      </c>
      <c r="AZ11" s="197" t="s">
        <v>133</v>
      </c>
      <c r="BA11" s="197" t="s">
        <v>133</v>
      </c>
      <c r="BB11" s="197" t="s">
        <v>133</v>
      </c>
      <c r="BC11" s="199"/>
      <c r="BD11" s="199"/>
      <c r="BE11" s="199"/>
      <c r="BF11" s="199"/>
      <c r="BG11" s="199"/>
      <c r="BH11" s="199"/>
      <c r="BI11" s="199"/>
      <c r="BJ11" s="200"/>
      <c r="BK11" s="215"/>
      <c r="BL11" s="185"/>
      <c r="BM11" s="202"/>
      <c r="BN11" s="202">
        <v>90</v>
      </c>
      <c r="BO11" s="203"/>
      <c r="BP11" s="203"/>
      <c r="BQ11" s="203"/>
      <c r="BR11" s="203"/>
      <c r="BS11" s="203"/>
      <c r="BT11" s="203"/>
      <c r="BU11" s="203"/>
      <c r="BV11" s="203"/>
      <c r="BW11" s="203"/>
      <c r="BX11" s="203"/>
      <c r="BY11" s="203"/>
      <c r="BZ11" s="203"/>
      <c r="CA11" s="203"/>
      <c r="CB11" s="203"/>
      <c r="CC11" s="203"/>
      <c r="CD11" s="203"/>
      <c r="CE11" s="203"/>
      <c r="CF11" s="203"/>
      <c r="CG11" s="203"/>
      <c r="CH11" s="203"/>
      <c r="CI11" s="204"/>
      <c r="CJ11" s="204"/>
      <c r="CK11" s="204"/>
      <c r="CL11" s="204"/>
      <c r="CM11" s="204"/>
      <c r="CN11" s="204"/>
      <c r="CO11" s="204"/>
      <c r="CP11" s="204"/>
      <c r="CQ11" s="205"/>
      <c r="CR11" s="205"/>
      <c r="CS11" s="205"/>
      <c r="CT11" s="205"/>
      <c r="CU11" s="205"/>
      <c r="CV11" s="205"/>
      <c r="CW11" s="205"/>
      <c r="CX11" s="205"/>
      <c r="CY11" s="206"/>
    </row>
    <row r="12" spans="1:103" s="181" customFormat="1" x14ac:dyDescent="0.2">
      <c r="A12" s="185" t="s">
        <v>206</v>
      </c>
      <c r="B12" s="185" t="s">
        <v>206</v>
      </c>
      <c r="C12" s="186" t="s">
        <v>20</v>
      </c>
      <c r="D12" s="185"/>
      <c r="E12" s="187"/>
      <c r="F12" s="187"/>
      <c r="G12" s="208"/>
      <c r="H12" s="189">
        <v>2020</v>
      </c>
      <c r="I12" s="190" t="s">
        <v>33</v>
      </c>
      <c r="J12" s="190">
        <v>10</v>
      </c>
      <c r="K12" s="191">
        <v>0.48802129547473011</v>
      </c>
      <c r="L12" s="191"/>
      <c r="M12" s="207">
        <v>0.42442576483237221</v>
      </c>
      <c r="N12" s="192">
        <v>1.181971459290392</v>
      </c>
      <c r="O12" s="192">
        <v>4.3999462418140949</v>
      </c>
      <c r="P12" s="192">
        <v>3.5200469162349717</v>
      </c>
      <c r="Q12" s="193">
        <v>10.142293030984263</v>
      </c>
      <c r="R12" s="192">
        <v>9.274254716059037</v>
      </c>
      <c r="S12" s="192">
        <v>3.0173883295865505</v>
      </c>
      <c r="T12" s="193">
        <v>31.960326458801681</v>
      </c>
      <c r="U12" s="17">
        <f t="shared" si="0"/>
        <v>291.38359131337694</v>
      </c>
      <c r="V12" s="194" t="s">
        <v>238</v>
      </c>
      <c r="W12" s="195">
        <v>0.10411514286560092</v>
      </c>
      <c r="X12" s="194">
        <v>4.1398770456570887E-2</v>
      </c>
      <c r="Y12" s="194">
        <v>4.1745149915739507E-2</v>
      </c>
      <c r="Z12" s="194" t="s">
        <v>238</v>
      </c>
      <c r="AA12" s="194" t="s">
        <v>239</v>
      </c>
      <c r="AB12" s="194" t="s">
        <v>238</v>
      </c>
      <c r="AC12" s="194" t="s">
        <v>240</v>
      </c>
      <c r="AD12" s="195">
        <v>0.18725906323791131</v>
      </c>
      <c r="AE12" s="152">
        <f t="shared" si="1"/>
        <v>0.18725906323791133</v>
      </c>
      <c r="AF12" s="185"/>
      <c r="AG12" s="214"/>
      <c r="AH12" s="196">
        <v>7.5599953938277311</v>
      </c>
      <c r="AI12" s="197" t="s">
        <v>212</v>
      </c>
      <c r="AJ12" s="197" t="s">
        <v>36</v>
      </c>
      <c r="AK12" s="197" t="s">
        <v>213</v>
      </c>
      <c r="AL12" s="197" t="s">
        <v>133</v>
      </c>
      <c r="AM12" s="197" t="s">
        <v>133</v>
      </c>
      <c r="AN12" s="197">
        <v>0.7406571472439738</v>
      </c>
      <c r="AO12" s="197">
        <v>0.21303546752648556</v>
      </c>
      <c r="AP12" s="197"/>
      <c r="AQ12" s="197">
        <v>0.65882081989866437</v>
      </c>
      <c r="AR12" s="197" t="s">
        <v>133</v>
      </c>
      <c r="AS12" s="196">
        <v>1.2259941655151239</v>
      </c>
      <c r="AT12" s="197">
        <v>0.73485337018271168</v>
      </c>
      <c r="AU12" s="197" t="s">
        <v>216</v>
      </c>
      <c r="AV12" s="197" t="s">
        <v>133</v>
      </c>
      <c r="AW12" s="197" t="s">
        <v>133</v>
      </c>
      <c r="AX12" s="197" t="s">
        <v>133</v>
      </c>
      <c r="AY12" s="197" t="s">
        <v>133</v>
      </c>
      <c r="AZ12" s="197" t="s">
        <v>133</v>
      </c>
      <c r="BA12" s="197" t="s">
        <v>133</v>
      </c>
      <c r="BB12" s="197" t="s">
        <v>133</v>
      </c>
      <c r="BC12" s="199"/>
      <c r="BD12" s="199"/>
      <c r="BE12" s="199"/>
      <c r="BF12" s="199"/>
      <c r="BG12" s="199"/>
      <c r="BH12" s="199"/>
      <c r="BI12" s="199"/>
      <c r="BJ12" s="200"/>
      <c r="BK12" s="208"/>
      <c r="BL12" s="185"/>
      <c r="BM12" s="202"/>
      <c r="BN12" s="202">
        <v>200</v>
      </c>
      <c r="BO12" s="203"/>
      <c r="BP12" s="203"/>
      <c r="BQ12" s="203"/>
      <c r="BR12" s="203"/>
      <c r="BS12" s="203"/>
      <c r="BT12" s="203"/>
      <c r="BU12" s="203"/>
      <c r="BV12" s="203"/>
      <c r="BW12" s="203"/>
      <c r="BX12" s="203"/>
      <c r="BY12" s="203"/>
      <c r="BZ12" s="203"/>
      <c r="CA12" s="203"/>
      <c r="CB12" s="203"/>
      <c r="CC12" s="203"/>
      <c r="CD12" s="203"/>
      <c r="CE12" s="203"/>
      <c r="CF12" s="203"/>
      <c r="CG12" s="203"/>
      <c r="CH12" s="203"/>
      <c r="CI12" s="204"/>
      <c r="CJ12" s="204"/>
      <c r="CK12" s="204"/>
      <c r="CL12" s="204"/>
      <c r="CM12" s="204"/>
      <c r="CN12" s="204"/>
      <c r="CO12" s="204"/>
      <c r="CP12" s="204"/>
      <c r="CQ12" s="205"/>
      <c r="CR12" s="205"/>
      <c r="CS12" s="205"/>
      <c r="CT12" s="205"/>
      <c r="CU12" s="205"/>
      <c r="CV12" s="205"/>
      <c r="CW12" s="205"/>
      <c r="CX12" s="205"/>
      <c r="CY12" s="206"/>
    </row>
    <row r="13" spans="1:103" s="181" customFormat="1" x14ac:dyDescent="0.2">
      <c r="A13" s="185" t="s">
        <v>207</v>
      </c>
      <c r="B13" s="185" t="s">
        <v>207</v>
      </c>
      <c r="C13" s="186" t="s">
        <v>20</v>
      </c>
      <c r="D13" s="185"/>
      <c r="E13" s="187"/>
      <c r="F13" s="187"/>
      <c r="G13" s="208"/>
      <c r="H13" s="189">
        <v>2022</v>
      </c>
      <c r="I13" s="190" t="s">
        <v>33</v>
      </c>
      <c r="J13" s="190">
        <v>10</v>
      </c>
      <c r="K13" s="191">
        <v>0.65298118245927905</v>
      </c>
      <c r="L13" s="191"/>
      <c r="M13" s="207">
        <v>0.50920195439739413</v>
      </c>
      <c r="N13" s="192">
        <v>1.6076496335504886</v>
      </c>
      <c r="O13" s="192">
        <v>8.7354896172638448</v>
      </c>
      <c r="P13" s="192">
        <v>7.0583978013029318</v>
      </c>
      <c r="Q13" s="193">
        <v>18.717385993485344</v>
      </c>
      <c r="R13" s="193">
        <v>16.367324918566776</v>
      </c>
      <c r="S13" s="192">
        <v>4.8859527687296422</v>
      </c>
      <c r="T13" s="193">
        <v>57.881402687296422</v>
      </c>
      <c r="U13" s="17">
        <f t="shared" si="0"/>
        <v>389.16132846724793</v>
      </c>
      <c r="V13" s="194" t="s">
        <v>241</v>
      </c>
      <c r="W13" s="195">
        <v>0.16128667309218528</v>
      </c>
      <c r="X13" s="194">
        <v>4.9141992010761013E-2</v>
      </c>
      <c r="Y13" s="194">
        <v>5.7576874943663855E-2</v>
      </c>
      <c r="Z13" s="194">
        <v>2.0729818529981577E-2</v>
      </c>
      <c r="AA13" s="194">
        <v>1.3734975764403247E-2</v>
      </c>
      <c r="AB13" s="194">
        <v>3.8724312005625157E-2</v>
      </c>
      <c r="AC13" s="194" t="s">
        <v>242</v>
      </c>
      <c r="AD13" s="195">
        <v>0.34119464634662011</v>
      </c>
      <c r="AE13" s="152">
        <f t="shared" si="1"/>
        <v>0.32046482781663854</v>
      </c>
      <c r="AF13" s="185"/>
      <c r="AG13" s="214"/>
      <c r="AH13" s="196">
        <v>3.6754012645914393</v>
      </c>
      <c r="AI13" s="197" t="s">
        <v>212</v>
      </c>
      <c r="AJ13" s="198">
        <v>8.2941526156506698E-2</v>
      </c>
      <c r="AK13" s="197" t="s">
        <v>213</v>
      </c>
      <c r="AL13" s="197" t="s">
        <v>133</v>
      </c>
      <c r="AM13" s="197" t="s">
        <v>133</v>
      </c>
      <c r="AN13" s="197">
        <v>0.53792423259835709</v>
      </c>
      <c r="AO13" s="198">
        <v>8.5400453955901429E-2</v>
      </c>
      <c r="AP13" s="198"/>
      <c r="AQ13" s="197">
        <v>0.24189364461738003</v>
      </c>
      <c r="AR13" s="197" t="s">
        <v>133</v>
      </c>
      <c r="AS13" s="197">
        <v>0.40881701253782965</v>
      </c>
      <c r="AT13" s="198">
        <v>0.33461683960224814</v>
      </c>
      <c r="AU13" s="197" t="s">
        <v>216</v>
      </c>
      <c r="AV13" s="197" t="s">
        <v>133</v>
      </c>
      <c r="AW13" s="197" t="s">
        <v>133</v>
      </c>
      <c r="AX13" s="197" t="s">
        <v>133</v>
      </c>
      <c r="AY13" s="197" t="s">
        <v>133</v>
      </c>
      <c r="AZ13" s="197" t="s">
        <v>133</v>
      </c>
      <c r="BA13" s="197" t="s">
        <v>133</v>
      </c>
      <c r="BB13" s="197" t="s">
        <v>133</v>
      </c>
      <c r="BC13" s="199"/>
      <c r="BD13" s="199"/>
      <c r="BE13" s="199"/>
      <c r="BF13" s="199"/>
      <c r="BG13" s="199"/>
      <c r="BH13" s="199"/>
      <c r="BI13" s="199"/>
      <c r="BJ13" s="200"/>
      <c r="BK13" s="208"/>
      <c r="BL13" s="185"/>
      <c r="BM13" s="202"/>
      <c r="BN13" s="202">
        <v>260</v>
      </c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4"/>
      <c r="CJ13" s="204"/>
      <c r="CK13" s="204"/>
      <c r="CL13" s="204"/>
      <c r="CM13" s="204"/>
      <c r="CN13" s="204"/>
      <c r="CO13" s="204"/>
      <c r="CP13" s="204"/>
      <c r="CQ13" s="205"/>
      <c r="CR13" s="205"/>
      <c r="CS13" s="205"/>
      <c r="CT13" s="205"/>
      <c r="CU13" s="205"/>
      <c r="CV13" s="205"/>
      <c r="CW13" s="205"/>
      <c r="CX13" s="205"/>
      <c r="CY13" s="206"/>
    </row>
    <row r="14" spans="1:103" s="181" customFormat="1" x14ac:dyDescent="0.2">
      <c r="A14" s="185" t="s">
        <v>208</v>
      </c>
      <c r="B14" s="185" t="s">
        <v>208</v>
      </c>
      <c r="C14" s="186" t="s">
        <v>20</v>
      </c>
      <c r="D14" s="185"/>
      <c r="E14" s="217"/>
      <c r="F14" s="217"/>
      <c r="G14" s="208"/>
      <c r="H14" s="189">
        <v>2022</v>
      </c>
      <c r="I14" s="190" t="s">
        <v>33</v>
      </c>
      <c r="J14" s="190">
        <v>10</v>
      </c>
      <c r="K14" s="191">
        <v>0.73058563278617705</v>
      </c>
      <c r="L14" s="191"/>
      <c r="M14" s="182">
        <v>1.6602198697068405E-2</v>
      </c>
      <c r="N14" s="212">
        <v>6.4296620521172645E-2</v>
      </c>
      <c r="O14" s="207">
        <v>0.6523259364820847</v>
      </c>
      <c r="P14" s="207">
        <v>0.52186482084690555</v>
      </c>
      <c r="Q14" s="192">
        <v>2.4447068403908796</v>
      </c>
      <c r="R14" s="192">
        <v>1.9870724755700326</v>
      </c>
      <c r="S14" s="207">
        <v>0.77715798045602613</v>
      </c>
      <c r="T14" s="192">
        <v>6.4640268729641699</v>
      </c>
      <c r="U14" s="17">
        <f t="shared" si="0"/>
        <v>40.667115430781934</v>
      </c>
      <c r="V14" s="218" t="s">
        <v>243</v>
      </c>
      <c r="W14" s="218">
        <v>5.9307689370571882E-2</v>
      </c>
      <c r="X14" s="218">
        <v>2.3686840116865653E-2</v>
      </c>
      <c r="Y14" s="218">
        <v>2.6736920990871979E-2</v>
      </c>
      <c r="Z14" s="218" t="s">
        <v>243</v>
      </c>
      <c r="AA14" s="218" t="s">
        <v>244</v>
      </c>
      <c r="AB14" s="218" t="s">
        <v>243</v>
      </c>
      <c r="AC14" s="194" t="s">
        <v>245</v>
      </c>
      <c r="AD14" s="195">
        <v>0.10973145047830951</v>
      </c>
      <c r="AE14" s="152">
        <f t="shared" si="1"/>
        <v>0.10973145047830953</v>
      </c>
      <c r="AF14" s="185"/>
      <c r="AG14" s="219"/>
      <c r="AH14" s="209">
        <v>25.227138223410918</v>
      </c>
      <c r="AI14" s="197" t="s">
        <v>212</v>
      </c>
      <c r="AJ14" s="198">
        <v>7.8662341850186848E-2</v>
      </c>
      <c r="AK14" s="197" t="s">
        <v>213</v>
      </c>
      <c r="AL14" s="197" t="s">
        <v>133</v>
      </c>
      <c r="AM14" s="197" t="s">
        <v>133</v>
      </c>
      <c r="AN14" s="196">
        <v>1.3403327073730535</v>
      </c>
      <c r="AO14" s="197">
        <v>0.41603596426335859</v>
      </c>
      <c r="AP14" s="197"/>
      <c r="AQ14" s="197">
        <v>0.62425311557502994</v>
      </c>
      <c r="AR14" s="197" t="s">
        <v>133</v>
      </c>
      <c r="AS14" s="197">
        <v>0.52332176255240048</v>
      </c>
      <c r="AT14" s="198">
        <v>0.18372882641931751</v>
      </c>
      <c r="AU14" s="197" t="s">
        <v>216</v>
      </c>
      <c r="AV14" s="197" t="s">
        <v>133</v>
      </c>
      <c r="AW14" s="197" t="s">
        <v>133</v>
      </c>
      <c r="AX14" s="197" t="s">
        <v>133</v>
      </c>
      <c r="AY14" s="197" t="s">
        <v>133</v>
      </c>
      <c r="AZ14" s="197" t="s">
        <v>133</v>
      </c>
      <c r="BA14" s="197" t="s">
        <v>133</v>
      </c>
      <c r="BB14" s="197" t="s">
        <v>133</v>
      </c>
      <c r="BC14" s="199"/>
      <c r="BD14" s="199"/>
      <c r="BE14" s="199"/>
      <c r="BF14" s="199"/>
      <c r="BG14" s="199"/>
      <c r="BH14" s="199"/>
      <c r="BI14" s="199"/>
      <c r="BJ14" s="200"/>
      <c r="BK14" s="208"/>
      <c r="BL14" s="185"/>
      <c r="BM14" s="202"/>
      <c r="BN14" s="202">
        <v>140</v>
      </c>
      <c r="BO14" s="203"/>
      <c r="BP14" s="203"/>
      <c r="BQ14" s="203"/>
      <c r="BR14" s="203"/>
      <c r="BS14" s="203"/>
      <c r="BT14" s="203"/>
      <c r="BU14" s="203"/>
      <c r="BV14" s="203"/>
      <c r="BW14" s="203"/>
      <c r="BX14" s="203"/>
      <c r="BY14" s="203"/>
      <c r="BZ14" s="203"/>
      <c r="CA14" s="203"/>
      <c r="CB14" s="203"/>
      <c r="CC14" s="203"/>
      <c r="CD14" s="203"/>
      <c r="CE14" s="203"/>
      <c r="CF14" s="203"/>
      <c r="CG14" s="203"/>
      <c r="CH14" s="203"/>
      <c r="CI14" s="204"/>
      <c r="CJ14" s="204"/>
      <c r="CK14" s="204"/>
      <c r="CL14" s="204"/>
      <c r="CM14" s="204"/>
      <c r="CN14" s="204"/>
      <c r="CO14" s="204"/>
      <c r="CP14" s="204"/>
      <c r="CQ14" s="205"/>
      <c r="CR14" s="205"/>
      <c r="CS14" s="205"/>
      <c r="CT14" s="205"/>
      <c r="CU14" s="205"/>
      <c r="CV14" s="205"/>
      <c r="CW14" s="205"/>
      <c r="CX14" s="205"/>
      <c r="CY14" s="206"/>
    </row>
    <row r="15" spans="1:103" x14ac:dyDescent="0.2">
      <c r="A15" s="185" t="s">
        <v>27</v>
      </c>
      <c r="B15" s="185" t="s">
        <v>27</v>
      </c>
      <c r="C15" s="186" t="s">
        <v>20</v>
      </c>
      <c r="D15" s="185"/>
      <c r="E15" s="217"/>
      <c r="F15" s="217"/>
      <c r="G15" s="188">
        <v>45201</v>
      </c>
      <c r="H15" s="189">
        <v>2023</v>
      </c>
      <c r="I15" s="190" t="s">
        <v>33</v>
      </c>
      <c r="J15" s="190">
        <v>10</v>
      </c>
      <c r="K15" s="191">
        <v>0.61740590733972145</v>
      </c>
      <c r="L15" s="191"/>
      <c r="M15" s="212">
        <v>7.8784552439876254E-2</v>
      </c>
      <c r="N15" s="207">
        <v>0.20930046901506835</v>
      </c>
      <c r="O15" s="207">
        <v>0.27039217642949803</v>
      </c>
      <c r="P15" s="207">
        <v>0.34141303263147388</v>
      </c>
      <c r="Q15" s="207">
        <v>0.60452549645743936</v>
      </c>
      <c r="R15" s="207">
        <v>0.5178425306855603</v>
      </c>
      <c r="S15" s="207">
        <v>0.11912483784053486</v>
      </c>
      <c r="T15" s="192">
        <v>2.1413830954994513</v>
      </c>
      <c r="U15" s="17">
        <f t="shared" si="0"/>
        <v>14.576877557130027</v>
      </c>
      <c r="V15" s="218" t="s">
        <v>246</v>
      </c>
      <c r="W15" s="220">
        <v>2.6367171829684042E-2</v>
      </c>
      <c r="X15" s="221">
        <v>6.808038361600416E-3</v>
      </c>
      <c r="Y15" s="218">
        <v>1.377765595311382E-2</v>
      </c>
      <c r="Z15" s="220" t="s">
        <v>246</v>
      </c>
      <c r="AA15" s="220" t="s">
        <v>247</v>
      </c>
      <c r="AB15" s="220" t="s">
        <v>246</v>
      </c>
      <c r="AC15" s="194" t="s">
        <v>248</v>
      </c>
      <c r="AD15" s="194">
        <v>4.6952866144398281E-2</v>
      </c>
      <c r="AE15" s="152">
        <f t="shared" si="1"/>
        <v>4.6952866144398281E-2</v>
      </c>
      <c r="AF15" s="185"/>
      <c r="AG15" s="219"/>
      <c r="AH15" s="196">
        <v>5.3173383187924124</v>
      </c>
      <c r="AI15" s="197" t="s">
        <v>212</v>
      </c>
      <c r="AJ15" s="197" t="s">
        <v>36</v>
      </c>
      <c r="AK15" s="197" t="s">
        <v>213</v>
      </c>
      <c r="AL15" s="197" t="s">
        <v>133</v>
      </c>
      <c r="AM15" s="197" t="s">
        <v>133</v>
      </c>
      <c r="AN15" s="197">
        <v>0.2398867500653957</v>
      </c>
      <c r="AO15" s="197" t="s">
        <v>133</v>
      </c>
      <c r="AP15" s="197"/>
      <c r="AQ15" s="197">
        <v>0.15851913400729359</v>
      </c>
      <c r="AR15" s="197" t="s">
        <v>133</v>
      </c>
      <c r="AS15" s="197" t="s">
        <v>223</v>
      </c>
      <c r="AT15" s="197" t="s">
        <v>224</v>
      </c>
      <c r="AU15" s="197" t="s">
        <v>216</v>
      </c>
      <c r="AV15" s="197" t="s">
        <v>133</v>
      </c>
      <c r="AW15" s="197" t="s">
        <v>133</v>
      </c>
      <c r="AX15" s="197" t="s">
        <v>133</v>
      </c>
      <c r="AY15" s="197" t="s">
        <v>133</v>
      </c>
      <c r="AZ15" s="197" t="s">
        <v>133</v>
      </c>
      <c r="BA15" s="197" t="s">
        <v>133</v>
      </c>
      <c r="BB15" s="197" t="s">
        <v>133</v>
      </c>
      <c r="BC15" s="199"/>
      <c r="BD15" s="199"/>
      <c r="BE15" s="199"/>
      <c r="BF15" s="199"/>
      <c r="BG15" s="199"/>
      <c r="BH15" s="199"/>
      <c r="BI15" s="199"/>
      <c r="BJ15" s="200"/>
      <c r="BK15" s="208"/>
      <c r="BL15" s="185"/>
      <c r="BM15" s="202"/>
      <c r="BN15" s="202">
        <v>55</v>
      </c>
      <c r="BO15" s="203"/>
      <c r="BP15" s="203"/>
      <c r="BQ15" s="203"/>
      <c r="BR15" s="203"/>
      <c r="BS15" s="203"/>
      <c r="BT15" s="203"/>
      <c r="BU15" s="203"/>
      <c r="BV15" s="203"/>
      <c r="BW15" s="203"/>
      <c r="BX15" s="203"/>
      <c r="BY15" s="203"/>
      <c r="BZ15" s="203"/>
      <c r="CA15" s="203"/>
      <c r="CB15" s="203"/>
      <c r="CC15" s="203"/>
      <c r="CD15" s="203"/>
      <c r="CE15" s="203"/>
      <c r="CF15" s="203"/>
      <c r="CG15" s="203"/>
      <c r="CH15" s="203"/>
      <c r="CI15" s="204"/>
      <c r="CJ15" s="204"/>
      <c r="CK15" s="204"/>
      <c r="CL15" s="204"/>
      <c r="CM15" s="204"/>
      <c r="CN15" s="204"/>
      <c r="CO15" s="204"/>
      <c r="CP15" s="204"/>
      <c r="CQ15" s="205"/>
      <c r="CR15" s="205"/>
      <c r="CS15" s="205"/>
      <c r="CT15" s="205"/>
      <c r="CU15" s="205"/>
      <c r="CV15" s="205"/>
      <c r="CW15" s="205"/>
      <c r="CX15" s="205"/>
      <c r="CY15" s="206"/>
    </row>
    <row r="16" spans="1:103" x14ac:dyDescent="0.2">
      <c r="A16" s="185" t="s">
        <v>9</v>
      </c>
      <c r="B16" s="185" t="s">
        <v>9</v>
      </c>
      <c r="C16" s="186" t="s">
        <v>20</v>
      </c>
      <c r="D16" s="185"/>
      <c r="E16" s="217"/>
      <c r="F16" s="217"/>
      <c r="G16" s="208"/>
      <c r="H16" s="189">
        <v>2023</v>
      </c>
      <c r="I16" s="190" t="s">
        <v>33</v>
      </c>
      <c r="J16" s="190">
        <v>10</v>
      </c>
      <c r="K16" s="191">
        <v>0.44437736861528004</v>
      </c>
      <c r="L16" s="191"/>
      <c r="M16" s="182">
        <v>1.8747478822105687E-2</v>
      </c>
      <c r="N16" s="212">
        <v>4.3944130697862037E-2</v>
      </c>
      <c r="O16" s="207">
        <v>0.50328257361839446</v>
      </c>
      <c r="P16" s="207">
        <v>0.3623537716821299</v>
      </c>
      <c r="Q16" s="192">
        <v>1.7941306978620413</v>
      </c>
      <c r="R16" s="192">
        <v>1.4217123840258168</v>
      </c>
      <c r="S16" s="207">
        <v>0.55446752722872128</v>
      </c>
      <c r="T16" s="192">
        <v>4.6986385639370711</v>
      </c>
      <c r="U16" s="17">
        <f t="shared" si="0"/>
        <v>48.790567415338863</v>
      </c>
      <c r="V16" s="194" t="s">
        <v>249</v>
      </c>
      <c r="W16" s="194">
        <v>3.5733829420005081E-2</v>
      </c>
      <c r="X16" s="194">
        <v>1.3955212647096787E-2</v>
      </c>
      <c r="Y16" s="194">
        <v>1.6885135579140641E-2</v>
      </c>
      <c r="Z16" s="194" t="s">
        <v>249</v>
      </c>
      <c r="AA16" s="194" t="s">
        <v>250</v>
      </c>
      <c r="AB16" s="194" t="s">
        <v>249</v>
      </c>
      <c r="AC16" s="194" t="s">
        <v>251</v>
      </c>
      <c r="AD16" s="194">
        <v>6.6574177646242516E-2</v>
      </c>
      <c r="AE16" s="152">
        <f t="shared" si="1"/>
        <v>6.6574177646242516E-2</v>
      </c>
      <c r="AF16" s="185"/>
      <c r="AG16" s="219"/>
      <c r="AH16" s="196">
        <v>2.1739130434782612</v>
      </c>
      <c r="AI16" s="197" t="s">
        <v>252</v>
      </c>
      <c r="AJ16" s="197">
        <v>0.22068885921089512</v>
      </c>
      <c r="AK16" s="197" t="s">
        <v>133</v>
      </c>
      <c r="AL16" s="197" t="s">
        <v>133</v>
      </c>
      <c r="AM16" s="197" t="s">
        <v>133</v>
      </c>
      <c r="AN16" s="197">
        <v>0.48414700499579566</v>
      </c>
      <c r="AO16" s="197" t="s">
        <v>133</v>
      </c>
      <c r="AP16" s="197"/>
      <c r="AQ16" s="198">
        <v>0.23869350876325207</v>
      </c>
      <c r="AR16" s="197" t="s">
        <v>133</v>
      </c>
      <c r="AS16" s="198">
        <v>0.10443356251339632</v>
      </c>
      <c r="AT16" s="197" t="s">
        <v>253</v>
      </c>
      <c r="AU16" s="197" t="s">
        <v>254</v>
      </c>
      <c r="AV16" s="197" t="s">
        <v>133</v>
      </c>
      <c r="AW16" s="197" t="s">
        <v>133</v>
      </c>
      <c r="AX16" s="197" t="s">
        <v>133</v>
      </c>
      <c r="AY16" s="197" t="s">
        <v>133</v>
      </c>
      <c r="AZ16" s="197" t="s">
        <v>133</v>
      </c>
      <c r="BA16" s="197" t="s">
        <v>133</v>
      </c>
      <c r="BB16" s="197" t="s">
        <v>133</v>
      </c>
      <c r="BC16" s="199"/>
      <c r="BD16" s="199"/>
      <c r="BE16" s="199"/>
      <c r="BF16" s="199"/>
      <c r="BG16" s="199"/>
      <c r="BH16" s="199"/>
      <c r="BI16" s="199"/>
      <c r="BJ16" s="200"/>
      <c r="BK16" s="208"/>
      <c r="BL16" s="185"/>
      <c r="BM16" s="202"/>
      <c r="BN16" s="202">
        <v>31</v>
      </c>
      <c r="BO16" s="203"/>
      <c r="BP16" s="203"/>
      <c r="BQ16" s="203"/>
      <c r="BR16" s="203"/>
      <c r="BS16" s="203"/>
      <c r="BT16" s="203"/>
      <c r="BU16" s="203"/>
      <c r="BV16" s="203"/>
      <c r="BW16" s="203"/>
      <c r="BX16" s="203"/>
      <c r="BY16" s="203"/>
      <c r="BZ16" s="203"/>
      <c r="CA16" s="203"/>
      <c r="CB16" s="203"/>
      <c r="CC16" s="203"/>
      <c r="CD16" s="203"/>
      <c r="CE16" s="203"/>
      <c r="CF16" s="203"/>
      <c r="CG16" s="203"/>
      <c r="CH16" s="203"/>
      <c r="CI16" s="204"/>
      <c r="CJ16" s="204"/>
      <c r="CK16" s="204"/>
      <c r="CL16" s="204"/>
      <c r="CM16" s="204"/>
      <c r="CN16" s="204"/>
      <c r="CO16" s="204"/>
      <c r="CP16" s="204"/>
      <c r="CQ16" s="205"/>
      <c r="CR16" s="205"/>
      <c r="CS16" s="205"/>
      <c r="CT16" s="205"/>
      <c r="CU16" s="205"/>
      <c r="CV16" s="205"/>
      <c r="CW16" s="205"/>
      <c r="CX16" s="205"/>
      <c r="CY16" s="206"/>
    </row>
    <row r="17" spans="1:112" s="181" customFormat="1" x14ac:dyDescent="0.2">
      <c r="A17" s="185" t="s">
        <v>209</v>
      </c>
      <c r="B17" s="185" t="s">
        <v>209</v>
      </c>
      <c r="C17" s="186" t="s">
        <v>20</v>
      </c>
      <c r="D17" s="214"/>
      <c r="E17" s="208"/>
      <c r="F17" s="208"/>
      <c r="G17" s="208"/>
      <c r="H17" s="189">
        <v>2021</v>
      </c>
      <c r="I17" s="190" t="s">
        <v>33</v>
      </c>
      <c r="J17" s="190">
        <v>10</v>
      </c>
      <c r="K17" s="191">
        <v>0.61660316823744066</v>
      </c>
      <c r="L17" s="191"/>
      <c r="M17" s="207">
        <v>0.474017489194894</v>
      </c>
      <c r="N17" s="192">
        <v>1.2912704794451704</v>
      </c>
      <c r="O17" s="192">
        <v>4.0869082319831138</v>
      </c>
      <c r="P17" s="192">
        <v>2.9437832948034979</v>
      </c>
      <c r="Q17" s="192">
        <v>6.3638456126243845</v>
      </c>
      <c r="R17" s="192">
        <v>6.0521660468388783</v>
      </c>
      <c r="S17" s="192">
        <v>1.619429088350588</v>
      </c>
      <c r="T17" s="193">
        <v>22.831420243240526</v>
      </c>
      <c r="U17" s="17">
        <f t="shared" si="0"/>
        <v>161.26771619813289</v>
      </c>
      <c r="V17" s="218" t="s">
        <v>255</v>
      </c>
      <c r="W17" s="218">
        <v>6.662265647338611E-2</v>
      </c>
      <c r="X17" s="218">
        <v>2.914336205561709E-2</v>
      </c>
      <c r="Y17" s="218">
        <v>4.5438680411655073E-2</v>
      </c>
      <c r="Z17" s="218" t="s">
        <v>255</v>
      </c>
      <c r="AA17" s="218" t="s">
        <v>256</v>
      </c>
      <c r="AB17" s="218" t="s">
        <v>255</v>
      </c>
      <c r="AC17" s="213" t="s">
        <v>257</v>
      </c>
      <c r="AD17" s="222">
        <v>0.14120469894065826</v>
      </c>
      <c r="AE17" s="152">
        <f t="shared" si="1"/>
        <v>0.14120469894065829</v>
      </c>
      <c r="AF17" s="214"/>
      <c r="AG17" s="216"/>
      <c r="AH17" s="196">
        <v>5.2617859003299197</v>
      </c>
      <c r="AI17" s="197" t="s">
        <v>212</v>
      </c>
      <c r="AJ17" s="197" t="s">
        <v>36</v>
      </c>
      <c r="AK17" s="197" t="s">
        <v>213</v>
      </c>
      <c r="AL17" s="197" t="s">
        <v>133</v>
      </c>
      <c r="AM17" s="198">
        <v>5.248306997742664E-2</v>
      </c>
      <c r="AN17" s="197">
        <v>0.78228280372749925</v>
      </c>
      <c r="AO17" s="198">
        <v>0.12988366035770102</v>
      </c>
      <c r="AP17" s="198"/>
      <c r="AQ17" s="197">
        <v>0.41326619204723053</v>
      </c>
      <c r="AR17" s="197" t="s">
        <v>133</v>
      </c>
      <c r="AS17" s="197">
        <v>0.84139318168663557</v>
      </c>
      <c r="AT17" s="198">
        <v>0.36389419459396899</v>
      </c>
      <c r="AU17" s="197" t="s">
        <v>216</v>
      </c>
      <c r="AV17" s="197" t="s">
        <v>133</v>
      </c>
      <c r="AW17" s="197" t="s">
        <v>133</v>
      </c>
      <c r="AX17" s="197" t="s">
        <v>133</v>
      </c>
      <c r="AY17" s="197" t="s">
        <v>133</v>
      </c>
      <c r="AZ17" s="197" t="s">
        <v>133</v>
      </c>
      <c r="BA17" s="197" t="s">
        <v>133</v>
      </c>
      <c r="BB17" s="197" t="s">
        <v>133</v>
      </c>
      <c r="BC17" s="199"/>
      <c r="BD17" s="199"/>
      <c r="BE17" s="199"/>
      <c r="BF17" s="199"/>
      <c r="BG17" s="199"/>
      <c r="BH17" s="199"/>
      <c r="BI17" s="199"/>
      <c r="BJ17" s="200"/>
      <c r="BK17" s="215"/>
      <c r="BL17" s="214"/>
      <c r="BM17" s="202"/>
      <c r="BN17" s="202">
        <v>200</v>
      </c>
      <c r="BO17" s="203"/>
      <c r="BP17" s="203"/>
      <c r="BQ17" s="203"/>
      <c r="BR17" s="203"/>
      <c r="BS17" s="203"/>
      <c r="BT17" s="203"/>
      <c r="BU17" s="203"/>
      <c r="BV17" s="203"/>
      <c r="BW17" s="203"/>
      <c r="BX17" s="203"/>
      <c r="BY17" s="203"/>
      <c r="BZ17" s="203"/>
      <c r="CA17" s="203"/>
      <c r="CB17" s="203"/>
      <c r="CC17" s="203"/>
      <c r="CD17" s="203"/>
      <c r="CE17" s="203"/>
      <c r="CF17" s="203"/>
      <c r="CG17" s="203"/>
      <c r="CH17" s="203"/>
      <c r="CI17" s="204"/>
      <c r="CJ17" s="204"/>
      <c r="CK17" s="204"/>
      <c r="CL17" s="204"/>
      <c r="CM17" s="204"/>
      <c r="CN17" s="204"/>
      <c r="CO17" s="204"/>
      <c r="CP17" s="204"/>
      <c r="CQ17" s="205"/>
      <c r="CR17" s="205"/>
      <c r="CS17" s="205"/>
      <c r="CT17" s="205"/>
      <c r="CU17" s="205"/>
      <c r="CV17" s="205"/>
      <c r="CW17" s="205"/>
      <c r="CX17" s="205"/>
      <c r="CY17" s="206"/>
    </row>
    <row r="18" spans="1:112" x14ac:dyDescent="0.2">
      <c r="A18" s="214" t="s">
        <v>4</v>
      </c>
      <c r="B18" s="214" t="s">
        <v>4</v>
      </c>
      <c r="C18" s="186" t="s">
        <v>20</v>
      </c>
      <c r="D18" s="214"/>
      <c r="E18" s="208"/>
      <c r="F18" s="208"/>
      <c r="G18" s="208"/>
      <c r="H18" s="189">
        <v>2023</v>
      </c>
      <c r="I18" s="190" t="s">
        <v>33</v>
      </c>
      <c r="J18" s="190">
        <v>10</v>
      </c>
      <c r="K18" s="191">
        <v>0.58601509733811841</v>
      </c>
      <c r="L18" s="191"/>
      <c r="M18" s="207">
        <v>0.58841197462331485</v>
      </c>
      <c r="N18" s="192">
        <v>1.3981017049960351</v>
      </c>
      <c r="O18" s="192">
        <v>4.3969518239492462</v>
      </c>
      <c r="P18" s="192">
        <v>3.7151070578905636</v>
      </c>
      <c r="Q18" s="192">
        <v>9.6532414750198257</v>
      </c>
      <c r="R18" s="192">
        <v>9.3263778747026187</v>
      </c>
      <c r="S18" s="192">
        <v>2.3216494845360827</v>
      </c>
      <c r="T18" s="193">
        <v>31.399841395717683</v>
      </c>
      <c r="U18" s="17">
        <f t="shared" si="0"/>
        <v>236.21178416375858</v>
      </c>
      <c r="V18" s="218" t="s">
        <v>258</v>
      </c>
      <c r="W18" s="220">
        <v>0.12186451116148768</v>
      </c>
      <c r="X18" s="218">
        <v>6.0208463498658847E-2</v>
      </c>
      <c r="Y18" s="220">
        <v>0.15515227409827095</v>
      </c>
      <c r="Z18" s="218" t="s">
        <v>258</v>
      </c>
      <c r="AA18" s="218">
        <v>3.0925645922536729E-2</v>
      </c>
      <c r="AB18" s="218">
        <v>3.5719134341939456E-2</v>
      </c>
      <c r="AC18" s="213" t="s">
        <v>259</v>
      </c>
      <c r="AD18" s="222">
        <v>0.40387002902289365</v>
      </c>
      <c r="AE18" s="152">
        <f t="shared" si="1"/>
        <v>0.40387002902289365</v>
      </c>
      <c r="AF18" s="214"/>
      <c r="AG18" s="219"/>
      <c r="AH18" s="196">
        <v>7.9481619052821308</v>
      </c>
      <c r="AI18" s="197" t="s">
        <v>252</v>
      </c>
      <c r="AJ18" s="198">
        <v>9.906957265891006E-2</v>
      </c>
      <c r="AK18" s="197" t="s">
        <v>133</v>
      </c>
      <c r="AL18" s="197" t="s">
        <v>133</v>
      </c>
      <c r="AM18" s="197" t="s">
        <v>133</v>
      </c>
      <c r="AN18" s="197">
        <v>0.43540722128147702</v>
      </c>
      <c r="AO18" s="197" t="s">
        <v>133</v>
      </c>
      <c r="AP18" s="197"/>
      <c r="AQ18" s="198">
        <v>0.25556708727080713</v>
      </c>
      <c r="AR18" s="197" t="s">
        <v>133</v>
      </c>
      <c r="AS18" s="197">
        <v>0.72657089273684017</v>
      </c>
      <c r="AT18" s="197">
        <v>0.48748201962819315</v>
      </c>
      <c r="AU18" s="198">
        <v>0.23016696709819556</v>
      </c>
      <c r="AV18" s="197" t="s">
        <v>133</v>
      </c>
      <c r="AW18" s="197" t="s">
        <v>133</v>
      </c>
      <c r="AX18" s="197" t="s">
        <v>133</v>
      </c>
      <c r="AY18" s="197" t="s">
        <v>133</v>
      </c>
      <c r="AZ18" s="197" t="s">
        <v>133</v>
      </c>
      <c r="BA18" s="197" t="s">
        <v>133</v>
      </c>
      <c r="BB18" s="197" t="s">
        <v>133</v>
      </c>
      <c r="BC18" s="199"/>
      <c r="BD18" s="199"/>
      <c r="BE18" s="199"/>
      <c r="BF18" s="199"/>
      <c r="BG18" s="199"/>
      <c r="BH18" s="199"/>
      <c r="BI18" s="199"/>
      <c r="BJ18" s="200"/>
      <c r="BK18" s="208"/>
      <c r="BL18" s="214"/>
      <c r="BM18" s="202"/>
      <c r="BN18" s="202">
        <v>26</v>
      </c>
      <c r="BO18" s="203"/>
      <c r="BP18" s="203"/>
      <c r="BQ18" s="203"/>
      <c r="BR18" s="203"/>
      <c r="BS18" s="203"/>
      <c r="BT18" s="203"/>
      <c r="BU18" s="203"/>
      <c r="BV18" s="203"/>
      <c r="BW18" s="203"/>
      <c r="BX18" s="203"/>
      <c r="BY18" s="203"/>
      <c r="BZ18" s="203"/>
      <c r="CA18" s="203"/>
      <c r="CB18" s="203"/>
      <c r="CC18" s="203"/>
      <c r="CD18" s="203"/>
      <c r="CE18" s="203"/>
      <c r="CF18" s="203"/>
      <c r="CG18" s="203"/>
      <c r="CH18" s="203"/>
      <c r="CI18" s="204"/>
      <c r="CJ18" s="204"/>
      <c r="CK18" s="204"/>
      <c r="CL18" s="204"/>
      <c r="CM18" s="204"/>
      <c r="CN18" s="204"/>
      <c r="CO18" s="204"/>
      <c r="CP18" s="204"/>
      <c r="CQ18" s="205"/>
      <c r="CR18" s="205"/>
      <c r="CS18" s="205"/>
      <c r="CT18" s="205"/>
      <c r="CU18" s="205"/>
      <c r="CV18" s="205"/>
      <c r="CW18" s="205"/>
      <c r="CX18" s="205"/>
      <c r="CY18" s="206"/>
    </row>
    <row r="19" spans="1:112" x14ac:dyDescent="0.2">
      <c r="A19" s="216" t="s">
        <v>28</v>
      </c>
      <c r="B19" s="216" t="s">
        <v>28</v>
      </c>
      <c r="C19" s="186" t="s">
        <v>20</v>
      </c>
      <c r="D19" s="216"/>
      <c r="E19" s="208"/>
      <c r="F19" s="208"/>
      <c r="G19" s="208"/>
      <c r="H19" s="189">
        <v>2023</v>
      </c>
      <c r="I19" s="190" t="s">
        <v>33</v>
      </c>
      <c r="J19" s="190">
        <v>10</v>
      </c>
      <c r="K19" s="191">
        <v>0.49582021863469222</v>
      </c>
      <c r="L19" s="191"/>
      <c r="M19" s="207">
        <v>0.14100828450191957</v>
      </c>
      <c r="N19" s="207">
        <v>0.36782683370377856</v>
      </c>
      <c r="O19" s="192">
        <v>1.6967316629622149</v>
      </c>
      <c r="P19" s="192">
        <v>1.7767023641139623</v>
      </c>
      <c r="Q19" s="192">
        <v>4.7879268539098812</v>
      </c>
      <c r="R19" s="192">
        <v>3.9360577894524149</v>
      </c>
      <c r="S19" s="192">
        <v>1.1728227924833299</v>
      </c>
      <c r="T19" s="193">
        <v>13.879076581127501</v>
      </c>
      <c r="U19" s="17">
        <f t="shared" si="0"/>
        <v>122.04397644713902</v>
      </c>
      <c r="V19" s="218" t="s">
        <v>260</v>
      </c>
      <c r="W19" s="218">
        <v>6.0478701419786174E-2</v>
      </c>
      <c r="X19" s="218">
        <v>4.3923421137664176E-2</v>
      </c>
      <c r="Y19" s="184">
        <v>6.635884412198248E-2</v>
      </c>
      <c r="Z19" s="218">
        <v>1.6452219108257584E-2</v>
      </c>
      <c r="AA19" s="218">
        <v>2.1858461904596269E-2</v>
      </c>
      <c r="AB19" s="218">
        <v>2.0486490962501221E-2</v>
      </c>
      <c r="AC19" s="213" t="s">
        <v>261</v>
      </c>
      <c r="AD19" s="222">
        <v>0.22955813865478791</v>
      </c>
      <c r="AE19" s="152">
        <f t="shared" si="1"/>
        <v>0.2131059195465303</v>
      </c>
      <c r="AF19" s="216"/>
      <c r="AG19" s="219"/>
      <c r="AH19" s="196">
        <v>6.2683171476770161</v>
      </c>
      <c r="AI19" s="197" t="s">
        <v>252</v>
      </c>
      <c r="AJ19" s="197" t="s">
        <v>36</v>
      </c>
      <c r="AK19" s="197" t="s">
        <v>133</v>
      </c>
      <c r="AL19" s="197" t="s">
        <v>133</v>
      </c>
      <c r="AM19" s="198">
        <v>5.6338242222526182E-2</v>
      </c>
      <c r="AN19" s="197">
        <v>0.27059681758081433</v>
      </c>
      <c r="AO19" s="197" t="s">
        <v>133</v>
      </c>
      <c r="AP19" s="197"/>
      <c r="AQ19" s="198">
        <v>0.17834617547379142</v>
      </c>
      <c r="AR19" s="197" t="s">
        <v>133</v>
      </c>
      <c r="AS19" s="198">
        <v>0.1305946898889041</v>
      </c>
      <c r="AT19" s="197" t="s">
        <v>253</v>
      </c>
      <c r="AU19" s="197" t="s">
        <v>254</v>
      </c>
      <c r="AV19" s="197" t="s">
        <v>133</v>
      </c>
      <c r="AW19" s="197" t="s">
        <v>133</v>
      </c>
      <c r="AX19" s="197" t="s">
        <v>133</v>
      </c>
      <c r="AY19" s="197" t="s">
        <v>133</v>
      </c>
      <c r="AZ19" s="197" t="s">
        <v>133</v>
      </c>
      <c r="BA19" s="197" t="s">
        <v>133</v>
      </c>
      <c r="BB19" s="197" t="s">
        <v>133</v>
      </c>
      <c r="BC19" s="199"/>
      <c r="BD19" s="199"/>
      <c r="BE19" s="199"/>
      <c r="BF19" s="199"/>
      <c r="BG19" s="199"/>
      <c r="BH19" s="199"/>
      <c r="BI19" s="199"/>
      <c r="BJ19" s="200"/>
      <c r="BK19" s="208"/>
      <c r="BL19" s="216"/>
      <c r="BM19" s="202"/>
      <c r="BN19" s="202">
        <v>60</v>
      </c>
      <c r="BO19" s="203"/>
      <c r="BP19" s="203"/>
      <c r="BQ19" s="203"/>
      <c r="BR19" s="203"/>
      <c r="BS19" s="203"/>
      <c r="BT19" s="203"/>
      <c r="BU19" s="203"/>
      <c r="BV19" s="203"/>
      <c r="BW19" s="203"/>
      <c r="BX19" s="203"/>
      <c r="BY19" s="203"/>
      <c r="BZ19" s="203"/>
      <c r="CA19" s="203"/>
      <c r="CB19" s="203"/>
      <c r="CC19" s="203"/>
      <c r="CD19" s="203"/>
      <c r="CE19" s="203"/>
      <c r="CF19" s="203"/>
      <c r="CG19" s="203"/>
      <c r="CH19" s="203"/>
      <c r="CI19" s="204"/>
      <c r="CJ19" s="204"/>
      <c r="CK19" s="204"/>
      <c r="CL19" s="204"/>
      <c r="CM19" s="204"/>
      <c r="CN19" s="204"/>
      <c r="CO19" s="204"/>
      <c r="CP19" s="204"/>
      <c r="CQ19" s="205"/>
      <c r="CR19" s="205"/>
      <c r="CS19" s="205"/>
      <c r="CT19" s="205"/>
      <c r="CU19" s="205"/>
      <c r="CV19" s="205"/>
      <c r="CW19" s="205"/>
      <c r="CX19" s="205"/>
      <c r="CY19" s="206"/>
    </row>
    <row r="20" spans="1:112" x14ac:dyDescent="0.2">
      <c r="A20" s="216" t="s">
        <v>170</v>
      </c>
      <c r="B20" s="216" t="s">
        <v>170</v>
      </c>
      <c r="C20" s="186" t="s">
        <v>20</v>
      </c>
      <c r="D20" s="216"/>
      <c r="E20" s="208"/>
      <c r="F20" s="208"/>
      <c r="G20" s="208"/>
      <c r="H20" s="189">
        <v>2023</v>
      </c>
      <c r="I20" s="190" t="s">
        <v>33</v>
      </c>
      <c r="J20" s="190">
        <v>10</v>
      </c>
      <c r="K20" s="191">
        <v>0.44128997617375354</v>
      </c>
      <c r="L20" s="191"/>
      <c r="M20" s="182">
        <v>3.2157842157842197E-2</v>
      </c>
      <c r="N20" s="207">
        <v>0.40673826173826177</v>
      </c>
      <c r="O20" s="192">
        <v>2.5939310689310693</v>
      </c>
      <c r="P20" s="192">
        <v>2.4604145854145854</v>
      </c>
      <c r="Q20" s="192">
        <v>5.9498501498501497</v>
      </c>
      <c r="R20" s="192">
        <v>5.1003696303696309</v>
      </c>
      <c r="S20" s="192">
        <v>1.5844605394605393</v>
      </c>
      <c r="T20" s="193">
        <v>18.127922077922079</v>
      </c>
      <c r="U20" s="17">
        <f t="shared" si="0"/>
        <v>177.519412839989</v>
      </c>
      <c r="V20" s="218" t="s">
        <v>262</v>
      </c>
      <c r="W20" s="218">
        <v>3.1750337063829286E-2</v>
      </c>
      <c r="X20" s="218">
        <v>2.6677600545741555E-2</v>
      </c>
      <c r="Y20" s="218">
        <v>1.8364535212560058E-2</v>
      </c>
      <c r="Z20" s="218">
        <v>1.3535739471882186E-2</v>
      </c>
      <c r="AA20" s="218" t="s">
        <v>263</v>
      </c>
      <c r="AB20" s="218" t="s">
        <v>262</v>
      </c>
      <c r="AC20" s="213" t="s">
        <v>264</v>
      </c>
      <c r="AD20" s="213">
        <v>9.0328212294013083E-2</v>
      </c>
      <c r="AE20" s="152">
        <f t="shared" si="1"/>
        <v>7.6792472822130906E-2</v>
      </c>
      <c r="AF20" s="216"/>
      <c r="AG20" s="219"/>
      <c r="AH20" s="196">
        <v>5.2129577464788737</v>
      </c>
      <c r="AI20" s="197" t="s">
        <v>252</v>
      </c>
      <c r="AJ20" s="198">
        <v>0.17085446009389677</v>
      </c>
      <c r="AK20" s="197" t="s">
        <v>133</v>
      </c>
      <c r="AL20" s="197" t="s">
        <v>133</v>
      </c>
      <c r="AM20" s="197" t="s">
        <v>133</v>
      </c>
      <c r="AN20" s="197">
        <v>0.67988732394366225</v>
      </c>
      <c r="AO20" s="198">
        <v>6.1690140845070442E-2</v>
      </c>
      <c r="AP20" s="198"/>
      <c r="AQ20" s="197">
        <v>0.37710798122065736</v>
      </c>
      <c r="AR20" s="197" t="s">
        <v>133</v>
      </c>
      <c r="AS20" s="197">
        <v>0.41348356807511749</v>
      </c>
      <c r="AT20" s="198">
        <v>0.18627230046948362</v>
      </c>
      <c r="AU20" s="197" t="s">
        <v>254</v>
      </c>
      <c r="AV20" s="197" t="s">
        <v>133</v>
      </c>
      <c r="AW20" s="197" t="s">
        <v>133</v>
      </c>
      <c r="AX20" s="197" t="s">
        <v>133</v>
      </c>
      <c r="AY20" s="197" t="s">
        <v>133</v>
      </c>
      <c r="AZ20" s="197" t="s">
        <v>133</v>
      </c>
      <c r="BA20" s="197" t="s">
        <v>133</v>
      </c>
      <c r="BB20" s="197" t="s">
        <v>133</v>
      </c>
      <c r="BC20" s="199"/>
      <c r="BD20" s="199"/>
      <c r="BE20" s="199"/>
      <c r="BF20" s="199"/>
      <c r="BG20" s="199"/>
      <c r="BH20" s="199"/>
      <c r="BI20" s="199"/>
      <c r="BJ20" s="200"/>
      <c r="BK20" s="208"/>
      <c r="BL20" s="216"/>
      <c r="BM20" s="202"/>
      <c r="BN20" s="202">
        <v>79</v>
      </c>
      <c r="BO20" s="203"/>
      <c r="BP20" s="203"/>
      <c r="BQ20" s="203"/>
      <c r="BR20" s="203"/>
      <c r="BS20" s="203"/>
      <c r="BT20" s="203"/>
      <c r="BU20" s="203"/>
      <c r="BV20" s="203"/>
      <c r="BW20" s="203"/>
      <c r="BX20" s="203"/>
      <c r="BY20" s="203"/>
      <c r="BZ20" s="203"/>
      <c r="CA20" s="203"/>
      <c r="CB20" s="203"/>
      <c r="CC20" s="203"/>
      <c r="CD20" s="203"/>
      <c r="CE20" s="203"/>
      <c r="CF20" s="203"/>
      <c r="CG20" s="203"/>
      <c r="CH20" s="203"/>
      <c r="CI20" s="204"/>
      <c r="CJ20" s="204"/>
      <c r="CK20" s="204"/>
      <c r="CL20" s="204"/>
      <c r="CM20" s="204"/>
      <c r="CN20" s="204"/>
      <c r="CO20" s="204"/>
      <c r="CP20" s="204"/>
      <c r="CQ20" s="205"/>
      <c r="CR20" s="205"/>
      <c r="CS20" s="205"/>
      <c r="CT20" s="205"/>
      <c r="CU20" s="205"/>
      <c r="CV20" s="205"/>
      <c r="CW20" s="205"/>
      <c r="CX20" s="205"/>
      <c r="CY20" s="206"/>
    </row>
    <row r="21" spans="1:112" x14ac:dyDescent="0.2">
      <c r="A21" s="214" t="s">
        <v>7</v>
      </c>
      <c r="B21" s="214" t="s">
        <v>7</v>
      </c>
      <c r="C21" s="186" t="s">
        <v>20</v>
      </c>
      <c r="D21" s="214"/>
      <c r="E21" s="208"/>
      <c r="F21" s="208"/>
      <c r="G21" s="208"/>
      <c r="H21" s="189">
        <v>2023</v>
      </c>
      <c r="I21" s="190" t="s">
        <v>33</v>
      </c>
      <c r="J21" s="190">
        <v>10</v>
      </c>
      <c r="K21" s="191">
        <v>0.52812820767527036</v>
      </c>
      <c r="L21" s="191"/>
      <c r="M21" s="212" t="s">
        <v>39</v>
      </c>
      <c r="N21" s="207">
        <v>0.1671370568429392</v>
      </c>
      <c r="O21" s="207">
        <v>0.75572885719944538</v>
      </c>
      <c r="P21" s="207">
        <v>0.84384036442859967</v>
      </c>
      <c r="Q21" s="192">
        <v>2.0887799564270151</v>
      </c>
      <c r="R21" s="192">
        <v>1.7742424242424242</v>
      </c>
      <c r="S21" s="207">
        <v>0.61489403842345014</v>
      </c>
      <c r="T21" s="192">
        <v>6.244622697563873</v>
      </c>
      <c r="U21" s="17">
        <f t="shared" si="0"/>
        <v>51.131356502510911</v>
      </c>
      <c r="V21" s="218" t="s">
        <v>265</v>
      </c>
      <c r="W21" s="218">
        <v>4.6994580917299945E-2</v>
      </c>
      <c r="X21" s="218">
        <v>3.6402669525009E-2</v>
      </c>
      <c r="Y21" s="218">
        <v>3.7186949837162302E-2</v>
      </c>
      <c r="Z21" s="218">
        <v>1.4516155372622517E-2</v>
      </c>
      <c r="AA21" s="218" t="s">
        <v>266</v>
      </c>
      <c r="AB21" s="184" t="s">
        <v>265</v>
      </c>
      <c r="AC21" s="213" t="s">
        <v>267</v>
      </c>
      <c r="AD21" s="222">
        <v>0.13510035565209377</v>
      </c>
      <c r="AE21" s="152">
        <f t="shared" si="1"/>
        <v>0.12058420027947125</v>
      </c>
      <c r="AF21" s="214"/>
      <c r="AG21" s="219"/>
      <c r="AH21" s="196">
        <v>4.5638737073880398</v>
      </c>
      <c r="AI21" s="197" t="s">
        <v>252</v>
      </c>
      <c r="AJ21" s="198">
        <v>0.10091875384998494</v>
      </c>
      <c r="AK21" s="197" t="s">
        <v>133</v>
      </c>
      <c r="AL21" s="197" t="s">
        <v>133</v>
      </c>
      <c r="AM21" s="198">
        <v>0.11810115466782005</v>
      </c>
      <c r="AN21" s="196">
        <v>1.467896040577203</v>
      </c>
      <c r="AO21" s="197">
        <v>0.40710887429717307</v>
      </c>
      <c r="AP21" s="197"/>
      <c r="AQ21" s="196">
        <v>1.2227290003800837</v>
      </c>
      <c r="AR21" s="197" t="s">
        <v>133</v>
      </c>
      <c r="AS21" s="196">
        <v>1.5006618697492762</v>
      </c>
      <c r="AT21" s="198">
        <v>0.26864048021599235</v>
      </c>
      <c r="AU21" s="197" t="s">
        <v>254</v>
      </c>
      <c r="AV21" s="197" t="s">
        <v>133</v>
      </c>
      <c r="AW21" s="197" t="s">
        <v>133</v>
      </c>
      <c r="AX21" s="197" t="s">
        <v>133</v>
      </c>
      <c r="AY21" s="197" t="s">
        <v>133</v>
      </c>
      <c r="AZ21" s="197" t="s">
        <v>133</v>
      </c>
      <c r="BA21" s="197" t="s">
        <v>133</v>
      </c>
      <c r="BB21" s="197" t="s">
        <v>133</v>
      </c>
      <c r="BC21" s="199"/>
      <c r="BD21" s="199"/>
      <c r="BE21" s="199"/>
      <c r="BF21" s="199"/>
      <c r="BG21" s="199"/>
      <c r="BH21" s="199"/>
      <c r="BI21" s="199"/>
      <c r="BJ21" s="200"/>
      <c r="BK21" s="208"/>
      <c r="BL21" s="214"/>
      <c r="BM21" s="202"/>
      <c r="BN21" s="202">
        <v>94</v>
      </c>
      <c r="BO21" s="203"/>
      <c r="BP21" s="203"/>
      <c r="BQ21" s="203"/>
      <c r="BR21" s="203"/>
      <c r="BS21" s="203"/>
      <c r="BT21" s="203"/>
      <c r="BU21" s="203"/>
      <c r="BV21" s="203"/>
      <c r="BW21" s="203"/>
      <c r="BX21" s="203"/>
      <c r="BY21" s="203"/>
      <c r="BZ21" s="203"/>
      <c r="CA21" s="203"/>
      <c r="CB21" s="203"/>
      <c r="CC21" s="203"/>
      <c r="CD21" s="203"/>
      <c r="CE21" s="203"/>
      <c r="CF21" s="203"/>
      <c r="CG21" s="203"/>
      <c r="CH21" s="203"/>
      <c r="CI21" s="204"/>
      <c r="CJ21" s="204"/>
      <c r="CK21" s="204"/>
      <c r="CL21" s="204"/>
      <c r="CM21" s="204"/>
      <c r="CN21" s="204"/>
      <c r="CO21" s="204"/>
      <c r="CP21" s="204"/>
      <c r="CQ21" s="205"/>
      <c r="CR21" s="205"/>
      <c r="CS21" s="205"/>
      <c r="CT21" s="205"/>
      <c r="CU21" s="205"/>
      <c r="CV21" s="205"/>
      <c r="CW21" s="205"/>
      <c r="CX21" s="205"/>
      <c r="CY21" s="206"/>
    </row>
    <row r="22" spans="1:112" x14ac:dyDescent="0.2">
      <c r="A22" s="214" t="s">
        <v>30</v>
      </c>
      <c r="B22" s="214" t="s">
        <v>30</v>
      </c>
      <c r="C22" s="186" t="s">
        <v>20</v>
      </c>
      <c r="D22" s="214"/>
      <c r="E22" s="208"/>
      <c r="F22" s="208"/>
      <c r="G22" s="208"/>
      <c r="H22" s="189">
        <v>2023</v>
      </c>
      <c r="I22" s="190" t="s">
        <v>33</v>
      </c>
      <c r="J22" s="190">
        <v>10</v>
      </c>
      <c r="K22" s="191">
        <v>0.47031455446547749</v>
      </c>
      <c r="L22" s="191"/>
      <c r="M22" s="182">
        <v>2.536487166582788E-2</v>
      </c>
      <c r="N22" s="207">
        <v>0.30374937091092097</v>
      </c>
      <c r="O22" s="192">
        <v>2.583558127830901</v>
      </c>
      <c r="P22" s="207">
        <v>2.2323603422244589</v>
      </c>
      <c r="Q22" s="192">
        <v>5.6638147961751386</v>
      </c>
      <c r="R22" s="192">
        <v>5.5147760442878706</v>
      </c>
      <c r="S22" s="207">
        <v>1.4661399094111727</v>
      </c>
      <c r="T22" s="193">
        <v>17.78976346250629</v>
      </c>
      <c r="U22" s="17">
        <f t="shared" si="0"/>
        <v>165.39359639808671</v>
      </c>
      <c r="V22" s="218" t="s">
        <v>268</v>
      </c>
      <c r="W22" s="218">
        <v>2.0786767107938153E-2</v>
      </c>
      <c r="X22" s="218">
        <v>2.4148781325745345E-2</v>
      </c>
      <c r="Y22" s="218">
        <v>2.1735955546429046E-2</v>
      </c>
      <c r="Z22" s="218" t="s">
        <v>268</v>
      </c>
      <c r="AA22" s="218" t="s">
        <v>269</v>
      </c>
      <c r="AB22" s="218" t="s">
        <v>268</v>
      </c>
      <c r="AC22" s="213" t="s">
        <v>270</v>
      </c>
      <c r="AD22" s="213">
        <v>6.667150398011254E-2</v>
      </c>
      <c r="AE22" s="152">
        <f t="shared" si="1"/>
        <v>6.667150398011254E-2</v>
      </c>
      <c r="AF22" s="214"/>
      <c r="AG22" s="219"/>
      <c r="AH22" s="196">
        <v>5.7285741848350371</v>
      </c>
      <c r="AI22" s="197" t="s">
        <v>252</v>
      </c>
      <c r="AJ22" s="198">
        <v>9.7459643706990798E-2</v>
      </c>
      <c r="AK22" s="197" t="s">
        <v>133</v>
      </c>
      <c r="AL22" s="197" t="s">
        <v>133</v>
      </c>
      <c r="AM22" s="198">
        <v>5.3199562672840699E-2</v>
      </c>
      <c r="AN22" s="197">
        <v>0.73876133513409226</v>
      </c>
      <c r="AO22" s="197">
        <v>0.17499517653868418</v>
      </c>
      <c r="AP22" s="197"/>
      <c r="AQ22" s="197">
        <v>0.57401762171200721</v>
      </c>
      <c r="AR22" s="197" t="s">
        <v>133</v>
      </c>
      <c r="AS22" s="197">
        <v>0.75417068621776329</v>
      </c>
      <c r="AT22" s="197" t="s">
        <v>253</v>
      </c>
      <c r="AU22" s="197" t="s">
        <v>254</v>
      </c>
      <c r="AV22" s="197" t="s">
        <v>133</v>
      </c>
      <c r="AW22" s="197" t="s">
        <v>133</v>
      </c>
      <c r="AX22" s="197" t="s">
        <v>133</v>
      </c>
      <c r="AY22" s="197" t="s">
        <v>133</v>
      </c>
      <c r="AZ22" s="197" t="s">
        <v>133</v>
      </c>
      <c r="BA22" s="197" t="s">
        <v>133</v>
      </c>
      <c r="BB22" s="197" t="s">
        <v>133</v>
      </c>
      <c r="BC22" s="199"/>
      <c r="BD22" s="199"/>
      <c r="BE22" s="199"/>
      <c r="BF22" s="199"/>
      <c r="BG22" s="199"/>
      <c r="BH22" s="199"/>
      <c r="BI22" s="199"/>
      <c r="BJ22" s="200"/>
      <c r="BK22" s="208"/>
      <c r="BL22" s="214"/>
      <c r="BM22" s="202"/>
      <c r="BN22" s="202">
        <v>78</v>
      </c>
      <c r="BO22" s="203"/>
      <c r="BP22" s="203"/>
      <c r="BQ22" s="203"/>
      <c r="BR22" s="203"/>
      <c r="BS22" s="203"/>
      <c r="BT22" s="203"/>
      <c r="BU22" s="203"/>
      <c r="BV22" s="203"/>
      <c r="BW22" s="203"/>
      <c r="BX22" s="203"/>
      <c r="BY22" s="203"/>
      <c r="BZ22" s="203"/>
      <c r="CA22" s="203"/>
      <c r="CB22" s="203"/>
      <c r="CC22" s="203"/>
      <c r="CD22" s="203"/>
      <c r="CE22" s="203"/>
      <c r="CF22" s="203"/>
      <c r="CG22" s="203"/>
      <c r="CH22" s="203"/>
      <c r="CI22" s="204"/>
      <c r="CJ22" s="204"/>
      <c r="CK22" s="204"/>
      <c r="CL22" s="204"/>
      <c r="CM22" s="204"/>
      <c r="CN22" s="204"/>
      <c r="CO22" s="204"/>
      <c r="CP22" s="204"/>
      <c r="CQ22" s="205"/>
      <c r="CR22" s="205"/>
      <c r="CS22" s="205"/>
      <c r="CT22" s="205"/>
      <c r="CU22" s="205"/>
      <c r="CV22" s="205"/>
      <c r="CW22" s="205"/>
      <c r="CX22" s="205"/>
      <c r="CY22" s="206"/>
    </row>
    <row r="23" spans="1:112" x14ac:dyDescent="0.2">
      <c r="A23" s="219" t="s">
        <v>8</v>
      </c>
      <c r="B23" s="219" t="s">
        <v>8</v>
      </c>
      <c r="C23" s="186" t="s">
        <v>20</v>
      </c>
      <c r="D23" s="219"/>
      <c r="E23" s="208"/>
      <c r="F23" s="208"/>
      <c r="G23" s="208"/>
      <c r="H23" s="189">
        <v>2023</v>
      </c>
      <c r="I23" s="190" t="s">
        <v>33</v>
      </c>
      <c r="J23" s="190">
        <v>10</v>
      </c>
      <c r="K23" s="191">
        <v>0.49073427155073501</v>
      </c>
      <c r="L23" s="191"/>
      <c r="M23" s="212" t="s">
        <v>138</v>
      </c>
      <c r="N23" s="182">
        <v>3.6500049198071434E-2</v>
      </c>
      <c r="O23" s="207">
        <v>0.35328643117189806</v>
      </c>
      <c r="P23" s="207">
        <v>0.35817179966545309</v>
      </c>
      <c r="Q23" s="192">
        <v>1.810075765030011</v>
      </c>
      <c r="R23" s="192">
        <v>1.3076847387582407</v>
      </c>
      <c r="S23" s="207">
        <v>0.59681196497097311</v>
      </c>
      <c r="T23" s="192">
        <v>4.4625307487946468</v>
      </c>
      <c r="U23" s="17">
        <f t="shared" si="0"/>
        <v>41.818548113211016</v>
      </c>
      <c r="V23" s="218" t="s">
        <v>271</v>
      </c>
      <c r="W23" s="218">
        <v>2.2334521406286688E-2</v>
      </c>
      <c r="X23" s="218">
        <v>2.2893643044079089E-2</v>
      </c>
      <c r="Y23" s="218">
        <v>1.3704410630372151E-2</v>
      </c>
      <c r="Z23" s="218">
        <v>1.4148897910877397E-2</v>
      </c>
      <c r="AA23" s="184" t="s">
        <v>272</v>
      </c>
      <c r="AB23" s="218" t="s">
        <v>271</v>
      </c>
      <c r="AC23" s="213" t="s">
        <v>273</v>
      </c>
      <c r="AD23" s="213">
        <v>7.3081472991615326E-2</v>
      </c>
      <c r="AE23" s="152">
        <f t="shared" si="1"/>
        <v>5.8932575080737931E-2</v>
      </c>
      <c r="AF23" s="219"/>
      <c r="AG23" s="219"/>
      <c r="AH23" s="196">
        <v>4.7247870351132342</v>
      </c>
      <c r="AI23" s="197" t="s">
        <v>252</v>
      </c>
      <c r="AJ23" s="197" t="s">
        <v>36</v>
      </c>
      <c r="AK23" s="197" t="s">
        <v>133</v>
      </c>
      <c r="AL23" s="197" t="s">
        <v>133</v>
      </c>
      <c r="AM23" s="197" t="s">
        <v>133</v>
      </c>
      <c r="AN23" s="197">
        <v>0.84695616039891941</v>
      </c>
      <c r="AO23" s="198">
        <v>0.10326199875337626</v>
      </c>
      <c r="AP23" s="198"/>
      <c r="AQ23" s="197">
        <v>0.36719994459450095</v>
      </c>
      <c r="AR23" s="197" t="s">
        <v>133</v>
      </c>
      <c r="AS23" s="197">
        <v>0.26733153265461596</v>
      </c>
      <c r="AT23" s="197" t="s">
        <v>253</v>
      </c>
      <c r="AU23" s="197" t="s">
        <v>254</v>
      </c>
      <c r="AV23" s="197" t="s">
        <v>133</v>
      </c>
      <c r="AW23" s="197" t="s">
        <v>133</v>
      </c>
      <c r="AX23" s="197" t="s">
        <v>133</v>
      </c>
      <c r="AY23" s="197" t="s">
        <v>133</v>
      </c>
      <c r="AZ23" s="197" t="s">
        <v>133</v>
      </c>
      <c r="BA23" s="197" t="s">
        <v>133</v>
      </c>
      <c r="BB23" s="197" t="s">
        <v>133</v>
      </c>
      <c r="BC23" s="199"/>
      <c r="BD23" s="199"/>
      <c r="BE23" s="199"/>
      <c r="BF23" s="199"/>
      <c r="BG23" s="199"/>
      <c r="BH23" s="199"/>
      <c r="BI23" s="199"/>
      <c r="BJ23" s="200"/>
      <c r="BK23" s="208"/>
      <c r="BL23" s="219"/>
      <c r="BM23" s="202"/>
      <c r="BN23" s="202">
        <v>88</v>
      </c>
      <c r="BO23" s="203"/>
      <c r="BP23" s="203"/>
      <c r="BQ23" s="203"/>
      <c r="BR23" s="203"/>
      <c r="BS23" s="203"/>
      <c r="BT23" s="203"/>
      <c r="BU23" s="203"/>
      <c r="BV23" s="203"/>
      <c r="BW23" s="203"/>
      <c r="BX23" s="203"/>
      <c r="BY23" s="203"/>
      <c r="BZ23" s="203"/>
      <c r="CA23" s="203"/>
      <c r="CB23" s="203"/>
      <c r="CC23" s="203"/>
      <c r="CD23" s="203"/>
      <c r="CE23" s="203"/>
      <c r="CF23" s="203"/>
      <c r="CG23" s="203"/>
      <c r="CH23" s="203"/>
      <c r="CI23" s="204"/>
      <c r="CJ23" s="204"/>
      <c r="CK23" s="204"/>
      <c r="CL23" s="204"/>
      <c r="CM23" s="204"/>
      <c r="CN23" s="204"/>
      <c r="CO23" s="204"/>
      <c r="CP23" s="204"/>
      <c r="CQ23" s="205"/>
      <c r="CR23" s="205"/>
      <c r="CS23" s="205"/>
      <c r="CT23" s="205"/>
      <c r="CU23" s="205"/>
      <c r="CV23" s="205"/>
      <c r="CW23" s="205"/>
      <c r="CX23" s="205"/>
      <c r="CY23" s="206"/>
    </row>
    <row r="24" spans="1:112" x14ac:dyDescent="0.2">
      <c r="A24" s="219" t="s">
        <v>21</v>
      </c>
      <c r="B24" s="219" t="s">
        <v>21</v>
      </c>
      <c r="C24" s="186" t="s">
        <v>20</v>
      </c>
      <c r="D24" s="219"/>
      <c r="E24" s="208"/>
      <c r="F24" s="208"/>
      <c r="G24" s="208"/>
      <c r="H24" s="189">
        <v>2023</v>
      </c>
      <c r="I24" s="190" t="s">
        <v>33</v>
      </c>
      <c r="J24" s="190">
        <v>10</v>
      </c>
      <c r="K24" s="191">
        <v>0.49688394812196196</v>
      </c>
      <c r="L24" s="191"/>
      <c r="M24" s="212" t="s">
        <v>39</v>
      </c>
      <c r="N24" s="212">
        <v>5.659572332095171E-2</v>
      </c>
      <c r="O24" s="207">
        <v>0.98138239132617211</v>
      </c>
      <c r="P24" s="207">
        <v>0.79734966368838467</v>
      </c>
      <c r="Q24" s="192">
        <v>4.6509085433189439</v>
      </c>
      <c r="R24" s="192">
        <v>3.8155004517618711</v>
      </c>
      <c r="S24" s="192">
        <v>1.5738078506174078</v>
      </c>
      <c r="T24" s="193">
        <v>11.875544624033731</v>
      </c>
      <c r="U24" s="17">
        <f t="shared" si="0"/>
        <v>111.47668386367518</v>
      </c>
      <c r="V24" s="218" t="s">
        <v>274</v>
      </c>
      <c r="W24" s="218">
        <v>7.0297747817661238E-2</v>
      </c>
      <c r="X24" s="218">
        <v>3.5220648851170627E-2</v>
      </c>
      <c r="Y24" s="218">
        <v>2.4850217981654446E-2</v>
      </c>
      <c r="Z24" s="218">
        <v>1.4382840428653456E-2</v>
      </c>
      <c r="AA24" s="218">
        <v>1.6653400402930407E-2</v>
      </c>
      <c r="AB24" s="218" t="s">
        <v>274</v>
      </c>
      <c r="AC24" s="213" t="s">
        <v>275</v>
      </c>
      <c r="AD24" s="222">
        <v>0.16140485548207018</v>
      </c>
      <c r="AE24" s="152">
        <f t="shared" si="1"/>
        <v>0.14702201505341672</v>
      </c>
      <c r="AF24" s="219"/>
      <c r="AG24" s="219"/>
      <c r="AH24" s="209">
        <v>19.138014723727856</v>
      </c>
      <c r="AI24" s="197" t="s">
        <v>252</v>
      </c>
      <c r="AJ24" s="197" t="s">
        <v>36</v>
      </c>
      <c r="AK24" s="197" t="s">
        <v>133</v>
      </c>
      <c r="AL24" s="197" t="s">
        <v>133</v>
      </c>
      <c r="AM24" s="198">
        <v>5.0144270959738967E-2</v>
      </c>
      <c r="AN24" s="196">
        <v>1.4337836744599952</v>
      </c>
      <c r="AO24" s="197">
        <v>0.49959550198204034</v>
      </c>
      <c r="AP24" s="197"/>
      <c r="AQ24" s="197">
        <v>0.66514305746568514</v>
      </c>
      <c r="AR24" s="197" t="s">
        <v>133</v>
      </c>
      <c r="AS24" s="197">
        <v>0.54766334978291942</v>
      </c>
      <c r="AT24" s="197" t="s">
        <v>253</v>
      </c>
      <c r="AU24" s="197" t="s">
        <v>254</v>
      </c>
      <c r="AV24" s="197" t="s">
        <v>133</v>
      </c>
      <c r="AW24" s="197" t="s">
        <v>133</v>
      </c>
      <c r="AX24" s="197" t="s">
        <v>133</v>
      </c>
      <c r="AY24" s="197" t="s">
        <v>133</v>
      </c>
      <c r="AZ24" s="197" t="s">
        <v>133</v>
      </c>
      <c r="BA24" s="197" t="s">
        <v>133</v>
      </c>
      <c r="BB24" s="197" t="s">
        <v>133</v>
      </c>
      <c r="BC24" s="199"/>
      <c r="BD24" s="199"/>
      <c r="BE24" s="199"/>
      <c r="BF24" s="199"/>
      <c r="BG24" s="199"/>
      <c r="BH24" s="199"/>
      <c r="BI24" s="199"/>
      <c r="BJ24" s="200"/>
      <c r="BK24" s="208"/>
      <c r="BL24" s="219"/>
      <c r="BM24" s="202"/>
      <c r="BN24" s="202">
        <v>69</v>
      </c>
      <c r="BO24" s="203"/>
      <c r="BP24" s="203"/>
      <c r="BQ24" s="203"/>
      <c r="BR24" s="203"/>
      <c r="BS24" s="203"/>
      <c r="BT24" s="203"/>
      <c r="BU24" s="203"/>
      <c r="BV24" s="203"/>
      <c r="BW24" s="203"/>
      <c r="BX24" s="203"/>
      <c r="BY24" s="203"/>
      <c r="BZ24" s="203"/>
      <c r="CA24" s="203"/>
      <c r="CB24" s="203"/>
      <c r="CC24" s="203"/>
      <c r="CD24" s="203"/>
      <c r="CE24" s="203"/>
      <c r="CF24" s="203"/>
      <c r="CG24" s="203"/>
      <c r="CH24" s="203"/>
      <c r="CI24" s="204"/>
      <c r="CJ24" s="204"/>
      <c r="CK24" s="204"/>
      <c r="CL24" s="204"/>
      <c r="CM24" s="204"/>
      <c r="CN24" s="204"/>
      <c r="CO24" s="204"/>
      <c r="CP24" s="204"/>
      <c r="CQ24" s="205"/>
      <c r="CR24" s="205"/>
      <c r="CS24" s="205"/>
      <c r="CT24" s="205"/>
      <c r="CU24" s="205"/>
      <c r="CV24" s="205"/>
      <c r="CW24" s="205"/>
      <c r="CX24" s="205"/>
      <c r="CY24" s="206"/>
    </row>
    <row r="25" spans="1:112" x14ac:dyDescent="0.2">
      <c r="A25" s="219" t="s">
        <v>22</v>
      </c>
      <c r="B25" s="219" t="s">
        <v>22</v>
      </c>
      <c r="C25" s="186" t="s">
        <v>20</v>
      </c>
      <c r="D25" s="219"/>
      <c r="E25" s="208"/>
      <c r="F25" s="208"/>
      <c r="G25" s="188">
        <v>45202</v>
      </c>
      <c r="H25" s="189">
        <v>2023</v>
      </c>
      <c r="I25" s="190" t="s">
        <v>33</v>
      </c>
      <c r="J25" s="190">
        <v>10</v>
      </c>
      <c r="K25" s="191">
        <v>0.54957826924355802</v>
      </c>
      <c r="L25" s="191"/>
      <c r="M25" s="207">
        <v>0.72300858152448266</v>
      </c>
      <c r="N25" s="192">
        <v>1.6222766279656742</v>
      </c>
      <c r="O25" s="192">
        <v>6.1812670368500759</v>
      </c>
      <c r="P25" s="192">
        <v>5.5446138313982845</v>
      </c>
      <c r="Q25" s="193">
        <v>13.578566380615852</v>
      </c>
      <c r="R25" s="193">
        <v>11.905350832912671</v>
      </c>
      <c r="S25" s="192">
        <v>2.9672488642099952</v>
      </c>
      <c r="T25" s="193">
        <v>42.522332155477031</v>
      </c>
      <c r="U25" s="17">
        <f t="shared" si="0"/>
        <v>336.41903613633639</v>
      </c>
      <c r="V25" s="218" t="s">
        <v>276</v>
      </c>
      <c r="W25" s="220">
        <v>0.20335794646501792</v>
      </c>
      <c r="X25" s="218">
        <v>8.2162996702411478E-2</v>
      </c>
      <c r="Y25" s="220">
        <v>0.17063134613776623</v>
      </c>
      <c r="Z25" s="218">
        <v>1.4524230176377072E-2</v>
      </c>
      <c r="AA25" s="218">
        <v>1.9537240636599222E-2</v>
      </c>
      <c r="AB25" s="218">
        <v>1.8040714007108938E-2</v>
      </c>
      <c r="AC25" s="213" t="s">
        <v>277</v>
      </c>
      <c r="AD25" s="222">
        <v>0.5082544741252808</v>
      </c>
      <c r="AE25" s="152">
        <f t="shared" si="1"/>
        <v>0.49373024394890375</v>
      </c>
      <c r="AF25" s="219"/>
      <c r="AG25" s="219"/>
      <c r="AH25" s="196">
        <v>4.8773646711980998</v>
      </c>
      <c r="AI25" s="197" t="s">
        <v>252</v>
      </c>
      <c r="AJ25" s="198">
        <v>9.1297464035159565E-2</v>
      </c>
      <c r="AK25" s="197" t="s">
        <v>133</v>
      </c>
      <c r="AL25" s="197" t="s">
        <v>133</v>
      </c>
      <c r="AM25" s="198">
        <v>8.912728960227119E-2</v>
      </c>
      <c r="AN25" s="197">
        <v>0.27225452460895921</v>
      </c>
      <c r="AO25" s="198">
        <v>0.12799934485300141</v>
      </c>
      <c r="AP25" s="198"/>
      <c r="AQ25" s="197">
        <v>0.33308765320885547</v>
      </c>
      <c r="AR25" s="197" t="s">
        <v>133</v>
      </c>
      <c r="AS25" s="197">
        <v>0.70859607457756679</v>
      </c>
      <c r="AT25" s="197">
        <v>0.4833892938061311</v>
      </c>
      <c r="AU25" s="198">
        <v>0.35380667703982754</v>
      </c>
      <c r="AV25" s="197" t="s">
        <v>133</v>
      </c>
      <c r="AW25" s="197" t="s">
        <v>133</v>
      </c>
      <c r="AX25" s="197" t="s">
        <v>133</v>
      </c>
      <c r="AY25" s="197" t="s">
        <v>133</v>
      </c>
      <c r="AZ25" s="197" t="s">
        <v>133</v>
      </c>
      <c r="BA25" s="197" t="s">
        <v>133</v>
      </c>
      <c r="BB25" s="197" t="s">
        <v>133</v>
      </c>
      <c r="BC25" s="199"/>
      <c r="BD25" s="199"/>
      <c r="BE25" s="199"/>
      <c r="BF25" s="199"/>
      <c r="BG25" s="199"/>
      <c r="BH25" s="199"/>
      <c r="BI25" s="199"/>
      <c r="BJ25" s="200"/>
      <c r="BK25" s="208"/>
      <c r="BL25" s="219"/>
      <c r="BM25" s="202"/>
      <c r="BN25" s="202">
        <v>120</v>
      </c>
      <c r="BO25" s="203"/>
      <c r="BP25" s="203"/>
      <c r="BQ25" s="203"/>
      <c r="BR25" s="203"/>
      <c r="BS25" s="203"/>
      <c r="BT25" s="203"/>
      <c r="BU25" s="203"/>
      <c r="BV25" s="203"/>
      <c r="BW25" s="203"/>
      <c r="BX25" s="203"/>
      <c r="BY25" s="203"/>
      <c r="BZ25" s="203"/>
      <c r="CA25" s="203"/>
      <c r="CB25" s="203"/>
      <c r="CC25" s="203"/>
      <c r="CD25" s="203"/>
      <c r="CE25" s="203"/>
      <c r="CF25" s="203"/>
      <c r="CG25" s="203"/>
      <c r="CH25" s="203"/>
      <c r="CI25" s="204"/>
      <c r="CJ25" s="204"/>
      <c r="CK25" s="204"/>
      <c r="CL25" s="204"/>
      <c r="CM25" s="204"/>
      <c r="CN25" s="204"/>
      <c r="CO25" s="204"/>
      <c r="CP25" s="204"/>
      <c r="CQ25" s="205"/>
      <c r="CR25" s="205"/>
      <c r="CS25" s="205"/>
      <c r="CT25" s="205"/>
      <c r="CU25" s="205"/>
      <c r="CV25" s="205"/>
      <c r="CW25" s="205"/>
      <c r="CX25" s="205"/>
      <c r="CY25" s="206"/>
    </row>
    <row r="26" spans="1:112" x14ac:dyDescent="0.2">
      <c r="A26" s="111" t="s">
        <v>4</v>
      </c>
      <c r="B26" s="111" t="s">
        <v>4</v>
      </c>
      <c r="C26" s="148" t="s">
        <v>20</v>
      </c>
      <c r="D26" s="148"/>
      <c r="E26" s="111"/>
      <c r="F26" s="111"/>
      <c r="G26" s="149">
        <v>44830</v>
      </c>
      <c r="H26" s="133" t="s">
        <v>172</v>
      </c>
      <c r="I26" s="138" t="s">
        <v>33</v>
      </c>
      <c r="J26" s="138" t="s">
        <v>173</v>
      </c>
      <c r="K26" s="140">
        <v>0.59</v>
      </c>
      <c r="L26" s="30" t="s">
        <v>159</v>
      </c>
      <c r="M26" s="30">
        <v>0.49717382738418098</v>
      </c>
      <c r="N26" s="150">
        <v>0.92191002897719065</v>
      </c>
      <c r="O26" s="65">
        <v>2.4129192104836594</v>
      </c>
      <c r="P26" s="65">
        <v>2.4023906092323575</v>
      </c>
      <c r="Q26" s="65">
        <v>5.4948357185078232</v>
      </c>
      <c r="R26" s="65">
        <v>5.2109328724898374</v>
      </c>
      <c r="S26" s="65">
        <v>1.3429902562633833</v>
      </c>
      <c r="T26" s="151">
        <v>18.283152523338433</v>
      </c>
      <c r="U26" s="152">
        <f t="shared" si="0"/>
        <v>134.58272808564473</v>
      </c>
      <c r="V26" s="112" t="s">
        <v>40</v>
      </c>
      <c r="W26" s="112">
        <v>8.1000000000000003E-2</v>
      </c>
      <c r="X26" s="112">
        <v>0.03</v>
      </c>
      <c r="Y26" s="112">
        <v>7.8E-2</v>
      </c>
      <c r="Z26" s="112" t="s">
        <v>40</v>
      </c>
      <c r="AA26" s="153">
        <v>1.4999999999999999E-2</v>
      </c>
      <c r="AB26" s="112" t="s">
        <v>40</v>
      </c>
      <c r="AC26" s="113" t="s">
        <v>174</v>
      </c>
      <c r="AD26" s="113">
        <v>0.20400000000000001</v>
      </c>
      <c r="AE26" s="152">
        <f t="shared" si="1"/>
        <v>0.20400000000000001</v>
      </c>
      <c r="AF26" s="81" t="s">
        <v>175</v>
      </c>
      <c r="AG26" s="154" t="s">
        <v>158</v>
      </c>
      <c r="AH26" s="77">
        <v>6.3683631708944031</v>
      </c>
      <c r="AI26" s="82" t="s">
        <v>133</v>
      </c>
      <c r="AJ26" s="82" t="s">
        <v>158</v>
      </c>
      <c r="AK26" s="155">
        <v>3.771611949447419E-2</v>
      </c>
      <c r="AL26" s="82" t="s">
        <v>69</v>
      </c>
      <c r="AM26" s="155">
        <v>0.13227684929778064</v>
      </c>
      <c r="AN26" s="150">
        <v>0.45006941064056094</v>
      </c>
      <c r="AO26" s="155">
        <v>5.9873438260587358E-2</v>
      </c>
      <c r="AP26" s="155" t="s">
        <v>158</v>
      </c>
      <c r="AQ26" s="150">
        <v>0.42066453927560521</v>
      </c>
      <c r="AR26" s="82" t="s">
        <v>65</v>
      </c>
      <c r="AS26" s="150">
        <v>0.71437070690680926</v>
      </c>
      <c r="AT26" s="150">
        <v>0.31413272756774291</v>
      </c>
      <c r="AU26" s="150">
        <v>0.28703553464221959</v>
      </c>
      <c r="AV26" s="65" t="s">
        <v>65</v>
      </c>
      <c r="AW26" s="65" t="s">
        <v>65</v>
      </c>
      <c r="AX26" s="65"/>
      <c r="AY26" s="65"/>
      <c r="AZ26" s="65"/>
      <c r="BA26" s="65"/>
      <c r="BB26" s="65"/>
      <c r="BC26" s="30" t="s">
        <v>158</v>
      </c>
      <c r="BD26" s="30" t="s">
        <v>158</v>
      </c>
      <c r="BE26" s="30" t="s">
        <v>158</v>
      </c>
      <c r="BF26" s="30" t="s">
        <v>158</v>
      </c>
      <c r="BG26" s="30" t="s">
        <v>158</v>
      </c>
      <c r="BH26" s="30" t="s">
        <v>158</v>
      </c>
      <c r="BI26" s="30" t="s">
        <v>158</v>
      </c>
      <c r="BJ26" s="30" t="s">
        <v>158</v>
      </c>
      <c r="BK26" s="30" t="s">
        <v>158</v>
      </c>
      <c r="BL26" s="30" t="s">
        <v>158</v>
      </c>
      <c r="BM26" s="30" t="s">
        <v>158</v>
      </c>
      <c r="BN26" s="61">
        <v>130</v>
      </c>
      <c r="BO26" s="156" t="s">
        <v>158</v>
      </c>
      <c r="BP26" s="156" t="s">
        <v>158</v>
      </c>
      <c r="BQ26" s="156" t="s">
        <v>158</v>
      </c>
      <c r="BR26" s="156" t="s">
        <v>158</v>
      </c>
      <c r="BS26" s="156" t="s">
        <v>158</v>
      </c>
      <c r="BT26" s="156" t="s">
        <v>158</v>
      </c>
      <c r="BU26" s="156" t="s">
        <v>158</v>
      </c>
      <c r="BV26" s="156" t="s">
        <v>158</v>
      </c>
      <c r="BW26" s="156" t="s">
        <v>158</v>
      </c>
      <c r="BX26" s="156" t="s">
        <v>158</v>
      </c>
      <c r="BY26" s="156" t="s">
        <v>158</v>
      </c>
      <c r="BZ26" s="156" t="s">
        <v>158</v>
      </c>
      <c r="CA26" s="156" t="s">
        <v>158</v>
      </c>
      <c r="CB26" s="156" t="s">
        <v>158</v>
      </c>
      <c r="CC26" s="156" t="s">
        <v>158</v>
      </c>
      <c r="CD26" s="156" t="s">
        <v>158</v>
      </c>
      <c r="CE26" s="156" t="s">
        <v>158</v>
      </c>
      <c r="CF26" s="156" t="s">
        <v>158</v>
      </c>
      <c r="CG26" s="156" t="s">
        <v>158</v>
      </c>
      <c r="CH26" s="156" t="s">
        <v>158</v>
      </c>
      <c r="CI26" s="156" t="s">
        <v>158</v>
      </c>
      <c r="CJ26" s="156" t="s">
        <v>158</v>
      </c>
      <c r="CK26" s="156" t="s">
        <v>158</v>
      </c>
      <c r="CL26" s="156" t="s">
        <v>158</v>
      </c>
      <c r="CM26" s="156" t="s">
        <v>158</v>
      </c>
      <c r="CN26" s="156" t="s">
        <v>158</v>
      </c>
      <c r="CO26" s="156" t="s">
        <v>158</v>
      </c>
      <c r="CP26" s="156" t="s">
        <v>158</v>
      </c>
      <c r="CQ26" s="156" t="s">
        <v>158</v>
      </c>
      <c r="CR26" s="156" t="s">
        <v>158</v>
      </c>
      <c r="CS26" s="156" t="s">
        <v>158</v>
      </c>
      <c r="CT26" s="156" t="s">
        <v>158</v>
      </c>
      <c r="CU26" s="156" t="s">
        <v>158</v>
      </c>
      <c r="CV26" s="156" t="s">
        <v>158</v>
      </c>
      <c r="CW26" s="156" t="s">
        <v>158</v>
      </c>
      <c r="CX26" s="156" t="s">
        <v>158</v>
      </c>
      <c r="CY26" s="157" t="s">
        <v>158</v>
      </c>
      <c r="CZ26" s="156"/>
      <c r="DA26" s="64"/>
      <c r="DB26" s="64"/>
      <c r="DC26" s="64"/>
      <c r="DD26" s="64"/>
      <c r="DE26" s="64"/>
      <c r="DF26" s="64"/>
      <c r="DG26" s="64"/>
      <c r="DH26" s="66"/>
    </row>
    <row r="27" spans="1:112" x14ac:dyDescent="0.2">
      <c r="A27" s="111" t="s">
        <v>30</v>
      </c>
      <c r="B27" s="111" t="s">
        <v>30</v>
      </c>
      <c r="C27" s="148" t="s">
        <v>20</v>
      </c>
      <c r="D27" s="148"/>
      <c r="E27" s="111"/>
      <c r="F27" s="111"/>
      <c r="G27" s="149">
        <v>44816</v>
      </c>
      <c r="H27" s="133" t="s">
        <v>172</v>
      </c>
      <c r="I27" s="138" t="s">
        <v>33</v>
      </c>
      <c r="J27" s="138" t="s">
        <v>173</v>
      </c>
      <c r="K27" s="140">
        <v>0.45</v>
      </c>
      <c r="L27" s="30" t="s">
        <v>159</v>
      </c>
      <c r="M27" s="158">
        <v>5.9579637576055222E-2</v>
      </c>
      <c r="N27" s="150">
        <v>0.65090235661125906</v>
      </c>
      <c r="O27" s="65">
        <v>4.0602601347602025</v>
      </c>
      <c r="P27" s="65">
        <v>3.6162215386167516</v>
      </c>
      <c r="Q27" s="65">
        <v>8.4312165565681987</v>
      </c>
      <c r="R27" s="65">
        <v>7.3147901366171375</v>
      </c>
      <c r="S27" s="65">
        <v>1.9493858338379573</v>
      </c>
      <c r="T27" s="151">
        <v>26.082356194587565</v>
      </c>
      <c r="U27" s="152">
        <f t="shared" si="0"/>
        <v>249.62371839967568</v>
      </c>
      <c r="V27" s="112" t="s">
        <v>40</v>
      </c>
      <c r="W27" s="112">
        <v>5.6000000000000001E-2</v>
      </c>
      <c r="X27" s="153">
        <v>2.1000000000000001E-2</v>
      </c>
      <c r="Y27" s="112">
        <v>1.2999999999999999E-2</v>
      </c>
      <c r="Z27" s="153">
        <v>8.0000000000000002E-3</v>
      </c>
      <c r="AA27" s="153">
        <v>1.2E-2</v>
      </c>
      <c r="AB27" s="112" t="s">
        <v>40</v>
      </c>
      <c r="AC27" s="113" t="s">
        <v>176</v>
      </c>
      <c r="AD27" s="113">
        <v>0.11</v>
      </c>
      <c r="AE27" s="152">
        <f t="shared" si="1"/>
        <v>0.10200000000000001</v>
      </c>
      <c r="AF27" s="81" t="s">
        <v>175</v>
      </c>
      <c r="AG27" s="154" t="s">
        <v>158</v>
      </c>
      <c r="AH27" s="115">
        <v>8.4308072170501429</v>
      </c>
      <c r="AI27" s="82" t="s">
        <v>133</v>
      </c>
      <c r="AJ27" s="82" t="s">
        <v>158</v>
      </c>
      <c r="AK27" s="150" t="s">
        <v>65</v>
      </c>
      <c r="AL27" s="82" t="s">
        <v>69</v>
      </c>
      <c r="AM27" s="82" t="s">
        <v>69</v>
      </c>
      <c r="AN27" s="115">
        <v>1.0937364521108552</v>
      </c>
      <c r="AO27" s="150">
        <v>0.19568695955150472</v>
      </c>
      <c r="AP27" s="155" t="s">
        <v>158</v>
      </c>
      <c r="AQ27" s="150">
        <v>0.57593979995901001</v>
      </c>
      <c r="AR27" s="82" t="s">
        <v>65</v>
      </c>
      <c r="AS27" s="150">
        <v>0.53362130229226701</v>
      </c>
      <c r="AT27" s="155">
        <v>0.19847370964895994</v>
      </c>
      <c r="AU27" s="155">
        <v>7.1636862328218337E-2</v>
      </c>
      <c r="AV27" s="150" t="s">
        <v>65</v>
      </c>
      <c r="AW27" s="150" t="s">
        <v>65</v>
      </c>
      <c r="AX27" s="150"/>
      <c r="AY27" s="150"/>
      <c r="AZ27" s="150"/>
      <c r="BA27" s="150"/>
      <c r="BB27" s="150"/>
      <c r="BC27" s="30" t="s">
        <v>158</v>
      </c>
      <c r="BD27" s="30" t="s">
        <v>158</v>
      </c>
      <c r="BE27" s="30" t="s">
        <v>158</v>
      </c>
      <c r="BF27" s="30" t="s">
        <v>158</v>
      </c>
      <c r="BG27" s="30" t="s">
        <v>158</v>
      </c>
      <c r="BH27" s="30" t="s">
        <v>158</v>
      </c>
      <c r="BI27" s="30" t="s">
        <v>158</v>
      </c>
      <c r="BJ27" s="30" t="s">
        <v>158</v>
      </c>
      <c r="BK27" s="30" t="s">
        <v>158</v>
      </c>
      <c r="BL27" s="30" t="s">
        <v>158</v>
      </c>
      <c r="BM27" s="30" t="s">
        <v>158</v>
      </c>
      <c r="BN27" s="61">
        <v>130</v>
      </c>
      <c r="BO27" s="156" t="s">
        <v>158</v>
      </c>
      <c r="BP27" s="156" t="s">
        <v>158</v>
      </c>
      <c r="BQ27" s="156" t="s">
        <v>158</v>
      </c>
      <c r="BR27" s="156" t="s">
        <v>158</v>
      </c>
      <c r="BS27" s="156" t="s">
        <v>158</v>
      </c>
      <c r="BT27" s="156" t="s">
        <v>158</v>
      </c>
      <c r="BU27" s="156" t="s">
        <v>158</v>
      </c>
      <c r="BV27" s="156" t="s">
        <v>158</v>
      </c>
      <c r="BW27" s="156" t="s">
        <v>158</v>
      </c>
      <c r="BX27" s="156" t="s">
        <v>158</v>
      </c>
      <c r="BY27" s="156" t="s">
        <v>158</v>
      </c>
      <c r="BZ27" s="156" t="s">
        <v>158</v>
      </c>
      <c r="CA27" s="156" t="s">
        <v>158</v>
      </c>
      <c r="CB27" s="156" t="s">
        <v>158</v>
      </c>
      <c r="CC27" s="156" t="s">
        <v>158</v>
      </c>
      <c r="CD27" s="156" t="s">
        <v>158</v>
      </c>
      <c r="CE27" s="156" t="s">
        <v>158</v>
      </c>
      <c r="CF27" s="156" t="s">
        <v>158</v>
      </c>
      <c r="CG27" s="156" t="s">
        <v>158</v>
      </c>
      <c r="CH27" s="156" t="s">
        <v>158</v>
      </c>
      <c r="CI27" s="156" t="s">
        <v>158</v>
      </c>
      <c r="CJ27" s="156" t="s">
        <v>158</v>
      </c>
      <c r="CK27" s="156" t="s">
        <v>158</v>
      </c>
      <c r="CL27" s="156" t="s">
        <v>158</v>
      </c>
      <c r="CM27" s="156" t="s">
        <v>158</v>
      </c>
      <c r="CN27" s="156" t="s">
        <v>158</v>
      </c>
      <c r="CO27" s="156" t="s">
        <v>158</v>
      </c>
      <c r="CP27" s="156" t="s">
        <v>158</v>
      </c>
      <c r="CQ27" s="156" t="s">
        <v>158</v>
      </c>
      <c r="CR27" s="156" t="s">
        <v>158</v>
      </c>
      <c r="CS27" s="156" t="s">
        <v>158</v>
      </c>
      <c r="CT27" s="156" t="s">
        <v>158</v>
      </c>
      <c r="CU27" s="156" t="s">
        <v>158</v>
      </c>
      <c r="CV27" s="156" t="s">
        <v>158</v>
      </c>
      <c r="CW27" s="156" t="s">
        <v>158</v>
      </c>
      <c r="CX27" s="156" t="s">
        <v>158</v>
      </c>
      <c r="CY27" s="157" t="s">
        <v>158</v>
      </c>
      <c r="CZ27" s="156"/>
      <c r="DA27" s="64"/>
      <c r="DB27" s="64"/>
      <c r="DC27" s="64"/>
      <c r="DD27" s="64"/>
      <c r="DE27" s="64"/>
      <c r="DF27" s="64"/>
      <c r="DG27" s="64"/>
      <c r="DH27" s="66"/>
    </row>
    <row r="28" spans="1:112" x14ac:dyDescent="0.2">
      <c r="A28" s="111" t="s">
        <v>9</v>
      </c>
      <c r="B28" s="111" t="s">
        <v>9</v>
      </c>
      <c r="C28" s="148" t="s">
        <v>20</v>
      </c>
      <c r="D28" s="148"/>
      <c r="E28" s="111"/>
      <c r="F28" s="111"/>
      <c r="G28" s="149">
        <v>44812</v>
      </c>
      <c r="H28" s="133" t="s">
        <v>172</v>
      </c>
      <c r="I28" s="138" t="s">
        <v>33</v>
      </c>
      <c r="J28" s="138" t="s">
        <v>173</v>
      </c>
      <c r="K28" s="141">
        <v>0.40654538062810402</v>
      </c>
      <c r="L28" s="30" t="s">
        <v>159</v>
      </c>
      <c r="M28" s="159">
        <v>2.6827180721628111E-2</v>
      </c>
      <c r="N28" s="160">
        <v>6.9193928383241163E-2</v>
      </c>
      <c r="O28" s="150">
        <v>0.39471482019011173</v>
      </c>
      <c r="P28" s="150">
        <v>0.31205216077475051</v>
      </c>
      <c r="Q28" s="65">
        <v>1.4172840050351898</v>
      </c>
      <c r="R28" s="65">
        <v>1.1314538780510361</v>
      </c>
      <c r="S28" s="150">
        <v>0.38045819689115884</v>
      </c>
      <c r="T28" s="115">
        <v>3.7319841700471161</v>
      </c>
      <c r="U28" s="152">
        <f>SUM(M28,N28,O28,Q28,R28,S28)*(5/K28)</f>
        <v>42.060888799039397</v>
      </c>
      <c r="V28" s="112" t="s">
        <v>78</v>
      </c>
      <c r="W28" s="153">
        <v>1.9E-2</v>
      </c>
      <c r="X28" s="153">
        <v>0.01</v>
      </c>
      <c r="Y28" s="153">
        <v>1.4999999999999999E-2</v>
      </c>
      <c r="Z28" s="112" t="s">
        <v>78</v>
      </c>
      <c r="AA28" s="112" t="s">
        <v>78</v>
      </c>
      <c r="AB28" s="112" t="s">
        <v>78</v>
      </c>
      <c r="AC28" s="113" t="s">
        <v>177</v>
      </c>
      <c r="AD28" s="112">
        <v>4.3999999999999997E-2</v>
      </c>
      <c r="AE28" s="152">
        <f t="shared" si="1"/>
        <v>4.4000000000000004E-2</v>
      </c>
      <c r="AF28" s="81" t="s">
        <v>175</v>
      </c>
      <c r="AG28" s="154" t="s">
        <v>158</v>
      </c>
      <c r="AH28" s="115">
        <v>2.1819997068952879</v>
      </c>
      <c r="AI28" s="82" t="s">
        <v>133</v>
      </c>
      <c r="AJ28" s="82" t="s">
        <v>158</v>
      </c>
      <c r="AK28" s="150" t="s">
        <v>65</v>
      </c>
      <c r="AL28" s="82" t="s">
        <v>69</v>
      </c>
      <c r="AM28" s="82" t="s">
        <v>69</v>
      </c>
      <c r="AN28" s="150">
        <v>0.40241445006228466</v>
      </c>
      <c r="AO28" s="155">
        <v>8.479885689162453E-2</v>
      </c>
      <c r="AP28" s="155" t="s">
        <v>158</v>
      </c>
      <c r="AQ28" s="150">
        <v>0.18029603575877476</v>
      </c>
      <c r="AR28" s="82" t="s">
        <v>65</v>
      </c>
      <c r="AS28" s="150">
        <v>0.44965926577269716</v>
      </c>
      <c r="AT28" s="150">
        <v>0.39008573312815997</v>
      </c>
      <c r="AU28" s="150">
        <v>0.32325785887008124</v>
      </c>
      <c r="AV28" s="150" t="s">
        <v>65</v>
      </c>
      <c r="AW28" s="150" t="s">
        <v>65</v>
      </c>
      <c r="AX28" s="150"/>
      <c r="AY28" s="150"/>
      <c r="AZ28" s="150"/>
      <c r="BA28" s="150"/>
      <c r="BB28" s="150"/>
      <c r="BC28" s="30" t="s">
        <v>158</v>
      </c>
      <c r="BD28" s="30" t="s">
        <v>158</v>
      </c>
      <c r="BE28" s="30" t="s">
        <v>158</v>
      </c>
      <c r="BF28" s="30" t="s">
        <v>158</v>
      </c>
      <c r="BG28" s="30" t="s">
        <v>158</v>
      </c>
      <c r="BH28" s="30" t="s">
        <v>158</v>
      </c>
      <c r="BI28" s="30" t="s">
        <v>158</v>
      </c>
      <c r="BJ28" s="30" t="s">
        <v>158</v>
      </c>
      <c r="BK28" s="30" t="s">
        <v>158</v>
      </c>
      <c r="BL28" s="30" t="s">
        <v>158</v>
      </c>
      <c r="BM28" s="30" t="s">
        <v>158</v>
      </c>
      <c r="BN28" s="61">
        <v>23</v>
      </c>
      <c r="BO28" s="156" t="s">
        <v>158</v>
      </c>
      <c r="BP28" s="156" t="s">
        <v>158</v>
      </c>
      <c r="BQ28" s="156" t="s">
        <v>158</v>
      </c>
      <c r="BR28" s="156" t="s">
        <v>158</v>
      </c>
      <c r="BS28" s="156" t="s">
        <v>158</v>
      </c>
      <c r="BT28" s="156" t="s">
        <v>158</v>
      </c>
      <c r="BU28" s="156" t="s">
        <v>158</v>
      </c>
      <c r="BV28" s="156" t="s">
        <v>158</v>
      </c>
      <c r="BW28" s="156" t="s">
        <v>158</v>
      </c>
      <c r="BX28" s="156" t="s">
        <v>158</v>
      </c>
      <c r="BY28" s="156" t="s">
        <v>158</v>
      </c>
      <c r="BZ28" s="156" t="s">
        <v>158</v>
      </c>
      <c r="CA28" s="156" t="s">
        <v>158</v>
      </c>
      <c r="CB28" s="156" t="s">
        <v>158</v>
      </c>
      <c r="CC28" s="156" t="s">
        <v>158</v>
      </c>
      <c r="CD28" s="156" t="s">
        <v>158</v>
      </c>
      <c r="CE28" s="156" t="s">
        <v>158</v>
      </c>
      <c r="CF28" s="156" t="s">
        <v>158</v>
      </c>
      <c r="CG28" s="156" t="s">
        <v>158</v>
      </c>
      <c r="CH28" s="156" t="s">
        <v>158</v>
      </c>
      <c r="CI28" s="156" t="s">
        <v>158</v>
      </c>
      <c r="CJ28" s="156" t="s">
        <v>158</v>
      </c>
      <c r="CK28" s="156" t="s">
        <v>158</v>
      </c>
      <c r="CL28" s="156" t="s">
        <v>158</v>
      </c>
      <c r="CM28" s="156" t="s">
        <v>158</v>
      </c>
      <c r="CN28" s="156" t="s">
        <v>158</v>
      </c>
      <c r="CO28" s="156" t="s">
        <v>158</v>
      </c>
      <c r="CP28" s="156" t="s">
        <v>158</v>
      </c>
      <c r="CQ28" s="156" t="s">
        <v>158</v>
      </c>
      <c r="CR28" s="156" t="s">
        <v>158</v>
      </c>
      <c r="CS28" s="156" t="s">
        <v>158</v>
      </c>
      <c r="CT28" s="156" t="s">
        <v>158</v>
      </c>
      <c r="CU28" s="156" t="s">
        <v>158</v>
      </c>
      <c r="CV28" s="156" t="s">
        <v>158</v>
      </c>
      <c r="CW28" s="156" t="s">
        <v>158</v>
      </c>
      <c r="CX28" s="156" t="s">
        <v>158</v>
      </c>
      <c r="CY28" s="157" t="s">
        <v>158</v>
      </c>
      <c r="CZ28" s="156"/>
      <c r="DA28" s="64"/>
      <c r="DB28" s="64"/>
      <c r="DC28" s="64"/>
      <c r="DD28" s="64"/>
      <c r="DE28" s="64"/>
      <c r="DF28" s="64"/>
      <c r="DG28" s="64"/>
      <c r="DH28" s="66"/>
    </row>
    <row r="29" spans="1:112" s="116" customFormat="1" x14ac:dyDescent="0.2">
      <c r="A29" s="129" t="s">
        <v>25</v>
      </c>
      <c r="B29" s="129" t="s">
        <v>25</v>
      </c>
      <c r="C29" s="148" t="s">
        <v>20</v>
      </c>
      <c r="D29" s="161"/>
      <c r="E29" s="129"/>
      <c r="F29" s="129"/>
      <c r="G29" s="162">
        <v>44811</v>
      </c>
      <c r="H29" s="134" t="s">
        <v>172</v>
      </c>
      <c r="I29" s="139" t="s">
        <v>33</v>
      </c>
      <c r="J29" s="139" t="s">
        <v>173</v>
      </c>
      <c r="K29" s="163">
        <v>0.57215511760968496</v>
      </c>
      <c r="L29" s="30" t="s">
        <v>159</v>
      </c>
      <c r="M29" s="164">
        <v>2.7596989198411866E-2</v>
      </c>
      <c r="N29" s="165">
        <v>6.9174761114969813E-2</v>
      </c>
      <c r="O29" s="166">
        <v>0.74767337956490199</v>
      </c>
      <c r="P29" s="166">
        <v>0.63587284239686914</v>
      </c>
      <c r="Q29" s="167">
        <v>2.8126225440766683</v>
      </c>
      <c r="R29" s="167">
        <v>2.2866365554578336</v>
      </c>
      <c r="S29" s="166">
        <v>0.85191608246023576</v>
      </c>
      <c r="T29" s="123">
        <v>7.4314931542698917</v>
      </c>
      <c r="U29" s="152">
        <f t="shared" si="0"/>
        <v>59.386170836532528</v>
      </c>
      <c r="V29" s="117" t="s">
        <v>40</v>
      </c>
      <c r="W29" s="117">
        <v>0.05</v>
      </c>
      <c r="X29" s="117">
        <v>3.4000000000000002E-2</v>
      </c>
      <c r="Y29" s="117">
        <v>5.0999999999999997E-2</v>
      </c>
      <c r="Z29" s="168">
        <v>2.1000000000000001E-2</v>
      </c>
      <c r="AA29" s="168">
        <v>1.7000000000000001E-2</v>
      </c>
      <c r="AB29" s="168">
        <v>8.0000000000000002E-3</v>
      </c>
      <c r="AC29" s="118" t="s">
        <v>178</v>
      </c>
      <c r="AD29" s="118">
        <v>0.18099999999999999</v>
      </c>
      <c r="AE29" s="152">
        <f t="shared" si="1"/>
        <v>0.16000000000000003</v>
      </c>
      <c r="AF29" s="119" t="s">
        <v>175</v>
      </c>
      <c r="AG29" s="154" t="s">
        <v>158</v>
      </c>
      <c r="AH29" s="120">
        <v>24.14931188561215</v>
      </c>
      <c r="AI29" s="169" t="s">
        <v>133</v>
      </c>
      <c r="AJ29" s="82" t="s">
        <v>158</v>
      </c>
      <c r="AK29" s="166" t="s">
        <v>65</v>
      </c>
      <c r="AL29" s="169" t="s">
        <v>69</v>
      </c>
      <c r="AM29" s="169" t="s">
        <v>69</v>
      </c>
      <c r="AN29" s="167">
        <v>1.1301519213583555</v>
      </c>
      <c r="AO29" s="166">
        <v>0.31522788203753355</v>
      </c>
      <c r="AP29" s="155" t="s">
        <v>158</v>
      </c>
      <c r="AQ29" s="166">
        <v>0.30647006255585341</v>
      </c>
      <c r="AR29" s="169" t="s">
        <v>65</v>
      </c>
      <c r="AS29" s="166">
        <v>0.18766756032171578</v>
      </c>
      <c r="AT29" s="166" t="s">
        <v>69</v>
      </c>
      <c r="AU29" s="166" t="s">
        <v>133</v>
      </c>
      <c r="AV29" s="166" t="s">
        <v>65</v>
      </c>
      <c r="AW29" s="166" t="s">
        <v>65</v>
      </c>
      <c r="AX29" s="166"/>
      <c r="AY29" s="166"/>
      <c r="AZ29" s="166"/>
      <c r="BA29" s="166"/>
      <c r="BB29" s="166"/>
      <c r="BC29" s="30" t="s">
        <v>158</v>
      </c>
      <c r="BD29" s="30" t="s">
        <v>158</v>
      </c>
      <c r="BE29" s="30" t="s">
        <v>158</v>
      </c>
      <c r="BF29" s="30" t="s">
        <v>158</v>
      </c>
      <c r="BG29" s="30" t="s">
        <v>158</v>
      </c>
      <c r="BH29" s="30" t="s">
        <v>158</v>
      </c>
      <c r="BI29" s="30" t="s">
        <v>158</v>
      </c>
      <c r="BJ29" s="30" t="s">
        <v>158</v>
      </c>
      <c r="BK29" s="30" t="s">
        <v>158</v>
      </c>
      <c r="BL29" s="30" t="s">
        <v>158</v>
      </c>
      <c r="BM29" s="30" t="s">
        <v>158</v>
      </c>
      <c r="BN29" s="170">
        <v>120</v>
      </c>
      <c r="BO29" s="156" t="s">
        <v>158</v>
      </c>
      <c r="BP29" s="156" t="s">
        <v>158</v>
      </c>
      <c r="BQ29" s="156" t="s">
        <v>158</v>
      </c>
      <c r="BR29" s="156" t="s">
        <v>158</v>
      </c>
      <c r="BS29" s="156" t="s">
        <v>158</v>
      </c>
      <c r="BT29" s="156" t="s">
        <v>158</v>
      </c>
      <c r="BU29" s="156" t="s">
        <v>158</v>
      </c>
      <c r="BV29" s="156" t="s">
        <v>158</v>
      </c>
      <c r="BW29" s="156" t="s">
        <v>158</v>
      </c>
      <c r="BX29" s="156" t="s">
        <v>158</v>
      </c>
      <c r="BY29" s="156" t="s">
        <v>158</v>
      </c>
      <c r="BZ29" s="156" t="s">
        <v>158</v>
      </c>
      <c r="CA29" s="156" t="s">
        <v>158</v>
      </c>
      <c r="CB29" s="156" t="s">
        <v>158</v>
      </c>
      <c r="CC29" s="156" t="s">
        <v>158</v>
      </c>
      <c r="CD29" s="156" t="s">
        <v>158</v>
      </c>
      <c r="CE29" s="156" t="s">
        <v>158</v>
      </c>
      <c r="CF29" s="156" t="s">
        <v>158</v>
      </c>
      <c r="CG29" s="156" t="s">
        <v>158</v>
      </c>
      <c r="CH29" s="156" t="s">
        <v>158</v>
      </c>
      <c r="CI29" s="156" t="s">
        <v>158</v>
      </c>
      <c r="CJ29" s="156" t="s">
        <v>158</v>
      </c>
      <c r="CK29" s="156" t="s">
        <v>158</v>
      </c>
      <c r="CL29" s="156" t="s">
        <v>158</v>
      </c>
      <c r="CM29" s="156" t="s">
        <v>158</v>
      </c>
      <c r="CN29" s="156" t="s">
        <v>158</v>
      </c>
      <c r="CO29" s="156" t="s">
        <v>158</v>
      </c>
      <c r="CP29" s="156" t="s">
        <v>158</v>
      </c>
      <c r="CQ29" s="156" t="s">
        <v>158</v>
      </c>
      <c r="CR29" s="156" t="s">
        <v>158</v>
      </c>
      <c r="CS29" s="156" t="s">
        <v>158</v>
      </c>
      <c r="CT29" s="156" t="s">
        <v>158</v>
      </c>
      <c r="CU29" s="156" t="s">
        <v>158</v>
      </c>
      <c r="CV29" s="156" t="s">
        <v>158</v>
      </c>
      <c r="CW29" s="156" t="s">
        <v>158</v>
      </c>
      <c r="CX29" s="156" t="s">
        <v>158</v>
      </c>
      <c r="CY29" s="157" t="s">
        <v>158</v>
      </c>
      <c r="CZ29" s="171"/>
      <c r="DA29" s="121"/>
      <c r="DB29" s="121"/>
      <c r="DC29" s="121"/>
      <c r="DD29" s="121"/>
      <c r="DE29" s="121"/>
      <c r="DF29" s="121"/>
      <c r="DG29" s="121"/>
      <c r="DH29" s="122"/>
    </row>
    <row r="30" spans="1:112" s="116" customFormat="1" x14ac:dyDescent="0.2">
      <c r="A30" s="129" t="s">
        <v>112</v>
      </c>
      <c r="B30" s="129" t="s">
        <v>112</v>
      </c>
      <c r="C30" s="148" t="s">
        <v>20</v>
      </c>
      <c r="D30" s="161"/>
      <c r="E30" s="129"/>
      <c r="F30" s="129"/>
      <c r="G30" s="162">
        <v>44819</v>
      </c>
      <c r="H30" s="134" t="s">
        <v>172</v>
      </c>
      <c r="I30" s="139" t="s">
        <v>33</v>
      </c>
      <c r="J30" s="139" t="s">
        <v>173</v>
      </c>
      <c r="K30" s="163">
        <v>0.44749713809969099</v>
      </c>
      <c r="L30" s="30" t="s">
        <v>159</v>
      </c>
      <c r="M30" s="172">
        <v>0.39598657031612838</v>
      </c>
      <c r="N30" s="167">
        <v>1.0826485308246201</v>
      </c>
      <c r="O30" s="167">
        <v>3.995277102800018</v>
      </c>
      <c r="P30" s="167">
        <v>3.3398417543332295</v>
      </c>
      <c r="Q30" s="167">
        <v>8.5667322221331244</v>
      </c>
      <c r="R30" s="167">
        <v>7.4163542092015584</v>
      </c>
      <c r="S30" s="167">
        <v>2.0849760930481294</v>
      </c>
      <c r="T30" s="120">
        <v>26.881816482656813</v>
      </c>
      <c r="U30" s="152">
        <f t="shared" si="0"/>
        <v>263.04050600519179</v>
      </c>
      <c r="V30" s="117" t="s">
        <v>78</v>
      </c>
      <c r="W30" s="117">
        <v>6.4000000000000001E-2</v>
      </c>
      <c r="X30" s="117">
        <v>2.3E-2</v>
      </c>
      <c r="Y30" s="117">
        <v>3.3000000000000002E-2</v>
      </c>
      <c r="Z30" s="168">
        <v>1.0999999999999999E-2</v>
      </c>
      <c r="AA30" s="168">
        <v>0.01</v>
      </c>
      <c r="AB30" s="168">
        <v>1.0999999999999999E-2</v>
      </c>
      <c r="AC30" s="173" t="s">
        <v>179</v>
      </c>
      <c r="AD30" s="118">
        <v>0.15200000000000002</v>
      </c>
      <c r="AE30" s="152">
        <f t="shared" si="1"/>
        <v>0.14100000000000001</v>
      </c>
      <c r="AF30" s="119" t="s">
        <v>175</v>
      </c>
      <c r="AG30" s="154" t="s">
        <v>158</v>
      </c>
      <c r="AH30" s="123">
        <v>2.8140134559574124</v>
      </c>
      <c r="AI30" s="169" t="s">
        <v>133</v>
      </c>
      <c r="AJ30" s="82" t="s">
        <v>158</v>
      </c>
      <c r="AK30" s="166" t="s">
        <v>65</v>
      </c>
      <c r="AL30" s="169" t="s">
        <v>69</v>
      </c>
      <c r="AM30" s="169" t="s">
        <v>69</v>
      </c>
      <c r="AN30" s="166">
        <v>0.29433820750837403</v>
      </c>
      <c r="AO30" s="169" t="s">
        <v>65</v>
      </c>
      <c r="AP30" s="155" t="s">
        <v>158</v>
      </c>
      <c r="AQ30" s="174">
        <v>0.1409307363636127</v>
      </c>
      <c r="AR30" s="169" t="s">
        <v>65</v>
      </c>
      <c r="AS30" s="166">
        <v>0.34776271070352038</v>
      </c>
      <c r="AT30" s="174">
        <v>0.1369019970728777</v>
      </c>
      <c r="AU30" s="166">
        <v>0.17317353916693529</v>
      </c>
      <c r="AV30" s="166" t="s">
        <v>65</v>
      </c>
      <c r="AW30" s="166" t="s">
        <v>65</v>
      </c>
      <c r="AX30" s="166"/>
      <c r="AY30" s="166"/>
      <c r="AZ30" s="166"/>
      <c r="BA30" s="166"/>
      <c r="BB30" s="166"/>
      <c r="BC30" s="30" t="s">
        <v>158</v>
      </c>
      <c r="BD30" s="30" t="s">
        <v>158</v>
      </c>
      <c r="BE30" s="30" t="s">
        <v>158</v>
      </c>
      <c r="BF30" s="30" t="s">
        <v>158</v>
      </c>
      <c r="BG30" s="30" t="s">
        <v>158</v>
      </c>
      <c r="BH30" s="30" t="s">
        <v>158</v>
      </c>
      <c r="BI30" s="30" t="s">
        <v>158</v>
      </c>
      <c r="BJ30" s="30" t="s">
        <v>158</v>
      </c>
      <c r="BK30" s="30" t="s">
        <v>158</v>
      </c>
      <c r="BL30" s="30" t="s">
        <v>158</v>
      </c>
      <c r="BM30" s="30" t="s">
        <v>158</v>
      </c>
      <c r="BN30" s="170">
        <v>310</v>
      </c>
      <c r="BO30" s="156" t="s">
        <v>158</v>
      </c>
      <c r="BP30" s="156" t="s">
        <v>158</v>
      </c>
      <c r="BQ30" s="156" t="s">
        <v>158</v>
      </c>
      <c r="BR30" s="156" t="s">
        <v>158</v>
      </c>
      <c r="BS30" s="156" t="s">
        <v>158</v>
      </c>
      <c r="BT30" s="156" t="s">
        <v>158</v>
      </c>
      <c r="BU30" s="156" t="s">
        <v>158</v>
      </c>
      <c r="BV30" s="156" t="s">
        <v>158</v>
      </c>
      <c r="BW30" s="156" t="s">
        <v>158</v>
      </c>
      <c r="BX30" s="156" t="s">
        <v>158</v>
      </c>
      <c r="BY30" s="156" t="s">
        <v>158</v>
      </c>
      <c r="BZ30" s="156" t="s">
        <v>158</v>
      </c>
      <c r="CA30" s="156" t="s">
        <v>158</v>
      </c>
      <c r="CB30" s="156" t="s">
        <v>158</v>
      </c>
      <c r="CC30" s="156" t="s">
        <v>158</v>
      </c>
      <c r="CD30" s="156" t="s">
        <v>158</v>
      </c>
      <c r="CE30" s="156" t="s">
        <v>158</v>
      </c>
      <c r="CF30" s="156" t="s">
        <v>158</v>
      </c>
      <c r="CG30" s="156" t="s">
        <v>158</v>
      </c>
      <c r="CH30" s="156" t="s">
        <v>158</v>
      </c>
      <c r="CI30" s="156" t="s">
        <v>158</v>
      </c>
      <c r="CJ30" s="156" t="s">
        <v>158</v>
      </c>
      <c r="CK30" s="156" t="s">
        <v>158</v>
      </c>
      <c r="CL30" s="156" t="s">
        <v>158</v>
      </c>
      <c r="CM30" s="156" t="s">
        <v>158</v>
      </c>
      <c r="CN30" s="156" t="s">
        <v>158</v>
      </c>
      <c r="CO30" s="156" t="s">
        <v>158</v>
      </c>
      <c r="CP30" s="156" t="s">
        <v>158</v>
      </c>
      <c r="CQ30" s="156" t="s">
        <v>158</v>
      </c>
      <c r="CR30" s="156" t="s">
        <v>158</v>
      </c>
      <c r="CS30" s="156" t="s">
        <v>158</v>
      </c>
      <c r="CT30" s="156" t="s">
        <v>158</v>
      </c>
      <c r="CU30" s="156" t="s">
        <v>158</v>
      </c>
      <c r="CV30" s="156" t="s">
        <v>158</v>
      </c>
      <c r="CW30" s="156" t="s">
        <v>158</v>
      </c>
      <c r="CX30" s="156" t="s">
        <v>158</v>
      </c>
      <c r="CY30" s="157" t="s">
        <v>158</v>
      </c>
      <c r="CZ30" s="171"/>
      <c r="DA30" s="121"/>
      <c r="DB30" s="121"/>
      <c r="DC30" s="121"/>
      <c r="DD30" s="121"/>
      <c r="DE30" s="121"/>
      <c r="DF30" s="121"/>
      <c r="DG30" s="121"/>
      <c r="DH30" s="122"/>
    </row>
    <row r="31" spans="1:112" s="116" customFormat="1" x14ac:dyDescent="0.2">
      <c r="A31" s="129" t="s">
        <v>79</v>
      </c>
      <c r="B31" s="129" t="s">
        <v>79</v>
      </c>
      <c r="C31" s="148" t="s">
        <v>20</v>
      </c>
      <c r="D31" s="161"/>
      <c r="E31" s="129"/>
      <c r="F31" s="129"/>
      <c r="G31" s="162">
        <v>44810</v>
      </c>
      <c r="H31" s="134" t="s">
        <v>172</v>
      </c>
      <c r="I31" s="139" t="s">
        <v>33</v>
      </c>
      <c r="J31" s="139" t="s">
        <v>173</v>
      </c>
      <c r="K31" s="163">
        <v>0.52262987352357804</v>
      </c>
      <c r="L31" s="30" t="s">
        <v>159</v>
      </c>
      <c r="M31" s="172">
        <v>0.32969437127984724</v>
      </c>
      <c r="N31" s="167">
        <v>1.1318919791888371</v>
      </c>
      <c r="O31" s="167">
        <v>5.6891441349315377</v>
      </c>
      <c r="P31" s="167">
        <v>4.4303076296846147</v>
      </c>
      <c r="Q31" s="128">
        <v>11.616288639100762</v>
      </c>
      <c r="R31" s="167">
        <v>9.6927112176472221</v>
      </c>
      <c r="S31" s="167">
        <v>2.8122443348825685</v>
      </c>
      <c r="T31" s="120">
        <v>35.702282306715396</v>
      </c>
      <c r="U31" s="152">
        <f t="shared" si="0"/>
        <v>299.17898173514914</v>
      </c>
      <c r="V31" s="117" t="s">
        <v>78</v>
      </c>
      <c r="W31" s="117">
        <v>7.1999999999999995E-2</v>
      </c>
      <c r="X31" s="117">
        <v>2.3E-2</v>
      </c>
      <c r="Y31" s="117">
        <v>3.3000000000000002E-2</v>
      </c>
      <c r="Z31" s="168">
        <v>1.0999999999999999E-2</v>
      </c>
      <c r="AA31" s="168">
        <v>1.0999999999999999E-2</v>
      </c>
      <c r="AB31" s="117" t="s">
        <v>78</v>
      </c>
      <c r="AC31" s="118" t="s">
        <v>180</v>
      </c>
      <c r="AD31" s="118">
        <v>0.15000000000000002</v>
      </c>
      <c r="AE31" s="152">
        <f t="shared" si="1"/>
        <v>0.13900000000000001</v>
      </c>
      <c r="AF31" s="119" t="s">
        <v>175</v>
      </c>
      <c r="AG31" s="154" t="s">
        <v>158</v>
      </c>
      <c r="AH31" s="167">
        <v>3.7351535138175231</v>
      </c>
      <c r="AI31" s="169" t="s">
        <v>133</v>
      </c>
      <c r="AJ31" s="82" t="s">
        <v>158</v>
      </c>
      <c r="AK31" s="166" t="s">
        <v>65</v>
      </c>
      <c r="AL31" s="169" t="s">
        <v>69</v>
      </c>
      <c r="AM31" s="169" t="s">
        <v>69</v>
      </c>
      <c r="AN31" s="166">
        <v>0.3874018968734822</v>
      </c>
      <c r="AO31" s="174">
        <v>4.5785719763785579E-2</v>
      </c>
      <c r="AP31" s="155" t="s">
        <v>158</v>
      </c>
      <c r="AQ31" s="166">
        <v>0.25850653168699034</v>
      </c>
      <c r="AR31" s="169" t="s">
        <v>65</v>
      </c>
      <c r="AS31" s="166">
        <v>0.41828361070634262</v>
      </c>
      <c r="AT31" s="166" t="s">
        <v>69</v>
      </c>
      <c r="AU31" s="166" t="s">
        <v>133</v>
      </c>
      <c r="AV31" s="166" t="s">
        <v>65</v>
      </c>
      <c r="AW31" s="166" t="s">
        <v>65</v>
      </c>
      <c r="AX31" s="166"/>
      <c r="AY31" s="166"/>
      <c r="AZ31" s="166"/>
      <c r="BA31" s="166"/>
      <c r="BB31" s="166"/>
      <c r="BC31" s="30" t="s">
        <v>158</v>
      </c>
      <c r="BD31" s="30" t="s">
        <v>158</v>
      </c>
      <c r="BE31" s="30" t="s">
        <v>158</v>
      </c>
      <c r="BF31" s="30" t="s">
        <v>158</v>
      </c>
      <c r="BG31" s="30" t="s">
        <v>158</v>
      </c>
      <c r="BH31" s="30" t="s">
        <v>158</v>
      </c>
      <c r="BI31" s="30" t="s">
        <v>158</v>
      </c>
      <c r="BJ31" s="30" t="s">
        <v>158</v>
      </c>
      <c r="BK31" s="30" t="s">
        <v>158</v>
      </c>
      <c r="BL31" s="30" t="s">
        <v>158</v>
      </c>
      <c r="BM31" s="30" t="s">
        <v>158</v>
      </c>
      <c r="BN31" s="170">
        <v>190</v>
      </c>
      <c r="BO31" s="156" t="s">
        <v>158</v>
      </c>
      <c r="BP31" s="156" t="s">
        <v>158</v>
      </c>
      <c r="BQ31" s="156" t="s">
        <v>158</v>
      </c>
      <c r="BR31" s="156" t="s">
        <v>158</v>
      </c>
      <c r="BS31" s="156" t="s">
        <v>158</v>
      </c>
      <c r="BT31" s="156" t="s">
        <v>158</v>
      </c>
      <c r="BU31" s="156" t="s">
        <v>158</v>
      </c>
      <c r="BV31" s="156" t="s">
        <v>158</v>
      </c>
      <c r="BW31" s="156" t="s">
        <v>158</v>
      </c>
      <c r="BX31" s="156" t="s">
        <v>158</v>
      </c>
      <c r="BY31" s="156" t="s">
        <v>158</v>
      </c>
      <c r="BZ31" s="156" t="s">
        <v>158</v>
      </c>
      <c r="CA31" s="156" t="s">
        <v>158</v>
      </c>
      <c r="CB31" s="156" t="s">
        <v>158</v>
      </c>
      <c r="CC31" s="156" t="s">
        <v>158</v>
      </c>
      <c r="CD31" s="156" t="s">
        <v>158</v>
      </c>
      <c r="CE31" s="156" t="s">
        <v>158</v>
      </c>
      <c r="CF31" s="156" t="s">
        <v>158</v>
      </c>
      <c r="CG31" s="156" t="s">
        <v>158</v>
      </c>
      <c r="CH31" s="156" t="s">
        <v>158</v>
      </c>
      <c r="CI31" s="156" t="s">
        <v>158</v>
      </c>
      <c r="CJ31" s="156" t="s">
        <v>158</v>
      </c>
      <c r="CK31" s="156" t="s">
        <v>158</v>
      </c>
      <c r="CL31" s="156" t="s">
        <v>158</v>
      </c>
      <c r="CM31" s="156" t="s">
        <v>158</v>
      </c>
      <c r="CN31" s="156" t="s">
        <v>158</v>
      </c>
      <c r="CO31" s="156" t="s">
        <v>158</v>
      </c>
      <c r="CP31" s="156" t="s">
        <v>158</v>
      </c>
      <c r="CQ31" s="156" t="s">
        <v>158</v>
      </c>
      <c r="CR31" s="156" t="s">
        <v>158</v>
      </c>
      <c r="CS31" s="156" t="s">
        <v>158</v>
      </c>
      <c r="CT31" s="156" t="s">
        <v>158</v>
      </c>
      <c r="CU31" s="156" t="s">
        <v>158</v>
      </c>
      <c r="CV31" s="156" t="s">
        <v>158</v>
      </c>
      <c r="CW31" s="156" t="s">
        <v>158</v>
      </c>
      <c r="CX31" s="156" t="s">
        <v>158</v>
      </c>
      <c r="CY31" s="157" t="s">
        <v>158</v>
      </c>
      <c r="CZ31" s="171"/>
      <c r="DA31" s="121"/>
      <c r="DB31" s="121"/>
      <c r="DC31" s="121"/>
      <c r="DD31" s="121"/>
      <c r="DE31" s="121"/>
      <c r="DF31" s="121"/>
      <c r="DG31" s="121"/>
      <c r="DH31" s="122"/>
    </row>
    <row r="32" spans="1:112" s="116" customFormat="1" x14ac:dyDescent="0.2">
      <c r="A32" s="129" t="s">
        <v>26</v>
      </c>
      <c r="B32" s="129" t="s">
        <v>26</v>
      </c>
      <c r="C32" s="148" t="s">
        <v>20</v>
      </c>
      <c r="D32" s="161"/>
      <c r="E32" s="129"/>
      <c r="F32" s="129"/>
      <c r="G32" s="162">
        <v>44818</v>
      </c>
      <c r="H32" s="134" t="s">
        <v>172</v>
      </c>
      <c r="I32" s="139" t="s">
        <v>33</v>
      </c>
      <c r="J32" s="139" t="s">
        <v>173</v>
      </c>
      <c r="K32" s="163">
        <v>0.49611734253666301</v>
      </c>
      <c r="L32" s="30" t="s">
        <v>159</v>
      </c>
      <c r="M32" s="164">
        <v>3.7003166970959248E-2</v>
      </c>
      <c r="N32" s="165">
        <v>5.645110227862677E-2</v>
      </c>
      <c r="O32" s="166">
        <v>0.4417060616805335</v>
      </c>
      <c r="P32" s="166">
        <v>0.60410740422310849</v>
      </c>
      <c r="Q32" s="167">
        <v>1.9214603777606647</v>
      </c>
      <c r="R32" s="167">
        <v>1.6175437468728497</v>
      </c>
      <c r="S32" s="166">
        <v>0.60041297510775449</v>
      </c>
      <c r="T32" s="123">
        <v>5.2786848348944968</v>
      </c>
      <c r="U32" s="152">
        <f t="shared" si="0"/>
        <v>47.111610801288798</v>
      </c>
      <c r="V32" s="117" t="s">
        <v>76</v>
      </c>
      <c r="W32" s="168">
        <v>1.2999999999999999E-2</v>
      </c>
      <c r="X32" s="168">
        <v>1.2E-2</v>
      </c>
      <c r="Y32" s="168">
        <v>1.2E-2</v>
      </c>
      <c r="Z32" s="117" t="s">
        <v>76</v>
      </c>
      <c r="AA32" s="117" t="s">
        <v>76</v>
      </c>
      <c r="AB32" s="117" t="s">
        <v>76</v>
      </c>
      <c r="AC32" s="118" t="s">
        <v>181</v>
      </c>
      <c r="AD32" s="117">
        <v>1.3000000000000005E-2</v>
      </c>
      <c r="AE32" s="152">
        <f t="shared" si="1"/>
        <v>3.7000000000000005E-2</v>
      </c>
      <c r="AF32" s="119" t="s">
        <v>175</v>
      </c>
      <c r="AG32" s="154" t="s">
        <v>158</v>
      </c>
      <c r="AH32" s="167">
        <v>1.9703846772895544</v>
      </c>
      <c r="AI32" s="169" t="s">
        <v>133</v>
      </c>
      <c r="AJ32" s="82" t="s">
        <v>158</v>
      </c>
      <c r="AK32" s="166" t="s">
        <v>65</v>
      </c>
      <c r="AL32" s="169" t="s">
        <v>69</v>
      </c>
      <c r="AM32" s="169" t="s">
        <v>69</v>
      </c>
      <c r="AN32" s="166">
        <v>0.28746177370030579</v>
      </c>
      <c r="AO32" s="169" t="s">
        <v>65</v>
      </c>
      <c r="AP32" s="155" t="s">
        <v>158</v>
      </c>
      <c r="AQ32" s="174">
        <v>9.2202984525534035E-2</v>
      </c>
      <c r="AR32" s="169" t="s">
        <v>65</v>
      </c>
      <c r="AS32" s="166" t="s">
        <v>69</v>
      </c>
      <c r="AT32" s="166" t="s">
        <v>69</v>
      </c>
      <c r="AU32" s="166" t="s">
        <v>133</v>
      </c>
      <c r="AV32" s="166" t="s">
        <v>65</v>
      </c>
      <c r="AW32" s="166" t="s">
        <v>65</v>
      </c>
      <c r="AX32" s="166"/>
      <c r="AY32" s="166"/>
      <c r="AZ32" s="166"/>
      <c r="BA32" s="166"/>
      <c r="BB32" s="166"/>
      <c r="BC32" s="30" t="s">
        <v>158</v>
      </c>
      <c r="BD32" s="30" t="s">
        <v>158</v>
      </c>
      <c r="BE32" s="30" t="s">
        <v>158</v>
      </c>
      <c r="BF32" s="30" t="s">
        <v>158</v>
      </c>
      <c r="BG32" s="30" t="s">
        <v>158</v>
      </c>
      <c r="BH32" s="30" t="s">
        <v>158</v>
      </c>
      <c r="BI32" s="30" t="s">
        <v>158</v>
      </c>
      <c r="BJ32" s="30" t="s">
        <v>158</v>
      </c>
      <c r="BK32" s="30" t="s">
        <v>158</v>
      </c>
      <c r="BL32" s="30" t="s">
        <v>158</v>
      </c>
      <c r="BM32" s="30" t="s">
        <v>158</v>
      </c>
      <c r="BN32" s="170">
        <v>72</v>
      </c>
      <c r="BO32" s="156" t="s">
        <v>158</v>
      </c>
      <c r="BP32" s="156" t="s">
        <v>158</v>
      </c>
      <c r="BQ32" s="156" t="s">
        <v>158</v>
      </c>
      <c r="BR32" s="156" t="s">
        <v>158</v>
      </c>
      <c r="BS32" s="156" t="s">
        <v>158</v>
      </c>
      <c r="BT32" s="156" t="s">
        <v>158</v>
      </c>
      <c r="BU32" s="156" t="s">
        <v>158</v>
      </c>
      <c r="BV32" s="156" t="s">
        <v>158</v>
      </c>
      <c r="BW32" s="156" t="s">
        <v>158</v>
      </c>
      <c r="BX32" s="156" t="s">
        <v>158</v>
      </c>
      <c r="BY32" s="156" t="s">
        <v>158</v>
      </c>
      <c r="BZ32" s="156" t="s">
        <v>158</v>
      </c>
      <c r="CA32" s="156" t="s">
        <v>158</v>
      </c>
      <c r="CB32" s="156" t="s">
        <v>158</v>
      </c>
      <c r="CC32" s="156" t="s">
        <v>158</v>
      </c>
      <c r="CD32" s="156" t="s">
        <v>158</v>
      </c>
      <c r="CE32" s="156" t="s">
        <v>158</v>
      </c>
      <c r="CF32" s="156" t="s">
        <v>158</v>
      </c>
      <c r="CG32" s="156" t="s">
        <v>158</v>
      </c>
      <c r="CH32" s="156" t="s">
        <v>158</v>
      </c>
      <c r="CI32" s="156" t="s">
        <v>158</v>
      </c>
      <c r="CJ32" s="156" t="s">
        <v>158</v>
      </c>
      <c r="CK32" s="156" t="s">
        <v>158</v>
      </c>
      <c r="CL32" s="156" t="s">
        <v>158</v>
      </c>
      <c r="CM32" s="156" t="s">
        <v>158</v>
      </c>
      <c r="CN32" s="156" t="s">
        <v>158</v>
      </c>
      <c r="CO32" s="156" t="s">
        <v>158</v>
      </c>
      <c r="CP32" s="156" t="s">
        <v>158</v>
      </c>
      <c r="CQ32" s="156" t="s">
        <v>158</v>
      </c>
      <c r="CR32" s="156" t="s">
        <v>158</v>
      </c>
      <c r="CS32" s="156" t="s">
        <v>158</v>
      </c>
      <c r="CT32" s="156" t="s">
        <v>158</v>
      </c>
      <c r="CU32" s="156" t="s">
        <v>158</v>
      </c>
      <c r="CV32" s="156" t="s">
        <v>158</v>
      </c>
      <c r="CW32" s="156" t="s">
        <v>158</v>
      </c>
      <c r="CX32" s="156" t="s">
        <v>158</v>
      </c>
      <c r="CY32" s="157" t="s">
        <v>158</v>
      </c>
      <c r="CZ32" s="171"/>
      <c r="DA32" s="121"/>
      <c r="DB32" s="121"/>
      <c r="DC32" s="121"/>
      <c r="DD32" s="121"/>
      <c r="DE32" s="121"/>
      <c r="DF32" s="121"/>
      <c r="DG32" s="121"/>
      <c r="DH32" s="122"/>
    </row>
    <row r="33" spans="1:112" s="116" customFormat="1" x14ac:dyDescent="0.2">
      <c r="A33" s="129" t="s">
        <v>170</v>
      </c>
      <c r="B33" s="129" t="s">
        <v>170</v>
      </c>
      <c r="C33" s="148" t="s">
        <v>20</v>
      </c>
      <c r="D33" s="161"/>
      <c r="E33" s="129"/>
      <c r="F33" s="129"/>
      <c r="G33" s="162">
        <v>44816</v>
      </c>
      <c r="H33" s="134" t="s">
        <v>172</v>
      </c>
      <c r="I33" s="139" t="s">
        <v>33</v>
      </c>
      <c r="J33" s="139" t="s">
        <v>173</v>
      </c>
      <c r="K33" s="163">
        <v>0.38802660753881701</v>
      </c>
      <c r="L33" s="30" t="s">
        <v>159</v>
      </c>
      <c r="M33" s="164">
        <v>2.8269462586266881E-2</v>
      </c>
      <c r="N33" s="166">
        <v>0.30415151397952372</v>
      </c>
      <c r="O33" s="167">
        <v>2.2409840840601105</v>
      </c>
      <c r="P33" s="167">
        <v>3.2485254661708236</v>
      </c>
      <c r="Q33" s="167">
        <v>7.8120851459998004</v>
      </c>
      <c r="R33" s="167">
        <v>6.3493967362662618</v>
      </c>
      <c r="S33" s="167">
        <v>2.0655349451512612</v>
      </c>
      <c r="T33" s="120">
        <v>22.048947354214047</v>
      </c>
      <c r="U33" s="152">
        <f t="shared" si="0"/>
        <v>242.2568649002051</v>
      </c>
      <c r="V33" s="117" t="s">
        <v>40</v>
      </c>
      <c r="W33" s="117">
        <v>2.7E-2</v>
      </c>
      <c r="X33" s="117">
        <v>2.3E-2</v>
      </c>
      <c r="Y33" s="168">
        <v>1.7999999999999999E-2</v>
      </c>
      <c r="Z33" s="117" t="s">
        <v>40</v>
      </c>
      <c r="AA33" s="168">
        <v>1.0999999999999999E-2</v>
      </c>
      <c r="AB33" s="117" t="s">
        <v>40</v>
      </c>
      <c r="AC33" s="118" t="s">
        <v>182</v>
      </c>
      <c r="AD33" s="118">
        <v>7.9000000000000001E-2</v>
      </c>
      <c r="AE33" s="152">
        <f t="shared" si="1"/>
        <v>7.9000000000000001E-2</v>
      </c>
      <c r="AF33" s="119" t="s">
        <v>175</v>
      </c>
      <c r="AG33" s="154" t="s">
        <v>158</v>
      </c>
      <c r="AH33" s="125">
        <v>3.5453624010032803</v>
      </c>
      <c r="AI33" s="169" t="s">
        <v>133</v>
      </c>
      <c r="AJ33" s="82" t="s">
        <v>158</v>
      </c>
      <c r="AK33" s="166" t="s">
        <v>65</v>
      </c>
      <c r="AL33" s="169" t="s">
        <v>69</v>
      </c>
      <c r="AM33" s="169" t="s">
        <v>69</v>
      </c>
      <c r="AN33" s="166">
        <v>0.34599460564517504</v>
      </c>
      <c r="AO33" s="174">
        <v>7.7977632324898197E-2</v>
      </c>
      <c r="AP33" s="155" t="s">
        <v>158</v>
      </c>
      <c r="AQ33" s="166">
        <v>0.32720026112800416</v>
      </c>
      <c r="AR33" s="169" t="s">
        <v>65</v>
      </c>
      <c r="AS33" s="166">
        <v>0.31685821780137086</v>
      </c>
      <c r="AT33" s="174">
        <v>9.4469927330825113E-2</v>
      </c>
      <c r="AU33" s="174">
        <v>0.14415296603617994</v>
      </c>
      <c r="AV33" s="166" t="s">
        <v>65</v>
      </c>
      <c r="AW33" s="166" t="s">
        <v>65</v>
      </c>
      <c r="AX33" s="166"/>
      <c r="AY33" s="166"/>
      <c r="AZ33" s="166"/>
      <c r="BA33" s="166"/>
      <c r="BB33" s="166"/>
      <c r="BC33" s="30" t="s">
        <v>158</v>
      </c>
      <c r="BD33" s="30" t="s">
        <v>158</v>
      </c>
      <c r="BE33" s="30" t="s">
        <v>158</v>
      </c>
      <c r="BF33" s="30" t="s">
        <v>158</v>
      </c>
      <c r="BG33" s="30" t="s">
        <v>158</v>
      </c>
      <c r="BH33" s="30" t="s">
        <v>158</v>
      </c>
      <c r="BI33" s="30" t="s">
        <v>158</v>
      </c>
      <c r="BJ33" s="30" t="s">
        <v>158</v>
      </c>
      <c r="BK33" s="30" t="s">
        <v>158</v>
      </c>
      <c r="BL33" s="30" t="s">
        <v>158</v>
      </c>
      <c r="BM33" s="30" t="s">
        <v>158</v>
      </c>
      <c r="BN33" s="170">
        <v>160</v>
      </c>
      <c r="BO33" s="156" t="s">
        <v>158</v>
      </c>
      <c r="BP33" s="156" t="s">
        <v>158</v>
      </c>
      <c r="BQ33" s="156" t="s">
        <v>158</v>
      </c>
      <c r="BR33" s="156" t="s">
        <v>158</v>
      </c>
      <c r="BS33" s="156" t="s">
        <v>158</v>
      </c>
      <c r="BT33" s="156" t="s">
        <v>158</v>
      </c>
      <c r="BU33" s="156" t="s">
        <v>158</v>
      </c>
      <c r="BV33" s="156" t="s">
        <v>158</v>
      </c>
      <c r="BW33" s="156" t="s">
        <v>158</v>
      </c>
      <c r="BX33" s="156" t="s">
        <v>158</v>
      </c>
      <c r="BY33" s="156" t="s">
        <v>158</v>
      </c>
      <c r="BZ33" s="156" t="s">
        <v>158</v>
      </c>
      <c r="CA33" s="156" t="s">
        <v>158</v>
      </c>
      <c r="CB33" s="156" t="s">
        <v>158</v>
      </c>
      <c r="CC33" s="156" t="s">
        <v>158</v>
      </c>
      <c r="CD33" s="156" t="s">
        <v>158</v>
      </c>
      <c r="CE33" s="156" t="s">
        <v>158</v>
      </c>
      <c r="CF33" s="156" t="s">
        <v>158</v>
      </c>
      <c r="CG33" s="156" t="s">
        <v>158</v>
      </c>
      <c r="CH33" s="156" t="s">
        <v>158</v>
      </c>
      <c r="CI33" s="156" t="s">
        <v>158</v>
      </c>
      <c r="CJ33" s="156" t="s">
        <v>158</v>
      </c>
      <c r="CK33" s="156" t="s">
        <v>158</v>
      </c>
      <c r="CL33" s="156" t="s">
        <v>158</v>
      </c>
      <c r="CM33" s="156" t="s">
        <v>158</v>
      </c>
      <c r="CN33" s="156" t="s">
        <v>158</v>
      </c>
      <c r="CO33" s="156" t="s">
        <v>158</v>
      </c>
      <c r="CP33" s="156" t="s">
        <v>158</v>
      </c>
      <c r="CQ33" s="156" t="s">
        <v>158</v>
      </c>
      <c r="CR33" s="156" t="s">
        <v>158</v>
      </c>
      <c r="CS33" s="156" t="s">
        <v>158</v>
      </c>
      <c r="CT33" s="156" t="s">
        <v>158</v>
      </c>
      <c r="CU33" s="156" t="s">
        <v>158</v>
      </c>
      <c r="CV33" s="156" t="s">
        <v>158</v>
      </c>
      <c r="CW33" s="156" t="s">
        <v>158</v>
      </c>
      <c r="CX33" s="156" t="s">
        <v>158</v>
      </c>
      <c r="CY33" s="157" t="s">
        <v>158</v>
      </c>
      <c r="CZ33" s="171"/>
      <c r="DA33" s="121"/>
      <c r="DB33" s="121"/>
      <c r="DC33" s="121"/>
      <c r="DD33" s="121"/>
      <c r="DE33" s="121"/>
      <c r="DF33" s="121"/>
      <c r="DG33" s="121"/>
      <c r="DH33" s="122"/>
    </row>
    <row r="34" spans="1:112" s="116" customFormat="1" x14ac:dyDescent="0.2">
      <c r="A34" s="130" t="s">
        <v>6</v>
      </c>
      <c r="B34" s="130" t="s">
        <v>6</v>
      </c>
      <c r="C34" s="148" t="s">
        <v>20</v>
      </c>
      <c r="D34" s="161"/>
      <c r="E34" s="130"/>
      <c r="F34" s="130"/>
      <c r="G34" s="162">
        <v>44806</v>
      </c>
      <c r="H34" s="134" t="s">
        <v>172</v>
      </c>
      <c r="I34" s="139" t="s">
        <v>33</v>
      </c>
      <c r="J34" s="139" t="s">
        <v>173</v>
      </c>
      <c r="K34" s="163">
        <v>0.41593012373920302</v>
      </c>
      <c r="L34" s="30" t="s">
        <v>159</v>
      </c>
      <c r="M34" s="175">
        <v>3.2471498371335505E-2</v>
      </c>
      <c r="N34" s="124">
        <v>0.18539291530944624</v>
      </c>
      <c r="O34" s="125">
        <v>1.0699206026058632</v>
      </c>
      <c r="P34" s="125">
        <v>1.5063925081433225</v>
      </c>
      <c r="Q34" s="125">
        <v>2.9939332247557005</v>
      </c>
      <c r="R34" s="125">
        <v>2.2794075732899026</v>
      </c>
      <c r="S34" s="124">
        <v>0.68722516286644952</v>
      </c>
      <c r="T34" s="125">
        <f t="shared" ref="T34:T59" si="2">SUM(M34:S34)</f>
        <v>8.7547434853420203</v>
      </c>
      <c r="U34" s="152">
        <f t="shared" si="0"/>
        <v>87.13423918465169</v>
      </c>
      <c r="V34" s="176" t="s">
        <v>183</v>
      </c>
      <c r="W34" s="176">
        <v>3.6079087102965257E-2</v>
      </c>
      <c r="X34" s="176">
        <v>2.446002149037238E-2</v>
      </c>
      <c r="Y34" s="176">
        <v>2.7910935815081295E-2</v>
      </c>
      <c r="Z34" s="176" t="s">
        <v>183</v>
      </c>
      <c r="AA34" s="176" t="s">
        <v>183</v>
      </c>
      <c r="AB34" s="176" t="s">
        <v>183</v>
      </c>
      <c r="AC34" s="173" t="s">
        <v>184</v>
      </c>
      <c r="AD34" s="127">
        <v>8.8450044408418929E-2</v>
      </c>
      <c r="AE34" s="152">
        <f t="shared" si="1"/>
        <v>8.8450044408418929E-2</v>
      </c>
      <c r="AF34" s="119" t="s">
        <v>175</v>
      </c>
      <c r="AG34" s="154" t="s">
        <v>158</v>
      </c>
      <c r="AH34" s="125">
        <v>5.1397646375127133</v>
      </c>
      <c r="AI34" s="169" t="s">
        <v>65</v>
      </c>
      <c r="AJ34" s="82" t="s">
        <v>158</v>
      </c>
      <c r="AK34" s="166" t="s">
        <v>65</v>
      </c>
      <c r="AL34" s="169" t="s">
        <v>65</v>
      </c>
      <c r="AM34" s="166">
        <v>0.11199089544287862</v>
      </c>
      <c r="AN34" s="124">
        <v>0.82059663906242442</v>
      </c>
      <c r="AO34" s="124">
        <v>0.19352026732529426</v>
      </c>
      <c r="AP34" s="155" t="s">
        <v>158</v>
      </c>
      <c r="AQ34" s="124">
        <v>0.19531212165238027</v>
      </c>
      <c r="AR34" s="169" t="s">
        <v>65</v>
      </c>
      <c r="AS34" s="166">
        <v>0.11039275509709914</v>
      </c>
      <c r="AT34" s="174">
        <v>3.0848951523076193E-2</v>
      </c>
      <c r="AU34" s="166" t="s">
        <v>65</v>
      </c>
      <c r="AV34" s="166" t="s">
        <v>65</v>
      </c>
      <c r="AW34" s="166" t="s">
        <v>65</v>
      </c>
      <c r="AX34" s="166"/>
      <c r="AY34" s="166"/>
      <c r="AZ34" s="166"/>
      <c r="BA34" s="166"/>
      <c r="BB34" s="166"/>
      <c r="BC34" s="30" t="s">
        <v>158</v>
      </c>
      <c r="BD34" s="30" t="s">
        <v>158</v>
      </c>
      <c r="BE34" s="30" t="s">
        <v>158</v>
      </c>
      <c r="BF34" s="30" t="s">
        <v>158</v>
      </c>
      <c r="BG34" s="30" t="s">
        <v>158</v>
      </c>
      <c r="BH34" s="30" t="s">
        <v>158</v>
      </c>
      <c r="BI34" s="30" t="s">
        <v>158</v>
      </c>
      <c r="BJ34" s="30" t="s">
        <v>158</v>
      </c>
      <c r="BK34" s="30" t="s">
        <v>158</v>
      </c>
      <c r="BL34" s="30" t="s">
        <v>158</v>
      </c>
      <c r="BM34" s="30" t="s">
        <v>158</v>
      </c>
      <c r="BN34" s="170">
        <v>49</v>
      </c>
      <c r="BO34" s="156" t="s">
        <v>158</v>
      </c>
      <c r="BP34" s="156" t="s">
        <v>158</v>
      </c>
      <c r="BQ34" s="156" t="s">
        <v>158</v>
      </c>
      <c r="BR34" s="156" t="s">
        <v>158</v>
      </c>
      <c r="BS34" s="156" t="s">
        <v>158</v>
      </c>
      <c r="BT34" s="156" t="s">
        <v>158</v>
      </c>
      <c r="BU34" s="156" t="s">
        <v>158</v>
      </c>
      <c r="BV34" s="156" t="s">
        <v>158</v>
      </c>
      <c r="BW34" s="156" t="s">
        <v>158</v>
      </c>
      <c r="BX34" s="156" t="s">
        <v>158</v>
      </c>
      <c r="BY34" s="156" t="s">
        <v>158</v>
      </c>
      <c r="BZ34" s="156" t="s">
        <v>158</v>
      </c>
      <c r="CA34" s="156" t="s">
        <v>158</v>
      </c>
      <c r="CB34" s="156" t="s">
        <v>158</v>
      </c>
      <c r="CC34" s="156" t="s">
        <v>158</v>
      </c>
      <c r="CD34" s="156" t="s">
        <v>158</v>
      </c>
      <c r="CE34" s="156" t="s">
        <v>158</v>
      </c>
      <c r="CF34" s="156" t="s">
        <v>158</v>
      </c>
      <c r="CG34" s="156" t="s">
        <v>158</v>
      </c>
      <c r="CH34" s="156" t="s">
        <v>158</v>
      </c>
      <c r="CI34" s="156" t="s">
        <v>158</v>
      </c>
      <c r="CJ34" s="156" t="s">
        <v>158</v>
      </c>
      <c r="CK34" s="156" t="s">
        <v>158</v>
      </c>
      <c r="CL34" s="156" t="s">
        <v>158</v>
      </c>
      <c r="CM34" s="156" t="s">
        <v>158</v>
      </c>
      <c r="CN34" s="156" t="s">
        <v>158</v>
      </c>
      <c r="CO34" s="156" t="s">
        <v>158</v>
      </c>
      <c r="CP34" s="156" t="s">
        <v>158</v>
      </c>
      <c r="CQ34" s="156" t="s">
        <v>158</v>
      </c>
      <c r="CR34" s="156" t="s">
        <v>158</v>
      </c>
      <c r="CS34" s="156" t="s">
        <v>158</v>
      </c>
      <c r="CT34" s="156" t="s">
        <v>158</v>
      </c>
      <c r="CU34" s="156" t="s">
        <v>158</v>
      </c>
      <c r="CV34" s="156" t="s">
        <v>158</v>
      </c>
      <c r="CW34" s="156" t="s">
        <v>158</v>
      </c>
      <c r="CX34" s="156" t="s">
        <v>158</v>
      </c>
      <c r="CY34" s="157" t="s">
        <v>158</v>
      </c>
      <c r="CZ34" s="171"/>
      <c r="DA34" s="121"/>
      <c r="DB34" s="121"/>
      <c r="DC34" s="121"/>
      <c r="DD34" s="121"/>
      <c r="DE34" s="121"/>
      <c r="DF34" s="121"/>
      <c r="DG34" s="121"/>
      <c r="DH34" s="122"/>
    </row>
    <row r="35" spans="1:112" s="116" customFormat="1" x14ac:dyDescent="0.2">
      <c r="A35" s="131" t="s">
        <v>27</v>
      </c>
      <c r="B35" s="131" t="s">
        <v>27</v>
      </c>
      <c r="C35" s="148" t="s">
        <v>20</v>
      </c>
      <c r="D35" s="161"/>
      <c r="E35" s="131"/>
      <c r="F35" s="131"/>
      <c r="G35" s="162">
        <v>44834</v>
      </c>
      <c r="H35" s="134" t="s">
        <v>172</v>
      </c>
      <c r="I35" s="139" t="s">
        <v>33</v>
      </c>
      <c r="J35" s="139" t="s">
        <v>173</v>
      </c>
      <c r="K35" s="163">
        <v>0.51582886618794299</v>
      </c>
      <c r="L35" s="30" t="s">
        <v>159</v>
      </c>
      <c r="M35" s="126">
        <v>5.178982479425856E-2</v>
      </c>
      <c r="N35" s="124">
        <v>0.13174296698896459</v>
      </c>
      <c r="O35" s="124">
        <v>0.28788119387437938</v>
      </c>
      <c r="P35" s="124">
        <v>0.33433289594901477</v>
      </c>
      <c r="Q35" s="124">
        <v>0.87752754933174293</v>
      </c>
      <c r="R35" s="124">
        <v>0.6998270551042638</v>
      </c>
      <c r="S35" s="124">
        <v>0.19209611534401311</v>
      </c>
      <c r="T35" s="125">
        <f t="shared" si="2"/>
        <v>2.5751976013866371</v>
      </c>
      <c r="U35" s="152">
        <f t="shared" si="0"/>
        <v>21.72100915947151</v>
      </c>
      <c r="V35" s="176" t="s">
        <v>185</v>
      </c>
      <c r="W35" s="176">
        <v>1.5841208755653913E-2</v>
      </c>
      <c r="X35" s="176">
        <v>1.6775334087682645E-2</v>
      </c>
      <c r="Y35" s="177">
        <v>1.8881495558903508E-2</v>
      </c>
      <c r="Z35" s="176" t="s">
        <v>185</v>
      </c>
      <c r="AA35" s="176" t="s">
        <v>185</v>
      </c>
      <c r="AB35" s="176" t="s">
        <v>185</v>
      </c>
      <c r="AC35" s="173" t="s">
        <v>186</v>
      </c>
      <c r="AD35" s="127">
        <v>5.2467198215785889E-2</v>
      </c>
      <c r="AE35" s="152">
        <f t="shared" si="1"/>
        <v>5.1498038402240071E-2</v>
      </c>
      <c r="AF35" s="119" t="s">
        <v>175</v>
      </c>
      <c r="AG35" s="154" t="s">
        <v>158</v>
      </c>
      <c r="AH35" s="125">
        <v>4.3197291133181572</v>
      </c>
      <c r="AI35" s="169" t="s">
        <v>65</v>
      </c>
      <c r="AJ35" s="82" t="s">
        <v>158</v>
      </c>
      <c r="AK35" s="169" t="s">
        <v>65</v>
      </c>
      <c r="AL35" s="169" t="s">
        <v>65</v>
      </c>
      <c r="AM35" s="169" t="s">
        <v>65</v>
      </c>
      <c r="AN35" s="124">
        <v>0.20911354210841138</v>
      </c>
      <c r="AO35" s="169" t="s">
        <v>65</v>
      </c>
      <c r="AP35" s="155" t="s">
        <v>158</v>
      </c>
      <c r="AQ35" s="124">
        <v>0.14859861926664755</v>
      </c>
      <c r="AR35" s="169" t="s">
        <v>65</v>
      </c>
      <c r="AS35" s="169" t="s">
        <v>65</v>
      </c>
      <c r="AT35" s="169" t="s">
        <v>65</v>
      </c>
      <c r="AU35" s="169" t="s">
        <v>65</v>
      </c>
      <c r="AV35" s="169" t="s">
        <v>65</v>
      </c>
      <c r="AW35" s="169" t="s">
        <v>65</v>
      </c>
      <c r="AX35" s="169"/>
      <c r="AY35" s="169"/>
      <c r="AZ35" s="169"/>
      <c r="BA35" s="169"/>
      <c r="BB35" s="169"/>
      <c r="BC35" s="30" t="s">
        <v>158</v>
      </c>
      <c r="BD35" s="30" t="s">
        <v>158</v>
      </c>
      <c r="BE35" s="30" t="s">
        <v>158</v>
      </c>
      <c r="BF35" s="30" t="s">
        <v>158</v>
      </c>
      <c r="BG35" s="30" t="s">
        <v>158</v>
      </c>
      <c r="BH35" s="30" t="s">
        <v>158</v>
      </c>
      <c r="BI35" s="30" t="s">
        <v>158</v>
      </c>
      <c r="BJ35" s="30" t="s">
        <v>158</v>
      </c>
      <c r="BK35" s="30" t="s">
        <v>158</v>
      </c>
      <c r="BL35" s="30" t="s">
        <v>158</v>
      </c>
      <c r="BM35" s="30" t="s">
        <v>158</v>
      </c>
      <c r="BN35" s="170">
        <v>87</v>
      </c>
      <c r="BO35" s="156" t="s">
        <v>158</v>
      </c>
      <c r="BP35" s="156" t="s">
        <v>158</v>
      </c>
      <c r="BQ35" s="156" t="s">
        <v>158</v>
      </c>
      <c r="BR35" s="156" t="s">
        <v>158</v>
      </c>
      <c r="BS35" s="156" t="s">
        <v>158</v>
      </c>
      <c r="BT35" s="156" t="s">
        <v>158</v>
      </c>
      <c r="BU35" s="156" t="s">
        <v>158</v>
      </c>
      <c r="BV35" s="156" t="s">
        <v>158</v>
      </c>
      <c r="BW35" s="156" t="s">
        <v>158</v>
      </c>
      <c r="BX35" s="156" t="s">
        <v>158</v>
      </c>
      <c r="BY35" s="156" t="s">
        <v>158</v>
      </c>
      <c r="BZ35" s="156" t="s">
        <v>158</v>
      </c>
      <c r="CA35" s="156" t="s">
        <v>158</v>
      </c>
      <c r="CB35" s="156" t="s">
        <v>158</v>
      </c>
      <c r="CC35" s="156" t="s">
        <v>158</v>
      </c>
      <c r="CD35" s="156" t="s">
        <v>158</v>
      </c>
      <c r="CE35" s="156" t="s">
        <v>158</v>
      </c>
      <c r="CF35" s="156" t="s">
        <v>158</v>
      </c>
      <c r="CG35" s="156" t="s">
        <v>158</v>
      </c>
      <c r="CH35" s="156" t="s">
        <v>158</v>
      </c>
      <c r="CI35" s="156" t="s">
        <v>158</v>
      </c>
      <c r="CJ35" s="156" t="s">
        <v>158</v>
      </c>
      <c r="CK35" s="156" t="s">
        <v>158</v>
      </c>
      <c r="CL35" s="156" t="s">
        <v>158</v>
      </c>
      <c r="CM35" s="156" t="s">
        <v>158</v>
      </c>
      <c r="CN35" s="156" t="s">
        <v>158</v>
      </c>
      <c r="CO35" s="156" t="s">
        <v>158</v>
      </c>
      <c r="CP35" s="156" t="s">
        <v>158</v>
      </c>
      <c r="CQ35" s="156" t="s">
        <v>158</v>
      </c>
      <c r="CR35" s="156" t="s">
        <v>158</v>
      </c>
      <c r="CS35" s="156" t="s">
        <v>158</v>
      </c>
      <c r="CT35" s="156" t="s">
        <v>158</v>
      </c>
      <c r="CU35" s="156" t="s">
        <v>158</v>
      </c>
      <c r="CV35" s="156" t="s">
        <v>158</v>
      </c>
      <c r="CW35" s="156" t="s">
        <v>158</v>
      </c>
      <c r="CX35" s="156" t="s">
        <v>158</v>
      </c>
      <c r="CY35" s="157" t="s">
        <v>158</v>
      </c>
      <c r="CZ35" s="171"/>
      <c r="DA35" s="121"/>
      <c r="DB35" s="121"/>
      <c r="DC35" s="121"/>
      <c r="DD35" s="121"/>
      <c r="DE35" s="121"/>
      <c r="DF35" s="121"/>
      <c r="DG35" s="121"/>
      <c r="DH35" s="122"/>
    </row>
    <row r="36" spans="1:112" s="116" customFormat="1" x14ac:dyDescent="0.2">
      <c r="A36" s="130" t="s">
        <v>81</v>
      </c>
      <c r="B36" s="130" t="s">
        <v>81</v>
      </c>
      <c r="C36" s="148" t="s">
        <v>20</v>
      </c>
      <c r="D36" s="161"/>
      <c r="E36" s="130"/>
      <c r="F36" s="130"/>
      <c r="G36" s="162">
        <v>44813</v>
      </c>
      <c r="H36" s="134" t="s">
        <v>172</v>
      </c>
      <c r="I36" s="139" t="s">
        <v>33</v>
      </c>
      <c r="J36" s="139" t="s">
        <v>173</v>
      </c>
      <c r="K36" s="163">
        <v>0.40243524920026702</v>
      </c>
      <c r="L36" s="30" t="s">
        <v>159</v>
      </c>
      <c r="M36" s="126">
        <v>4.3653949489521768E-2</v>
      </c>
      <c r="N36" s="124">
        <v>0.1193927995701236</v>
      </c>
      <c r="O36" s="124">
        <v>0.47203116603976353</v>
      </c>
      <c r="P36" s="124">
        <v>0.45265986029016658</v>
      </c>
      <c r="Q36" s="125">
        <v>1.592745835572273</v>
      </c>
      <c r="R36" s="125">
        <v>1.3136378291241269</v>
      </c>
      <c r="S36" s="124">
        <v>0.53753358409457286</v>
      </c>
      <c r="T36" s="125">
        <f t="shared" si="2"/>
        <v>4.531655024180548</v>
      </c>
      <c r="U36" s="152">
        <f t="shared" si="0"/>
        <v>50.678900170851072</v>
      </c>
      <c r="V36" s="176" t="s">
        <v>187</v>
      </c>
      <c r="W36" s="176">
        <v>6.1872480709374872E-2</v>
      </c>
      <c r="X36" s="176">
        <v>2.955590405494762E-2</v>
      </c>
      <c r="Y36" s="176">
        <v>5.6565942888473095E-2</v>
      </c>
      <c r="Z36" s="176" t="s">
        <v>187</v>
      </c>
      <c r="AA36" s="176">
        <v>2.2276320687443701E-2</v>
      </c>
      <c r="AB36" s="177">
        <v>1.8843948826419214E-2</v>
      </c>
      <c r="AC36" s="173" t="s">
        <v>188</v>
      </c>
      <c r="AD36" s="173">
        <v>0.18911459716665849</v>
      </c>
      <c r="AE36" s="152">
        <f t="shared" si="1"/>
        <v>0.18911459716665849</v>
      </c>
      <c r="AF36" s="127">
        <v>2.5577646426652337E-2</v>
      </c>
      <c r="AG36" s="154">
        <f t="shared" ref="AG36:AG59" si="3">AF36*(5/K36)</f>
        <v>0.31778586092397604</v>
      </c>
      <c r="AH36" s="125">
        <v>5.9361627744371406</v>
      </c>
      <c r="AI36" s="169" t="s">
        <v>65</v>
      </c>
      <c r="AJ36" s="82" t="s">
        <v>158</v>
      </c>
      <c r="AK36" s="166" t="s">
        <v>65</v>
      </c>
      <c r="AL36" s="169" t="s">
        <v>65</v>
      </c>
      <c r="AM36" s="169" t="s">
        <v>65</v>
      </c>
      <c r="AN36" s="124">
        <v>0.72467720132382407</v>
      </c>
      <c r="AO36" s="124">
        <v>0.89344147671654306</v>
      </c>
      <c r="AP36" s="155" t="s">
        <v>158</v>
      </c>
      <c r="AQ36" s="124">
        <v>0.68477602200158472</v>
      </c>
      <c r="AR36" s="169" t="s">
        <v>65</v>
      </c>
      <c r="AS36" s="125">
        <v>1.4016687642753924</v>
      </c>
      <c r="AT36" s="124">
        <v>0.18785251479979487</v>
      </c>
      <c r="AU36" s="124">
        <v>0.19304992308768004</v>
      </c>
      <c r="AV36" s="124" t="s">
        <v>65</v>
      </c>
      <c r="AW36" s="124">
        <v>0.10117466088658927</v>
      </c>
      <c r="AX36" s="124"/>
      <c r="AY36" s="124"/>
      <c r="AZ36" s="124"/>
      <c r="BA36" s="124"/>
      <c r="BB36" s="124"/>
      <c r="BC36" s="30" t="s">
        <v>158</v>
      </c>
      <c r="BD36" s="30" t="s">
        <v>158</v>
      </c>
      <c r="BE36" s="30" t="s">
        <v>158</v>
      </c>
      <c r="BF36" s="30" t="s">
        <v>158</v>
      </c>
      <c r="BG36" s="30" t="s">
        <v>158</v>
      </c>
      <c r="BH36" s="30" t="s">
        <v>158</v>
      </c>
      <c r="BI36" s="30" t="s">
        <v>158</v>
      </c>
      <c r="BJ36" s="30" t="s">
        <v>158</v>
      </c>
      <c r="BK36" s="30" t="s">
        <v>158</v>
      </c>
      <c r="BL36" s="30" t="s">
        <v>158</v>
      </c>
      <c r="BM36" s="30" t="s">
        <v>158</v>
      </c>
      <c r="BN36" s="170">
        <v>42</v>
      </c>
      <c r="BO36" s="156" t="s">
        <v>158</v>
      </c>
      <c r="BP36" s="156" t="s">
        <v>158</v>
      </c>
      <c r="BQ36" s="156" t="s">
        <v>158</v>
      </c>
      <c r="BR36" s="156" t="s">
        <v>158</v>
      </c>
      <c r="BS36" s="156" t="s">
        <v>158</v>
      </c>
      <c r="BT36" s="156" t="s">
        <v>158</v>
      </c>
      <c r="BU36" s="156" t="s">
        <v>158</v>
      </c>
      <c r="BV36" s="156" t="s">
        <v>158</v>
      </c>
      <c r="BW36" s="156" t="s">
        <v>158</v>
      </c>
      <c r="BX36" s="156" t="s">
        <v>158</v>
      </c>
      <c r="BY36" s="156" t="s">
        <v>158</v>
      </c>
      <c r="BZ36" s="156" t="s">
        <v>158</v>
      </c>
      <c r="CA36" s="156" t="s">
        <v>158</v>
      </c>
      <c r="CB36" s="156" t="s">
        <v>158</v>
      </c>
      <c r="CC36" s="156" t="s">
        <v>158</v>
      </c>
      <c r="CD36" s="156" t="s">
        <v>158</v>
      </c>
      <c r="CE36" s="156" t="s">
        <v>158</v>
      </c>
      <c r="CF36" s="156" t="s">
        <v>158</v>
      </c>
      <c r="CG36" s="156" t="s">
        <v>158</v>
      </c>
      <c r="CH36" s="156" t="s">
        <v>158</v>
      </c>
      <c r="CI36" s="156" t="s">
        <v>158</v>
      </c>
      <c r="CJ36" s="156" t="s">
        <v>158</v>
      </c>
      <c r="CK36" s="156" t="s">
        <v>158</v>
      </c>
      <c r="CL36" s="156" t="s">
        <v>158</v>
      </c>
      <c r="CM36" s="156" t="s">
        <v>158</v>
      </c>
      <c r="CN36" s="156" t="s">
        <v>158</v>
      </c>
      <c r="CO36" s="156" t="s">
        <v>158</v>
      </c>
      <c r="CP36" s="156" t="s">
        <v>158</v>
      </c>
      <c r="CQ36" s="156" t="s">
        <v>158</v>
      </c>
      <c r="CR36" s="156" t="s">
        <v>158</v>
      </c>
      <c r="CS36" s="156" t="s">
        <v>158</v>
      </c>
      <c r="CT36" s="156" t="s">
        <v>158</v>
      </c>
      <c r="CU36" s="156" t="s">
        <v>158</v>
      </c>
      <c r="CV36" s="156" t="s">
        <v>158</v>
      </c>
      <c r="CW36" s="156" t="s">
        <v>158</v>
      </c>
      <c r="CX36" s="156" t="s">
        <v>158</v>
      </c>
      <c r="CY36" s="157" t="s">
        <v>158</v>
      </c>
      <c r="CZ36" s="171"/>
      <c r="DA36" s="121"/>
      <c r="DB36" s="121"/>
      <c r="DC36" s="121"/>
      <c r="DD36" s="121"/>
      <c r="DE36" s="121"/>
      <c r="DF36" s="121"/>
      <c r="DG36" s="121"/>
      <c r="DH36" s="122"/>
    </row>
    <row r="37" spans="1:112" s="116" customFormat="1" x14ac:dyDescent="0.2">
      <c r="A37" s="132" t="s">
        <v>8</v>
      </c>
      <c r="B37" s="132" t="s">
        <v>8</v>
      </c>
      <c r="C37" s="148" t="s">
        <v>20</v>
      </c>
      <c r="D37" s="161"/>
      <c r="E37" s="132"/>
      <c r="F37" s="132"/>
      <c r="G37" s="162">
        <v>44820</v>
      </c>
      <c r="H37" s="134" t="s">
        <v>172</v>
      </c>
      <c r="I37" s="139" t="s">
        <v>33</v>
      </c>
      <c r="J37" s="139" t="s">
        <v>173</v>
      </c>
      <c r="K37" s="163">
        <v>0.39646233607808801</v>
      </c>
      <c r="L37" s="30" t="s">
        <v>159</v>
      </c>
      <c r="M37" s="175">
        <v>2.0055607043558854E-2</v>
      </c>
      <c r="N37" s="126">
        <v>5.1918443002780361E-2</v>
      </c>
      <c r="O37" s="124">
        <v>0.5350602409638554</v>
      </c>
      <c r="P37" s="124">
        <v>0.52607970342910104</v>
      </c>
      <c r="Q37" s="125">
        <v>2.7958850787766454</v>
      </c>
      <c r="R37" s="125">
        <v>1.9546617238183506</v>
      </c>
      <c r="S37" s="124">
        <v>0.94974976830398528</v>
      </c>
      <c r="T37" s="125">
        <f t="shared" si="2"/>
        <v>6.8334105653382773</v>
      </c>
      <c r="U37" s="152">
        <f t="shared" si="0"/>
        <v>79.545145754613017</v>
      </c>
      <c r="V37" s="176" t="s">
        <v>189</v>
      </c>
      <c r="W37" s="176">
        <v>2.6540667613952729E-2</v>
      </c>
      <c r="X37" s="176" t="s">
        <v>190</v>
      </c>
      <c r="Y37" s="176">
        <v>1.3718534759657274E-2</v>
      </c>
      <c r="Z37" s="176" t="s">
        <v>189</v>
      </c>
      <c r="AA37" s="177">
        <v>1.0654376932300475E-2</v>
      </c>
      <c r="AB37" s="176" t="s">
        <v>189</v>
      </c>
      <c r="AC37" s="173" t="s">
        <v>191</v>
      </c>
      <c r="AD37" s="127">
        <v>5.0913579305910478E-2</v>
      </c>
      <c r="AE37" s="152">
        <f t="shared" si="1"/>
        <v>5.0913579305910478E-2</v>
      </c>
      <c r="AF37" s="119" t="s">
        <v>175</v>
      </c>
      <c r="AG37" s="154" t="s">
        <v>158</v>
      </c>
      <c r="AH37" s="128">
        <v>20.813019390581722</v>
      </c>
      <c r="AI37" s="169" t="s">
        <v>65</v>
      </c>
      <c r="AJ37" s="82" t="s">
        <v>158</v>
      </c>
      <c r="AK37" s="166" t="s">
        <v>65</v>
      </c>
      <c r="AL37" s="169" t="s">
        <v>65</v>
      </c>
      <c r="AM37" s="124">
        <v>0.17539845035930793</v>
      </c>
      <c r="AN37" s="125">
        <v>3.0304307679955045</v>
      </c>
      <c r="AO37" s="124">
        <v>0.5935806335059618</v>
      </c>
      <c r="AP37" s="155" t="s">
        <v>158</v>
      </c>
      <c r="AQ37" s="124">
        <v>0.80173832751214436</v>
      </c>
      <c r="AR37" s="169" t="s">
        <v>65</v>
      </c>
      <c r="AS37" s="124">
        <v>0.50744710747119526</v>
      </c>
      <c r="AT37" s="124">
        <v>0.11734714360271392</v>
      </c>
      <c r="AU37" s="124" t="s">
        <v>65</v>
      </c>
      <c r="AV37" s="124" t="s">
        <v>65</v>
      </c>
      <c r="AW37" s="124" t="s">
        <v>65</v>
      </c>
      <c r="AX37" s="124"/>
      <c r="AY37" s="124"/>
      <c r="AZ37" s="124"/>
      <c r="BA37" s="124"/>
      <c r="BB37" s="124"/>
      <c r="BC37" s="30" t="s">
        <v>158</v>
      </c>
      <c r="BD37" s="30" t="s">
        <v>158</v>
      </c>
      <c r="BE37" s="30" t="s">
        <v>158</v>
      </c>
      <c r="BF37" s="30" t="s">
        <v>158</v>
      </c>
      <c r="BG37" s="30" t="s">
        <v>158</v>
      </c>
      <c r="BH37" s="30" t="s">
        <v>158</v>
      </c>
      <c r="BI37" s="30" t="s">
        <v>158</v>
      </c>
      <c r="BJ37" s="30" t="s">
        <v>158</v>
      </c>
      <c r="BK37" s="30" t="s">
        <v>158</v>
      </c>
      <c r="BL37" s="30" t="s">
        <v>158</v>
      </c>
      <c r="BM37" s="30" t="s">
        <v>158</v>
      </c>
      <c r="BN37" s="170">
        <v>64</v>
      </c>
      <c r="BO37" s="156" t="s">
        <v>158</v>
      </c>
      <c r="BP37" s="156" t="s">
        <v>158</v>
      </c>
      <c r="BQ37" s="156" t="s">
        <v>158</v>
      </c>
      <c r="BR37" s="156" t="s">
        <v>158</v>
      </c>
      <c r="BS37" s="156" t="s">
        <v>158</v>
      </c>
      <c r="BT37" s="156" t="s">
        <v>158</v>
      </c>
      <c r="BU37" s="156" t="s">
        <v>158</v>
      </c>
      <c r="BV37" s="156" t="s">
        <v>158</v>
      </c>
      <c r="BW37" s="156" t="s">
        <v>158</v>
      </c>
      <c r="BX37" s="156" t="s">
        <v>158</v>
      </c>
      <c r="BY37" s="156" t="s">
        <v>158</v>
      </c>
      <c r="BZ37" s="156" t="s">
        <v>158</v>
      </c>
      <c r="CA37" s="156" t="s">
        <v>158</v>
      </c>
      <c r="CB37" s="156" t="s">
        <v>158</v>
      </c>
      <c r="CC37" s="156" t="s">
        <v>158</v>
      </c>
      <c r="CD37" s="156" t="s">
        <v>158</v>
      </c>
      <c r="CE37" s="156" t="s">
        <v>158</v>
      </c>
      <c r="CF37" s="156" t="s">
        <v>158</v>
      </c>
      <c r="CG37" s="156" t="s">
        <v>158</v>
      </c>
      <c r="CH37" s="156" t="s">
        <v>158</v>
      </c>
      <c r="CI37" s="156" t="s">
        <v>158</v>
      </c>
      <c r="CJ37" s="156" t="s">
        <v>158</v>
      </c>
      <c r="CK37" s="156" t="s">
        <v>158</v>
      </c>
      <c r="CL37" s="156" t="s">
        <v>158</v>
      </c>
      <c r="CM37" s="156" t="s">
        <v>158</v>
      </c>
      <c r="CN37" s="156" t="s">
        <v>158</v>
      </c>
      <c r="CO37" s="156" t="s">
        <v>158</v>
      </c>
      <c r="CP37" s="156" t="s">
        <v>158</v>
      </c>
      <c r="CQ37" s="156" t="s">
        <v>158</v>
      </c>
      <c r="CR37" s="156" t="s">
        <v>158</v>
      </c>
      <c r="CS37" s="156" t="s">
        <v>158</v>
      </c>
      <c r="CT37" s="156" t="s">
        <v>158</v>
      </c>
      <c r="CU37" s="156" t="s">
        <v>158</v>
      </c>
      <c r="CV37" s="156" t="s">
        <v>158</v>
      </c>
      <c r="CW37" s="156" t="s">
        <v>158</v>
      </c>
      <c r="CX37" s="156" t="s">
        <v>158</v>
      </c>
      <c r="CY37" s="157" t="s">
        <v>158</v>
      </c>
      <c r="CZ37" s="171"/>
      <c r="DA37" s="121"/>
      <c r="DB37" s="121"/>
      <c r="DC37" s="121"/>
      <c r="DD37" s="121"/>
      <c r="DE37" s="121"/>
      <c r="DF37" s="121"/>
      <c r="DG37" s="121"/>
      <c r="DH37" s="122"/>
    </row>
    <row r="38" spans="1:112" s="116" customFormat="1" x14ac:dyDescent="0.2">
      <c r="A38" s="132" t="s">
        <v>22</v>
      </c>
      <c r="B38" s="132" t="s">
        <v>22</v>
      </c>
      <c r="C38" s="148" t="s">
        <v>20</v>
      </c>
      <c r="D38" s="161"/>
      <c r="E38" s="132"/>
      <c r="F38" s="132"/>
      <c r="G38" s="162">
        <v>44830</v>
      </c>
      <c r="H38" s="134" t="s">
        <v>172</v>
      </c>
      <c r="I38" s="139" t="s">
        <v>33</v>
      </c>
      <c r="J38" s="139" t="s">
        <v>173</v>
      </c>
      <c r="K38" s="163">
        <v>0.51059206952743696</v>
      </c>
      <c r="L38" s="30" t="s">
        <v>159</v>
      </c>
      <c r="M38" s="125">
        <v>1.1465076660988074</v>
      </c>
      <c r="N38" s="125">
        <v>2.6542589437819419</v>
      </c>
      <c r="O38" s="128">
        <v>10.303180011357183</v>
      </c>
      <c r="P38" s="125">
        <v>8.1858224493658902</v>
      </c>
      <c r="Q38" s="128">
        <v>25.053161082718152</v>
      </c>
      <c r="R38" s="128">
        <v>19.672932046185878</v>
      </c>
      <c r="S38" s="125">
        <v>7.9159473783834935</v>
      </c>
      <c r="T38" s="128">
        <f t="shared" si="2"/>
        <v>74.931809577891343</v>
      </c>
      <c r="U38" s="152">
        <f t="shared" si="0"/>
        <v>653.61362927454184</v>
      </c>
      <c r="V38" s="176" t="s">
        <v>192</v>
      </c>
      <c r="W38" s="178">
        <v>0.2565892370534773</v>
      </c>
      <c r="X38" s="176">
        <v>9.4798373123809301E-2</v>
      </c>
      <c r="Y38" s="178">
        <v>0.22979497483952299</v>
      </c>
      <c r="Z38" s="176" t="s">
        <v>192</v>
      </c>
      <c r="AA38" s="176">
        <v>4.5591257389560026E-2</v>
      </c>
      <c r="AB38" s="176">
        <v>3.5782643543380316E-2</v>
      </c>
      <c r="AC38" s="173" t="s">
        <v>193</v>
      </c>
      <c r="AD38" s="173">
        <v>0.66255648594974992</v>
      </c>
      <c r="AE38" s="152">
        <f t="shared" si="1"/>
        <v>0.66255648594975003</v>
      </c>
      <c r="AF38" s="127">
        <v>6.53038046564452E-3</v>
      </c>
      <c r="AG38" s="154">
        <f t="shared" si="3"/>
        <v>6.3949098070486252E-2</v>
      </c>
      <c r="AH38" s="125">
        <v>2.3253142059159577</v>
      </c>
      <c r="AI38" s="169" t="s">
        <v>65</v>
      </c>
      <c r="AJ38" s="82" t="s">
        <v>158</v>
      </c>
      <c r="AK38" s="166" t="s">
        <v>65</v>
      </c>
      <c r="AL38" s="169" t="s">
        <v>65</v>
      </c>
      <c r="AM38" s="124">
        <v>0.13518259912826372</v>
      </c>
      <c r="AN38" s="124">
        <v>0.26877829969108374</v>
      </c>
      <c r="AO38" s="169" t="s">
        <v>65</v>
      </c>
      <c r="AP38" s="155" t="s">
        <v>158</v>
      </c>
      <c r="AQ38" s="124">
        <v>0.19008928949261561</v>
      </c>
      <c r="AR38" s="169" t="s">
        <v>65</v>
      </c>
      <c r="AS38" s="124">
        <v>0.15390800220049933</v>
      </c>
      <c r="AT38" s="124" t="s">
        <v>65</v>
      </c>
      <c r="AU38" s="124" t="s">
        <v>65</v>
      </c>
      <c r="AV38" s="124" t="s">
        <v>65</v>
      </c>
      <c r="AW38" s="124" t="s">
        <v>65</v>
      </c>
      <c r="AX38" s="124"/>
      <c r="AY38" s="124"/>
      <c r="AZ38" s="124"/>
      <c r="BA38" s="124"/>
      <c r="BB38" s="124"/>
      <c r="BC38" s="30" t="s">
        <v>158</v>
      </c>
      <c r="BD38" s="30" t="s">
        <v>158</v>
      </c>
      <c r="BE38" s="30" t="s">
        <v>158</v>
      </c>
      <c r="BF38" s="30" t="s">
        <v>158</v>
      </c>
      <c r="BG38" s="30" t="s">
        <v>158</v>
      </c>
      <c r="BH38" s="30" t="s">
        <v>158</v>
      </c>
      <c r="BI38" s="30" t="s">
        <v>158</v>
      </c>
      <c r="BJ38" s="30" t="s">
        <v>158</v>
      </c>
      <c r="BK38" s="30" t="s">
        <v>158</v>
      </c>
      <c r="BL38" s="30" t="s">
        <v>158</v>
      </c>
      <c r="BM38" s="30" t="s">
        <v>158</v>
      </c>
      <c r="BN38" s="170">
        <v>38</v>
      </c>
      <c r="BO38" s="156" t="s">
        <v>158</v>
      </c>
      <c r="BP38" s="156" t="s">
        <v>158</v>
      </c>
      <c r="BQ38" s="156" t="s">
        <v>158</v>
      </c>
      <c r="BR38" s="156" t="s">
        <v>158</v>
      </c>
      <c r="BS38" s="156" t="s">
        <v>158</v>
      </c>
      <c r="BT38" s="156" t="s">
        <v>158</v>
      </c>
      <c r="BU38" s="156" t="s">
        <v>158</v>
      </c>
      <c r="BV38" s="156" t="s">
        <v>158</v>
      </c>
      <c r="BW38" s="156" t="s">
        <v>158</v>
      </c>
      <c r="BX38" s="156" t="s">
        <v>158</v>
      </c>
      <c r="BY38" s="156" t="s">
        <v>158</v>
      </c>
      <c r="BZ38" s="156" t="s">
        <v>158</v>
      </c>
      <c r="CA38" s="156" t="s">
        <v>158</v>
      </c>
      <c r="CB38" s="156" t="s">
        <v>158</v>
      </c>
      <c r="CC38" s="156" t="s">
        <v>158</v>
      </c>
      <c r="CD38" s="156" t="s">
        <v>158</v>
      </c>
      <c r="CE38" s="156" t="s">
        <v>158</v>
      </c>
      <c r="CF38" s="156" t="s">
        <v>158</v>
      </c>
      <c r="CG38" s="156" t="s">
        <v>158</v>
      </c>
      <c r="CH38" s="156" t="s">
        <v>158</v>
      </c>
      <c r="CI38" s="156" t="s">
        <v>158</v>
      </c>
      <c r="CJ38" s="156" t="s">
        <v>158</v>
      </c>
      <c r="CK38" s="156" t="s">
        <v>158</v>
      </c>
      <c r="CL38" s="156" t="s">
        <v>158</v>
      </c>
      <c r="CM38" s="156" t="s">
        <v>158</v>
      </c>
      <c r="CN38" s="156" t="s">
        <v>158</v>
      </c>
      <c r="CO38" s="156" t="s">
        <v>158</v>
      </c>
      <c r="CP38" s="156" t="s">
        <v>158</v>
      </c>
      <c r="CQ38" s="156" t="s">
        <v>158</v>
      </c>
      <c r="CR38" s="156" t="s">
        <v>158</v>
      </c>
      <c r="CS38" s="156" t="s">
        <v>158</v>
      </c>
      <c r="CT38" s="156" t="s">
        <v>158</v>
      </c>
      <c r="CU38" s="156" t="s">
        <v>158</v>
      </c>
      <c r="CV38" s="156" t="s">
        <v>158</v>
      </c>
      <c r="CW38" s="156" t="s">
        <v>158</v>
      </c>
      <c r="CX38" s="156" t="s">
        <v>158</v>
      </c>
      <c r="CY38" s="157" t="s">
        <v>158</v>
      </c>
      <c r="CZ38" s="171"/>
      <c r="DA38" s="121"/>
      <c r="DB38" s="121"/>
      <c r="DC38" s="121"/>
      <c r="DD38" s="121"/>
      <c r="DE38" s="121"/>
      <c r="DF38" s="121"/>
      <c r="DG38" s="121"/>
      <c r="DH38" s="122"/>
    </row>
    <row r="39" spans="1:112" s="116" customFormat="1" x14ac:dyDescent="0.2">
      <c r="A39" s="132" t="s">
        <v>28</v>
      </c>
      <c r="B39" s="132" t="s">
        <v>28</v>
      </c>
      <c r="C39" s="148" t="s">
        <v>20</v>
      </c>
      <c r="D39" s="161"/>
      <c r="E39" s="132"/>
      <c r="F39" s="132"/>
      <c r="G39" s="162">
        <v>44833</v>
      </c>
      <c r="H39" s="134" t="s">
        <v>172</v>
      </c>
      <c r="I39" s="139" t="s">
        <v>33</v>
      </c>
      <c r="J39" s="139" t="s">
        <v>173</v>
      </c>
      <c r="K39" s="163">
        <v>0.57667663391711299</v>
      </c>
      <c r="L39" s="30" t="s">
        <v>159</v>
      </c>
      <c r="M39" s="124">
        <v>0.13136391562563995</v>
      </c>
      <c r="N39" s="124">
        <v>0.28834732746262542</v>
      </c>
      <c r="O39" s="125">
        <v>1.7478906409993857</v>
      </c>
      <c r="P39" s="125">
        <v>1.7940815072701208</v>
      </c>
      <c r="Q39" s="125">
        <v>4.7792033585910296</v>
      </c>
      <c r="R39" s="125">
        <v>4.2172127790292855</v>
      </c>
      <c r="S39" s="125">
        <v>1.1960065533483513</v>
      </c>
      <c r="T39" s="128">
        <f t="shared" si="2"/>
        <v>14.154106082326438</v>
      </c>
      <c r="U39" s="152">
        <f t="shared" si="0"/>
        <v>107.16599085262098</v>
      </c>
      <c r="V39" s="176" t="s">
        <v>194</v>
      </c>
      <c r="W39" s="176">
        <v>5.6653830679887232E-2</v>
      </c>
      <c r="X39" s="176">
        <v>2.9493096449556166E-2</v>
      </c>
      <c r="Y39" s="176">
        <v>4.7986471723282971E-2</v>
      </c>
      <c r="Z39" s="176" t="s">
        <v>194</v>
      </c>
      <c r="AA39" s="177">
        <v>2.2431520513929926E-2</v>
      </c>
      <c r="AB39" s="177">
        <v>1.2811869886250347E-2</v>
      </c>
      <c r="AC39" s="173" t="s">
        <v>195</v>
      </c>
      <c r="AD39" s="173">
        <v>0.16937678925290667</v>
      </c>
      <c r="AE39" s="152">
        <f t="shared" si="1"/>
        <v>0.16937678925290667</v>
      </c>
      <c r="AF39" s="119" t="s">
        <v>175</v>
      </c>
      <c r="AG39" s="154" t="s">
        <v>158</v>
      </c>
      <c r="AH39" s="125">
        <v>7.4791044776119424</v>
      </c>
      <c r="AI39" s="169" t="s">
        <v>65</v>
      </c>
      <c r="AJ39" s="82" t="s">
        <v>158</v>
      </c>
      <c r="AK39" s="166" t="s">
        <v>65</v>
      </c>
      <c r="AL39" s="169" t="s">
        <v>65</v>
      </c>
      <c r="AM39" s="174">
        <v>7.7720095176292497E-2</v>
      </c>
      <c r="AN39" s="124">
        <v>0.41916504434350005</v>
      </c>
      <c r="AO39" s="124">
        <v>0.11992212848799484</v>
      </c>
      <c r="AP39" s="155" t="s">
        <v>158</v>
      </c>
      <c r="AQ39" s="124">
        <v>0.31101016655851188</v>
      </c>
      <c r="AR39" s="169" t="s">
        <v>65</v>
      </c>
      <c r="AS39" s="124">
        <v>0.23930348258706477</v>
      </c>
      <c r="AT39" s="124">
        <v>0.11289206143197063</v>
      </c>
      <c r="AU39" s="124" t="s">
        <v>65</v>
      </c>
      <c r="AV39" s="124" t="s">
        <v>65</v>
      </c>
      <c r="AW39" s="124" t="s">
        <v>65</v>
      </c>
      <c r="AX39" s="124"/>
      <c r="AY39" s="124"/>
      <c r="AZ39" s="124"/>
      <c r="BA39" s="124"/>
      <c r="BB39" s="124"/>
      <c r="BC39" s="30" t="s">
        <v>158</v>
      </c>
      <c r="BD39" s="30" t="s">
        <v>158</v>
      </c>
      <c r="BE39" s="30" t="s">
        <v>158</v>
      </c>
      <c r="BF39" s="30" t="s">
        <v>158</v>
      </c>
      <c r="BG39" s="30" t="s">
        <v>158</v>
      </c>
      <c r="BH39" s="30" t="s">
        <v>158</v>
      </c>
      <c r="BI39" s="30" t="s">
        <v>158</v>
      </c>
      <c r="BJ39" s="30" t="s">
        <v>158</v>
      </c>
      <c r="BK39" s="30" t="s">
        <v>158</v>
      </c>
      <c r="BL39" s="30" t="s">
        <v>158</v>
      </c>
      <c r="BM39" s="30" t="s">
        <v>158</v>
      </c>
      <c r="BN39" s="170">
        <v>100</v>
      </c>
      <c r="BO39" s="156" t="s">
        <v>158</v>
      </c>
      <c r="BP39" s="156" t="s">
        <v>158</v>
      </c>
      <c r="BQ39" s="156" t="s">
        <v>158</v>
      </c>
      <c r="BR39" s="156" t="s">
        <v>158</v>
      </c>
      <c r="BS39" s="156" t="s">
        <v>158</v>
      </c>
      <c r="BT39" s="156" t="s">
        <v>158</v>
      </c>
      <c r="BU39" s="156" t="s">
        <v>158</v>
      </c>
      <c r="BV39" s="156" t="s">
        <v>158</v>
      </c>
      <c r="BW39" s="156" t="s">
        <v>158</v>
      </c>
      <c r="BX39" s="156" t="s">
        <v>158</v>
      </c>
      <c r="BY39" s="156" t="s">
        <v>158</v>
      </c>
      <c r="BZ39" s="156" t="s">
        <v>158</v>
      </c>
      <c r="CA39" s="156" t="s">
        <v>158</v>
      </c>
      <c r="CB39" s="156" t="s">
        <v>158</v>
      </c>
      <c r="CC39" s="156" t="s">
        <v>158</v>
      </c>
      <c r="CD39" s="156" t="s">
        <v>158</v>
      </c>
      <c r="CE39" s="156" t="s">
        <v>158</v>
      </c>
      <c r="CF39" s="156" t="s">
        <v>158</v>
      </c>
      <c r="CG39" s="156" t="s">
        <v>158</v>
      </c>
      <c r="CH39" s="156" t="s">
        <v>158</v>
      </c>
      <c r="CI39" s="156" t="s">
        <v>158</v>
      </c>
      <c r="CJ39" s="156" t="s">
        <v>158</v>
      </c>
      <c r="CK39" s="156" t="s">
        <v>158</v>
      </c>
      <c r="CL39" s="156" t="s">
        <v>158</v>
      </c>
      <c r="CM39" s="156" t="s">
        <v>158</v>
      </c>
      <c r="CN39" s="156" t="s">
        <v>158</v>
      </c>
      <c r="CO39" s="156" t="s">
        <v>158</v>
      </c>
      <c r="CP39" s="156" t="s">
        <v>158</v>
      </c>
      <c r="CQ39" s="156" t="s">
        <v>158</v>
      </c>
      <c r="CR39" s="156" t="s">
        <v>158</v>
      </c>
      <c r="CS39" s="156" t="s">
        <v>158</v>
      </c>
      <c r="CT39" s="156" t="s">
        <v>158</v>
      </c>
      <c r="CU39" s="156" t="s">
        <v>158</v>
      </c>
      <c r="CV39" s="156" t="s">
        <v>158</v>
      </c>
      <c r="CW39" s="156" t="s">
        <v>158</v>
      </c>
      <c r="CX39" s="156" t="s">
        <v>158</v>
      </c>
      <c r="CY39" s="157" t="s">
        <v>158</v>
      </c>
      <c r="CZ39" s="171"/>
      <c r="DA39" s="121"/>
      <c r="DB39" s="121"/>
      <c r="DC39" s="121"/>
      <c r="DD39" s="121"/>
      <c r="DE39" s="121"/>
      <c r="DF39" s="121"/>
      <c r="DG39" s="121"/>
      <c r="DH39" s="122"/>
    </row>
    <row r="40" spans="1:112" s="116" customFormat="1" x14ac:dyDescent="0.2">
      <c r="A40" s="132" t="s">
        <v>7</v>
      </c>
      <c r="B40" s="132" t="s">
        <v>7</v>
      </c>
      <c r="C40" s="148" t="s">
        <v>20</v>
      </c>
      <c r="D40" s="161"/>
      <c r="E40" s="132"/>
      <c r="F40" s="132"/>
      <c r="G40" s="162">
        <v>44805</v>
      </c>
      <c r="H40" s="134" t="s">
        <v>172</v>
      </c>
      <c r="I40" s="139" t="s">
        <v>33</v>
      </c>
      <c r="J40" s="139" t="s">
        <v>173</v>
      </c>
      <c r="K40" s="163">
        <v>0.42030748810972501</v>
      </c>
      <c r="L40" s="30" t="s">
        <v>159</v>
      </c>
      <c r="M40" s="175">
        <v>3.8028020646792372E-2</v>
      </c>
      <c r="N40" s="124">
        <v>0.30022121563257137</v>
      </c>
      <c r="O40" s="125">
        <v>1.2112293268724321</v>
      </c>
      <c r="P40" s="125">
        <v>1.2576846097124197</v>
      </c>
      <c r="Q40" s="125">
        <v>2.9304856209838825</v>
      </c>
      <c r="R40" s="125">
        <v>2.5492152112082587</v>
      </c>
      <c r="S40" s="124">
        <v>0.79883071737069422</v>
      </c>
      <c r="T40" s="125">
        <f t="shared" si="2"/>
        <v>9.0856947224270517</v>
      </c>
      <c r="U40" s="152">
        <f t="shared" si="0"/>
        <v>93.122420301384906</v>
      </c>
      <c r="V40" s="176" t="s">
        <v>196</v>
      </c>
      <c r="W40" s="176">
        <v>7.8392038954930132E-2</v>
      </c>
      <c r="X40" s="176">
        <v>2.4567160400908603E-2</v>
      </c>
      <c r="Y40" s="176">
        <v>3.472760770576111E-2</v>
      </c>
      <c r="Z40" s="176" t="s">
        <v>196</v>
      </c>
      <c r="AA40" s="177">
        <v>1.6627132404663909E-2</v>
      </c>
      <c r="AB40" s="176" t="s">
        <v>196</v>
      </c>
      <c r="AC40" s="173" t="s">
        <v>197</v>
      </c>
      <c r="AD40" s="173">
        <v>0.15431393946626376</v>
      </c>
      <c r="AE40" s="152">
        <f t="shared" si="1"/>
        <v>0.15431393946626376</v>
      </c>
      <c r="AF40" s="127">
        <v>6.6048667439165695E-2</v>
      </c>
      <c r="AG40" s="154">
        <f t="shared" si="3"/>
        <v>0.7857184241019648</v>
      </c>
      <c r="AH40" s="125">
        <v>3.9465571648666389</v>
      </c>
      <c r="AI40" s="169" t="s">
        <v>65</v>
      </c>
      <c r="AJ40" s="82" t="s">
        <v>158</v>
      </c>
      <c r="AK40" s="166" t="s">
        <v>65</v>
      </c>
      <c r="AL40" s="169" t="s">
        <v>133</v>
      </c>
      <c r="AM40" s="179">
        <v>3.8357561846467721E-2</v>
      </c>
      <c r="AN40" s="125">
        <v>1.3714642958338799</v>
      </c>
      <c r="AO40" s="124">
        <v>0.25777555804216334</v>
      </c>
      <c r="AP40" s="155" t="s">
        <v>158</v>
      </c>
      <c r="AQ40" s="124">
        <v>0.61978268117562862</v>
      </c>
      <c r="AR40" s="169" t="s">
        <v>65</v>
      </c>
      <c r="AS40" s="124">
        <v>0.92787484079251026</v>
      </c>
      <c r="AT40" s="124">
        <v>0.20524574899965198</v>
      </c>
      <c r="AU40" s="124" t="s">
        <v>69</v>
      </c>
      <c r="AV40" s="124" t="s">
        <v>65</v>
      </c>
      <c r="AW40" s="124" t="s">
        <v>65</v>
      </c>
      <c r="AX40" s="124"/>
      <c r="AY40" s="124"/>
      <c r="AZ40" s="124"/>
      <c r="BA40" s="124"/>
      <c r="BB40" s="124"/>
      <c r="BC40" s="30" t="s">
        <v>158</v>
      </c>
      <c r="BD40" s="30" t="s">
        <v>158</v>
      </c>
      <c r="BE40" s="30" t="s">
        <v>158</v>
      </c>
      <c r="BF40" s="30" t="s">
        <v>158</v>
      </c>
      <c r="BG40" s="30" t="s">
        <v>158</v>
      </c>
      <c r="BH40" s="30" t="s">
        <v>158</v>
      </c>
      <c r="BI40" s="30" t="s">
        <v>158</v>
      </c>
      <c r="BJ40" s="30" t="s">
        <v>158</v>
      </c>
      <c r="BK40" s="30" t="s">
        <v>158</v>
      </c>
      <c r="BL40" s="30" t="s">
        <v>158</v>
      </c>
      <c r="BM40" s="30" t="s">
        <v>158</v>
      </c>
      <c r="BN40" s="170">
        <v>190</v>
      </c>
      <c r="BO40" s="156" t="s">
        <v>158</v>
      </c>
      <c r="BP40" s="156" t="s">
        <v>158</v>
      </c>
      <c r="BQ40" s="156" t="s">
        <v>158</v>
      </c>
      <c r="BR40" s="156" t="s">
        <v>158</v>
      </c>
      <c r="BS40" s="156" t="s">
        <v>158</v>
      </c>
      <c r="BT40" s="156" t="s">
        <v>158</v>
      </c>
      <c r="BU40" s="156" t="s">
        <v>158</v>
      </c>
      <c r="BV40" s="156" t="s">
        <v>158</v>
      </c>
      <c r="BW40" s="156" t="s">
        <v>158</v>
      </c>
      <c r="BX40" s="156" t="s">
        <v>158</v>
      </c>
      <c r="BY40" s="156" t="s">
        <v>158</v>
      </c>
      <c r="BZ40" s="156" t="s">
        <v>158</v>
      </c>
      <c r="CA40" s="156" t="s">
        <v>158</v>
      </c>
      <c r="CB40" s="156" t="s">
        <v>158</v>
      </c>
      <c r="CC40" s="156" t="s">
        <v>158</v>
      </c>
      <c r="CD40" s="156" t="s">
        <v>158</v>
      </c>
      <c r="CE40" s="156" t="s">
        <v>158</v>
      </c>
      <c r="CF40" s="156" t="s">
        <v>158</v>
      </c>
      <c r="CG40" s="156" t="s">
        <v>158</v>
      </c>
      <c r="CH40" s="156" t="s">
        <v>158</v>
      </c>
      <c r="CI40" s="156" t="s">
        <v>158</v>
      </c>
      <c r="CJ40" s="156" t="s">
        <v>158</v>
      </c>
      <c r="CK40" s="156" t="s">
        <v>158</v>
      </c>
      <c r="CL40" s="156" t="s">
        <v>158</v>
      </c>
      <c r="CM40" s="156" t="s">
        <v>158</v>
      </c>
      <c r="CN40" s="156" t="s">
        <v>158</v>
      </c>
      <c r="CO40" s="156" t="s">
        <v>158</v>
      </c>
      <c r="CP40" s="156" t="s">
        <v>158</v>
      </c>
      <c r="CQ40" s="156" t="s">
        <v>158</v>
      </c>
      <c r="CR40" s="156" t="s">
        <v>158</v>
      </c>
      <c r="CS40" s="156" t="s">
        <v>158</v>
      </c>
      <c r="CT40" s="156" t="s">
        <v>158</v>
      </c>
      <c r="CU40" s="156" t="s">
        <v>158</v>
      </c>
      <c r="CV40" s="156" t="s">
        <v>158</v>
      </c>
      <c r="CW40" s="156" t="s">
        <v>158</v>
      </c>
      <c r="CX40" s="156" t="s">
        <v>158</v>
      </c>
      <c r="CY40" s="157" t="s">
        <v>158</v>
      </c>
      <c r="CZ40" s="171"/>
      <c r="DA40" s="121"/>
      <c r="DB40" s="121"/>
      <c r="DC40" s="121"/>
      <c r="DD40" s="121"/>
      <c r="DE40" s="121"/>
      <c r="DF40" s="121"/>
      <c r="DG40" s="121"/>
      <c r="DH40" s="122"/>
    </row>
    <row r="41" spans="1:112" s="116" customFormat="1" x14ac:dyDescent="0.2">
      <c r="A41" s="132" t="s">
        <v>21</v>
      </c>
      <c r="B41" s="132" t="s">
        <v>21</v>
      </c>
      <c r="C41" s="148" t="s">
        <v>20</v>
      </c>
      <c r="D41" s="161"/>
      <c r="E41" s="132"/>
      <c r="F41" s="132"/>
      <c r="G41" s="162">
        <v>44824</v>
      </c>
      <c r="H41" s="134" t="s">
        <v>172</v>
      </c>
      <c r="I41" s="139" t="s">
        <v>33</v>
      </c>
      <c r="J41" s="139" t="s">
        <v>173</v>
      </c>
      <c r="K41" s="163">
        <v>0.49905733614286002</v>
      </c>
      <c r="L41" s="30" t="s">
        <v>159</v>
      </c>
      <c r="M41" s="175">
        <v>3.3992219535274946E-2</v>
      </c>
      <c r="N41" s="124">
        <v>0.13652612764167807</v>
      </c>
      <c r="O41" s="125">
        <v>1.7141204920618234</v>
      </c>
      <c r="P41" s="125">
        <v>1.3181158658395542</v>
      </c>
      <c r="Q41" s="125">
        <v>7.7248028598464948</v>
      </c>
      <c r="R41" s="125">
        <v>6.0989801282725269</v>
      </c>
      <c r="S41" s="125">
        <v>2.4240878982231102</v>
      </c>
      <c r="T41" s="128">
        <f t="shared" si="2"/>
        <v>19.450625591420462</v>
      </c>
      <c r="U41" s="152">
        <f t="shared" si="0"/>
        <v>181.6676002172855</v>
      </c>
      <c r="V41" s="176" t="s">
        <v>198</v>
      </c>
      <c r="W41" s="176">
        <v>9.8001948100962466E-2</v>
      </c>
      <c r="X41" s="176">
        <v>3.6597708759077328E-2</v>
      </c>
      <c r="Y41" s="176">
        <v>3.0187796470031027E-2</v>
      </c>
      <c r="Z41" s="176" t="s">
        <v>198</v>
      </c>
      <c r="AA41" s="176">
        <v>2.5690656415779715E-2</v>
      </c>
      <c r="AB41" s="177">
        <v>1.9504204502099946E-2</v>
      </c>
      <c r="AC41" s="173" t="s">
        <v>199</v>
      </c>
      <c r="AD41" s="173">
        <v>0.2099823142479505</v>
      </c>
      <c r="AE41" s="152">
        <f t="shared" si="1"/>
        <v>0.2099823142479505</v>
      </c>
      <c r="AF41" s="127">
        <v>2.7336767952896648E-3</v>
      </c>
      <c r="AG41" s="154">
        <f t="shared" si="3"/>
        <v>2.7388404070139982E-2</v>
      </c>
      <c r="AH41" s="125">
        <v>8.9082893594282311</v>
      </c>
      <c r="AI41" s="169" t="s">
        <v>65</v>
      </c>
      <c r="AJ41" s="82" t="s">
        <v>158</v>
      </c>
      <c r="AK41" s="166" t="s">
        <v>65</v>
      </c>
      <c r="AL41" s="169" t="s">
        <v>133</v>
      </c>
      <c r="AM41" s="169" t="s">
        <v>65</v>
      </c>
      <c r="AN41" s="124">
        <v>0.58012156836550677</v>
      </c>
      <c r="AO41" s="124">
        <v>0.32990448199853056</v>
      </c>
      <c r="AP41" s="155" t="s">
        <v>158</v>
      </c>
      <c r="AQ41" s="124">
        <v>0.37514750740320191</v>
      </c>
      <c r="AR41" s="169" t="s">
        <v>65</v>
      </c>
      <c r="AS41" s="124">
        <v>0.2898492641328792</v>
      </c>
      <c r="AT41" s="124">
        <v>0.1664551466167925</v>
      </c>
      <c r="AU41" s="124" t="s">
        <v>69</v>
      </c>
      <c r="AV41" s="124" t="s">
        <v>65</v>
      </c>
      <c r="AW41" s="124" t="s">
        <v>65</v>
      </c>
      <c r="AX41" s="124"/>
      <c r="AY41" s="124"/>
      <c r="AZ41" s="124"/>
      <c r="BA41" s="124"/>
      <c r="BB41" s="124"/>
      <c r="BC41" s="30" t="s">
        <v>158</v>
      </c>
      <c r="BD41" s="30" t="s">
        <v>158</v>
      </c>
      <c r="BE41" s="30" t="s">
        <v>158</v>
      </c>
      <c r="BF41" s="30" t="s">
        <v>158</v>
      </c>
      <c r="BG41" s="30" t="s">
        <v>158</v>
      </c>
      <c r="BH41" s="30" t="s">
        <v>158</v>
      </c>
      <c r="BI41" s="30" t="s">
        <v>158</v>
      </c>
      <c r="BJ41" s="30" t="s">
        <v>158</v>
      </c>
      <c r="BK41" s="30" t="s">
        <v>158</v>
      </c>
      <c r="BL41" s="30" t="s">
        <v>158</v>
      </c>
      <c r="BM41" s="30" t="s">
        <v>158</v>
      </c>
      <c r="BN41" s="170">
        <v>78</v>
      </c>
      <c r="BO41" s="156" t="s">
        <v>158</v>
      </c>
      <c r="BP41" s="156" t="s">
        <v>158</v>
      </c>
      <c r="BQ41" s="156" t="s">
        <v>158</v>
      </c>
      <c r="BR41" s="156" t="s">
        <v>158</v>
      </c>
      <c r="BS41" s="156" t="s">
        <v>158</v>
      </c>
      <c r="BT41" s="156" t="s">
        <v>158</v>
      </c>
      <c r="BU41" s="156" t="s">
        <v>158</v>
      </c>
      <c r="BV41" s="156" t="s">
        <v>158</v>
      </c>
      <c r="BW41" s="156" t="s">
        <v>158</v>
      </c>
      <c r="BX41" s="156" t="s">
        <v>158</v>
      </c>
      <c r="BY41" s="156" t="s">
        <v>158</v>
      </c>
      <c r="BZ41" s="156" t="s">
        <v>158</v>
      </c>
      <c r="CA41" s="156" t="s">
        <v>158</v>
      </c>
      <c r="CB41" s="156" t="s">
        <v>158</v>
      </c>
      <c r="CC41" s="156" t="s">
        <v>158</v>
      </c>
      <c r="CD41" s="156" t="s">
        <v>158</v>
      </c>
      <c r="CE41" s="156" t="s">
        <v>158</v>
      </c>
      <c r="CF41" s="156" t="s">
        <v>158</v>
      </c>
      <c r="CG41" s="156" t="s">
        <v>158</v>
      </c>
      <c r="CH41" s="156" t="s">
        <v>158</v>
      </c>
      <c r="CI41" s="156" t="s">
        <v>158</v>
      </c>
      <c r="CJ41" s="156" t="s">
        <v>158</v>
      </c>
      <c r="CK41" s="156" t="s">
        <v>158</v>
      </c>
      <c r="CL41" s="156" t="s">
        <v>158</v>
      </c>
      <c r="CM41" s="156" t="s">
        <v>158</v>
      </c>
      <c r="CN41" s="156" t="s">
        <v>158</v>
      </c>
      <c r="CO41" s="156" t="s">
        <v>158</v>
      </c>
      <c r="CP41" s="156" t="s">
        <v>158</v>
      </c>
      <c r="CQ41" s="156" t="s">
        <v>158</v>
      </c>
      <c r="CR41" s="156" t="s">
        <v>158</v>
      </c>
      <c r="CS41" s="156" t="s">
        <v>158</v>
      </c>
      <c r="CT41" s="156" t="s">
        <v>158</v>
      </c>
      <c r="CU41" s="156" t="s">
        <v>158</v>
      </c>
      <c r="CV41" s="156" t="s">
        <v>158</v>
      </c>
      <c r="CW41" s="156" t="s">
        <v>158</v>
      </c>
      <c r="CX41" s="156" t="s">
        <v>158</v>
      </c>
      <c r="CY41" s="157" t="s">
        <v>158</v>
      </c>
      <c r="CZ41" s="171"/>
      <c r="DA41" s="121"/>
      <c r="DB41" s="121"/>
      <c r="DC41" s="121"/>
      <c r="DD41" s="121"/>
      <c r="DE41" s="121"/>
      <c r="DF41" s="121"/>
      <c r="DG41" s="121"/>
      <c r="DH41" s="122"/>
    </row>
    <row r="42" spans="1:112" s="116" customFormat="1" x14ac:dyDescent="0.2">
      <c r="A42" s="132" t="s">
        <v>23</v>
      </c>
      <c r="B42" s="132" t="s">
        <v>23</v>
      </c>
      <c r="C42" s="148" t="s">
        <v>20</v>
      </c>
      <c r="D42" s="161"/>
      <c r="E42" s="132"/>
      <c r="F42" s="132"/>
      <c r="G42" s="162">
        <v>44797</v>
      </c>
      <c r="H42" s="134" t="s">
        <v>172</v>
      </c>
      <c r="I42" s="139" t="s">
        <v>33</v>
      </c>
      <c r="J42" s="139" t="s">
        <v>173</v>
      </c>
      <c r="K42" s="163">
        <v>0.442023026315782</v>
      </c>
      <c r="L42" s="30" t="s">
        <v>159</v>
      </c>
      <c r="M42" s="124">
        <v>0.27718755855349447</v>
      </c>
      <c r="N42" s="125">
        <v>1.6492598838298669</v>
      </c>
      <c r="O42" s="125">
        <v>6.5728592842420834</v>
      </c>
      <c r="P42" s="125">
        <v>4.4530728873899195</v>
      </c>
      <c r="Q42" s="125">
        <v>9.4289863219036913</v>
      </c>
      <c r="R42" s="125">
        <v>8.7423458872025481</v>
      </c>
      <c r="S42" s="125">
        <v>2.2187090125538695</v>
      </c>
      <c r="T42" s="128">
        <f t="shared" si="2"/>
        <v>33.342420835675469</v>
      </c>
      <c r="U42" s="152">
        <f t="shared" si="0"/>
        <v>326.78555446619373</v>
      </c>
      <c r="V42" s="176" t="s">
        <v>200</v>
      </c>
      <c r="W42" s="176">
        <v>3.2531663622193251E-2</v>
      </c>
      <c r="X42" s="176">
        <v>1.409133186801247E-2</v>
      </c>
      <c r="Y42" s="176">
        <v>1.9448899161992841E-2</v>
      </c>
      <c r="Z42" s="176" t="s">
        <v>200</v>
      </c>
      <c r="AA42" s="176" t="s">
        <v>200</v>
      </c>
      <c r="AB42" s="176" t="s">
        <v>200</v>
      </c>
      <c r="AC42" s="173">
        <v>0.22757699923579233</v>
      </c>
      <c r="AD42" s="173">
        <v>0.29364889388799087</v>
      </c>
      <c r="AE42" s="152">
        <f t="shared" si="1"/>
        <v>6.6071894652198565E-2</v>
      </c>
      <c r="AF42" s="127">
        <v>8.4317032040472171E-3</v>
      </c>
      <c r="AG42" s="154">
        <f t="shared" si="3"/>
        <v>9.5376289266247347E-2</v>
      </c>
      <c r="AH42" s="128">
        <v>11.220625528317841</v>
      </c>
      <c r="AI42" s="169" t="s">
        <v>65</v>
      </c>
      <c r="AJ42" s="82" t="s">
        <v>158</v>
      </c>
      <c r="AK42" s="166" t="s">
        <v>65</v>
      </c>
      <c r="AL42" s="169" t="s">
        <v>133</v>
      </c>
      <c r="AM42" s="169" t="s">
        <v>65</v>
      </c>
      <c r="AN42" s="124">
        <v>0.67401828940290509</v>
      </c>
      <c r="AO42" s="124">
        <v>0.17390302005686628</v>
      </c>
      <c r="AP42" s="155" t="s">
        <v>158</v>
      </c>
      <c r="AQ42" s="124">
        <v>0.448653910192372</v>
      </c>
      <c r="AR42" s="169" t="s">
        <v>65</v>
      </c>
      <c r="AS42" s="124">
        <v>0.82051282051282093</v>
      </c>
      <c r="AT42" s="124">
        <v>0.34158149542764937</v>
      </c>
      <c r="AU42" s="124" t="s">
        <v>69</v>
      </c>
      <c r="AV42" s="124" t="s">
        <v>65</v>
      </c>
      <c r="AW42" s="124" t="s">
        <v>65</v>
      </c>
      <c r="AX42" s="124"/>
      <c r="AY42" s="124"/>
      <c r="AZ42" s="124"/>
      <c r="BA42" s="124"/>
      <c r="BB42" s="124"/>
      <c r="BC42" s="30" t="s">
        <v>158</v>
      </c>
      <c r="BD42" s="30" t="s">
        <v>158</v>
      </c>
      <c r="BE42" s="30" t="s">
        <v>158</v>
      </c>
      <c r="BF42" s="30" t="s">
        <v>158</v>
      </c>
      <c r="BG42" s="30" t="s">
        <v>158</v>
      </c>
      <c r="BH42" s="30" t="s">
        <v>158</v>
      </c>
      <c r="BI42" s="30" t="s">
        <v>158</v>
      </c>
      <c r="BJ42" s="30" t="s">
        <v>158</v>
      </c>
      <c r="BK42" s="30" t="s">
        <v>158</v>
      </c>
      <c r="BL42" s="30" t="s">
        <v>158</v>
      </c>
      <c r="BM42" s="30" t="s">
        <v>158</v>
      </c>
      <c r="BN42" s="170">
        <v>390</v>
      </c>
      <c r="BO42" s="156" t="s">
        <v>158</v>
      </c>
      <c r="BP42" s="156" t="s">
        <v>158</v>
      </c>
      <c r="BQ42" s="156" t="s">
        <v>158</v>
      </c>
      <c r="BR42" s="156" t="s">
        <v>158</v>
      </c>
      <c r="BS42" s="156" t="s">
        <v>158</v>
      </c>
      <c r="BT42" s="156" t="s">
        <v>158</v>
      </c>
      <c r="BU42" s="156" t="s">
        <v>158</v>
      </c>
      <c r="BV42" s="156" t="s">
        <v>158</v>
      </c>
      <c r="BW42" s="156" t="s">
        <v>158</v>
      </c>
      <c r="BX42" s="156" t="s">
        <v>158</v>
      </c>
      <c r="BY42" s="156" t="s">
        <v>158</v>
      </c>
      <c r="BZ42" s="156" t="s">
        <v>158</v>
      </c>
      <c r="CA42" s="156" t="s">
        <v>158</v>
      </c>
      <c r="CB42" s="156" t="s">
        <v>158</v>
      </c>
      <c r="CC42" s="156" t="s">
        <v>158</v>
      </c>
      <c r="CD42" s="156" t="s">
        <v>158</v>
      </c>
      <c r="CE42" s="156" t="s">
        <v>158</v>
      </c>
      <c r="CF42" s="156" t="s">
        <v>158</v>
      </c>
      <c r="CG42" s="156" t="s">
        <v>158</v>
      </c>
      <c r="CH42" s="156" t="s">
        <v>158</v>
      </c>
      <c r="CI42" s="156" t="s">
        <v>158</v>
      </c>
      <c r="CJ42" s="156" t="s">
        <v>158</v>
      </c>
      <c r="CK42" s="156" t="s">
        <v>158</v>
      </c>
      <c r="CL42" s="156" t="s">
        <v>158</v>
      </c>
      <c r="CM42" s="156" t="s">
        <v>158</v>
      </c>
      <c r="CN42" s="156" t="s">
        <v>158</v>
      </c>
      <c r="CO42" s="156" t="s">
        <v>158</v>
      </c>
      <c r="CP42" s="156" t="s">
        <v>158</v>
      </c>
      <c r="CQ42" s="156" t="s">
        <v>158</v>
      </c>
      <c r="CR42" s="156" t="s">
        <v>158</v>
      </c>
      <c r="CS42" s="156" t="s">
        <v>158</v>
      </c>
      <c r="CT42" s="156" t="s">
        <v>158</v>
      </c>
      <c r="CU42" s="156" t="s">
        <v>158</v>
      </c>
      <c r="CV42" s="156" t="s">
        <v>158</v>
      </c>
      <c r="CW42" s="156" t="s">
        <v>158</v>
      </c>
      <c r="CX42" s="156" t="s">
        <v>158</v>
      </c>
      <c r="CY42" s="157" t="s">
        <v>158</v>
      </c>
      <c r="CZ42" s="171"/>
      <c r="DA42" s="121"/>
      <c r="DB42" s="121"/>
      <c r="DC42" s="121"/>
      <c r="DD42" s="121"/>
      <c r="DE42" s="121"/>
      <c r="DF42" s="121"/>
      <c r="DG42" s="121"/>
      <c r="DH42" s="122"/>
    </row>
    <row r="43" spans="1:112" s="116" customFormat="1" x14ac:dyDescent="0.2">
      <c r="A43" s="132" t="s">
        <v>5</v>
      </c>
      <c r="B43" s="132" t="s">
        <v>5</v>
      </c>
      <c r="C43" s="148" t="s">
        <v>20</v>
      </c>
      <c r="D43" s="161"/>
      <c r="E43" s="132"/>
      <c r="F43" s="132"/>
      <c r="G43" s="162">
        <v>44819</v>
      </c>
      <c r="H43" s="134" t="s">
        <v>172</v>
      </c>
      <c r="I43" s="139" t="s">
        <v>33</v>
      </c>
      <c r="J43" s="139" t="s">
        <v>173</v>
      </c>
      <c r="K43" s="163">
        <v>0.56092240573389496</v>
      </c>
      <c r="L43" s="30" t="s">
        <v>159</v>
      </c>
      <c r="M43" s="125">
        <v>1.9091693744922826</v>
      </c>
      <c r="N43" s="125">
        <v>3.705168562144598</v>
      </c>
      <c r="O43" s="128">
        <v>11.435428513403735</v>
      </c>
      <c r="P43" s="124">
        <v>9.6780767668562149</v>
      </c>
      <c r="Q43" s="128">
        <v>16.115465069049552</v>
      </c>
      <c r="R43" s="128">
        <v>15.075203086921201</v>
      </c>
      <c r="S43" s="125">
        <v>2.9742993501218522</v>
      </c>
      <c r="T43" s="128">
        <f t="shared" si="2"/>
        <v>60.892810722989431</v>
      </c>
      <c r="U43" s="152">
        <f t="shared" si="0"/>
        <v>456.52244795895888</v>
      </c>
      <c r="V43" s="176" t="s">
        <v>201</v>
      </c>
      <c r="W43" s="176">
        <v>8.9237697767672083E-2</v>
      </c>
      <c r="X43" s="176">
        <v>4.8572417772277207E-2</v>
      </c>
      <c r="Y43" s="176">
        <v>0.10817321191757452</v>
      </c>
      <c r="Z43" s="176" t="s">
        <v>201</v>
      </c>
      <c r="AA43" s="176">
        <v>2.5244875026380918E-2</v>
      </c>
      <c r="AB43" s="177">
        <v>2.2655520966523773E-2</v>
      </c>
      <c r="AC43" s="173">
        <v>0.11218151532684814</v>
      </c>
      <c r="AD43" s="173">
        <v>0.40606523877727663</v>
      </c>
      <c r="AE43" s="152">
        <f t="shared" si="1"/>
        <v>0.29388372345042851</v>
      </c>
      <c r="AF43" s="127">
        <v>2.7416734362307065E-3</v>
      </c>
      <c r="AG43" s="154">
        <f t="shared" si="3"/>
        <v>2.4438972380177778E-2</v>
      </c>
      <c r="AH43" s="125">
        <v>3.7842987804878048</v>
      </c>
      <c r="AI43" s="169" t="s">
        <v>65</v>
      </c>
      <c r="AJ43" s="82" t="s">
        <v>158</v>
      </c>
      <c r="AK43" s="166" t="s">
        <v>65</v>
      </c>
      <c r="AL43" s="169" t="s">
        <v>133</v>
      </c>
      <c r="AM43" s="169" t="s">
        <v>65</v>
      </c>
      <c r="AN43" s="124">
        <v>0.21493902439024387</v>
      </c>
      <c r="AO43" s="124">
        <v>0.10428215077605321</v>
      </c>
      <c r="AP43" s="155" t="s">
        <v>158</v>
      </c>
      <c r="AQ43" s="124">
        <v>0.16056910569105692</v>
      </c>
      <c r="AR43" s="169" t="s">
        <v>65</v>
      </c>
      <c r="AS43" s="124">
        <v>0.6337536954915004</v>
      </c>
      <c r="AT43" s="124">
        <v>0.23815133037694014</v>
      </c>
      <c r="AU43" s="124" t="s">
        <v>69</v>
      </c>
      <c r="AV43" s="124" t="s">
        <v>65</v>
      </c>
      <c r="AW43" s="124" t="s">
        <v>65</v>
      </c>
      <c r="AX43" s="124"/>
      <c r="AY43" s="124"/>
      <c r="AZ43" s="124"/>
      <c r="BA43" s="124"/>
      <c r="BB43" s="124"/>
      <c r="BC43" s="30" t="s">
        <v>158</v>
      </c>
      <c r="BD43" s="30" t="s">
        <v>158</v>
      </c>
      <c r="BE43" s="30" t="s">
        <v>158</v>
      </c>
      <c r="BF43" s="30" t="s">
        <v>158</v>
      </c>
      <c r="BG43" s="30" t="s">
        <v>158</v>
      </c>
      <c r="BH43" s="30" t="s">
        <v>158</v>
      </c>
      <c r="BI43" s="30" t="s">
        <v>158</v>
      </c>
      <c r="BJ43" s="30" t="s">
        <v>158</v>
      </c>
      <c r="BK43" s="30" t="s">
        <v>158</v>
      </c>
      <c r="BL43" s="30" t="s">
        <v>158</v>
      </c>
      <c r="BM43" s="30" t="s">
        <v>158</v>
      </c>
      <c r="BN43" s="170">
        <v>110</v>
      </c>
      <c r="BO43" s="156" t="s">
        <v>158</v>
      </c>
      <c r="BP43" s="156" t="s">
        <v>158</v>
      </c>
      <c r="BQ43" s="156" t="s">
        <v>158</v>
      </c>
      <c r="BR43" s="156" t="s">
        <v>158</v>
      </c>
      <c r="BS43" s="156" t="s">
        <v>158</v>
      </c>
      <c r="BT43" s="156" t="s">
        <v>158</v>
      </c>
      <c r="BU43" s="156" t="s">
        <v>158</v>
      </c>
      <c r="BV43" s="156" t="s">
        <v>158</v>
      </c>
      <c r="BW43" s="156" t="s">
        <v>158</v>
      </c>
      <c r="BX43" s="156" t="s">
        <v>158</v>
      </c>
      <c r="BY43" s="156" t="s">
        <v>158</v>
      </c>
      <c r="BZ43" s="156" t="s">
        <v>158</v>
      </c>
      <c r="CA43" s="156" t="s">
        <v>158</v>
      </c>
      <c r="CB43" s="156" t="s">
        <v>158</v>
      </c>
      <c r="CC43" s="156" t="s">
        <v>158</v>
      </c>
      <c r="CD43" s="156" t="s">
        <v>158</v>
      </c>
      <c r="CE43" s="156" t="s">
        <v>158</v>
      </c>
      <c r="CF43" s="156" t="s">
        <v>158</v>
      </c>
      <c r="CG43" s="156" t="s">
        <v>158</v>
      </c>
      <c r="CH43" s="156" t="s">
        <v>158</v>
      </c>
      <c r="CI43" s="156" t="s">
        <v>158</v>
      </c>
      <c r="CJ43" s="156" t="s">
        <v>158</v>
      </c>
      <c r="CK43" s="156" t="s">
        <v>158</v>
      </c>
      <c r="CL43" s="156" t="s">
        <v>158</v>
      </c>
      <c r="CM43" s="156" t="s">
        <v>158</v>
      </c>
      <c r="CN43" s="156" t="s">
        <v>158</v>
      </c>
      <c r="CO43" s="156" t="s">
        <v>158</v>
      </c>
      <c r="CP43" s="156" t="s">
        <v>158</v>
      </c>
      <c r="CQ43" s="156" t="s">
        <v>158</v>
      </c>
      <c r="CR43" s="156" t="s">
        <v>158</v>
      </c>
      <c r="CS43" s="156" t="s">
        <v>158</v>
      </c>
      <c r="CT43" s="156" t="s">
        <v>158</v>
      </c>
      <c r="CU43" s="156" t="s">
        <v>158</v>
      </c>
      <c r="CV43" s="156" t="s">
        <v>158</v>
      </c>
      <c r="CW43" s="156" t="s">
        <v>158</v>
      </c>
      <c r="CX43" s="156" t="s">
        <v>158</v>
      </c>
      <c r="CY43" s="157" t="s">
        <v>158</v>
      </c>
      <c r="CZ43" s="171"/>
      <c r="DA43" s="121"/>
      <c r="DB43" s="121"/>
      <c r="DC43" s="121"/>
      <c r="DD43" s="121"/>
      <c r="DE43" s="121"/>
      <c r="DF43" s="121"/>
      <c r="DG43" s="121"/>
      <c r="DH43" s="122"/>
    </row>
    <row r="44" spans="1:112" s="116" customFormat="1" x14ac:dyDescent="0.2">
      <c r="A44" s="132" t="s">
        <v>171</v>
      </c>
      <c r="B44" s="132" t="s">
        <v>171</v>
      </c>
      <c r="C44" s="148" t="s">
        <v>20</v>
      </c>
      <c r="D44" s="161"/>
      <c r="E44" s="132"/>
      <c r="F44" s="132"/>
      <c r="G44" s="162">
        <v>44819</v>
      </c>
      <c r="H44" s="134" t="s">
        <v>172</v>
      </c>
      <c r="I44" s="139" t="s">
        <v>33</v>
      </c>
      <c r="J44" s="139" t="s">
        <v>173</v>
      </c>
      <c r="K44" s="163">
        <v>0.52541282436199299</v>
      </c>
      <c r="L44" s="30" t="s">
        <v>159</v>
      </c>
      <c r="M44" s="124">
        <v>0.40043976273266518</v>
      </c>
      <c r="N44" s="125">
        <v>1.4289527510738391</v>
      </c>
      <c r="O44" s="125">
        <v>5.0307527101656779</v>
      </c>
      <c r="P44" s="125">
        <v>4.382368582532215</v>
      </c>
      <c r="Q44" s="125">
        <v>8.3414604213540589</v>
      </c>
      <c r="R44" s="125">
        <v>6.2609736142360397</v>
      </c>
      <c r="S44" s="125">
        <v>1.4847105747596645</v>
      </c>
      <c r="T44" s="128">
        <f t="shared" si="2"/>
        <v>27.329658416854159</v>
      </c>
      <c r="U44" s="152">
        <f>SUM(M44,N44,O44,Q44,R44,S44)*(5/K44)</f>
        <v>218.37390305600897</v>
      </c>
      <c r="V44" s="176" t="s">
        <v>202</v>
      </c>
      <c r="W44" s="176">
        <v>5.4267768754741479E-2</v>
      </c>
      <c r="X44" s="176">
        <v>1.9133812488933991E-2</v>
      </c>
      <c r="Y44" s="177">
        <v>1.2703208291579626E-2</v>
      </c>
      <c r="Z44" s="176" t="s">
        <v>202</v>
      </c>
      <c r="AA44" s="177">
        <v>1.3314142023678813E-2</v>
      </c>
      <c r="AB44" s="176" t="s">
        <v>202</v>
      </c>
      <c r="AC44" s="180">
        <v>8.3859443016137764E-2</v>
      </c>
      <c r="AD44" s="124">
        <v>0.18327837457507168</v>
      </c>
      <c r="AE44" s="152">
        <f t="shared" si="1"/>
        <v>9.9418931558933901E-2</v>
      </c>
      <c r="AF44" s="127">
        <v>1.7385968500715893E-3</v>
      </c>
      <c r="AG44" s="154">
        <f t="shared" si="3"/>
        <v>1.6545055330375324E-2</v>
      </c>
      <c r="AH44" s="125">
        <v>4.3768952647539061</v>
      </c>
      <c r="AI44" s="169" t="s">
        <v>65</v>
      </c>
      <c r="AJ44" s="82" t="s">
        <v>158</v>
      </c>
      <c r="AK44" s="166" t="s">
        <v>65</v>
      </c>
      <c r="AL44" s="169" t="s">
        <v>133</v>
      </c>
      <c r="AM44" s="169" t="s">
        <v>65</v>
      </c>
      <c r="AN44" s="166">
        <v>0.48588756706321429</v>
      </c>
      <c r="AO44" s="166">
        <v>0.25379052950781428</v>
      </c>
      <c r="AP44" s="155" t="s">
        <v>158</v>
      </c>
      <c r="AQ44" s="166">
        <v>0.33230308685172222</v>
      </c>
      <c r="AR44" s="169" t="s">
        <v>65</v>
      </c>
      <c r="AS44" s="166">
        <v>0.58335277194619384</v>
      </c>
      <c r="AT44" s="166">
        <v>0.24865873571261951</v>
      </c>
      <c r="AU44" s="166" t="s">
        <v>69</v>
      </c>
      <c r="AV44" s="124" t="s">
        <v>65</v>
      </c>
      <c r="AW44" s="166" t="s">
        <v>65</v>
      </c>
      <c r="AX44" s="166"/>
      <c r="AY44" s="166"/>
      <c r="AZ44" s="166"/>
      <c r="BA44" s="166"/>
      <c r="BB44" s="166"/>
      <c r="BC44" s="30" t="s">
        <v>158</v>
      </c>
      <c r="BD44" s="30" t="s">
        <v>158</v>
      </c>
      <c r="BE44" s="30" t="s">
        <v>158</v>
      </c>
      <c r="BF44" s="30" t="s">
        <v>158</v>
      </c>
      <c r="BG44" s="30" t="s">
        <v>158</v>
      </c>
      <c r="BH44" s="30" t="s">
        <v>158</v>
      </c>
      <c r="BI44" s="30" t="s">
        <v>158</v>
      </c>
      <c r="BJ44" s="30" t="s">
        <v>158</v>
      </c>
      <c r="BK44" s="30" t="s">
        <v>158</v>
      </c>
      <c r="BL44" s="30" t="s">
        <v>158</v>
      </c>
      <c r="BM44" s="30" t="s">
        <v>158</v>
      </c>
      <c r="BN44" s="170">
        <v>40</v>
      </c>
      <c r="BO44" s="156" t="s">
        <v>158</v>
      </c>
      <c r="BP44" s="156" t="s">
        <v>158</v>
      </c>
      <c r="BQ44" s="156" t="s">
        <v>158</v>
      </c>
      <c r="BR44" s="156" t="s">
        <v>158</v>
      </c>
      <c r="BS44" s="156" t="s">
        <v>158</v>
      </c>
      <c r="BT44" s="156" t="s">
        <v>158</v>
      </c>
      <c r="BU44" s="156" t="s">
        <v>158</v>
      </c>
      <c r="BV44" s="156" t="s">
        <v>158</v>
      </c>
      <c r="BW44" s="156" t="s">
        <v>158</v>
      </c>
      <c r="BX44" s="156" t="s">
        <v>158</v>
      </c>
      <c r="BY44" s="156" t="s">
        <v>158</v>
      </c>
      <c r="BZ44" s="156" t="s">
        <v>158</v>
      </c>
      <c r="CA44" s="156" t="s">
        <v>158</v>
      </c>
      <c r="CB44" s="156" t="s">
        <v>158</v>
      </c>
      <c r="CC44" s="156" t="s">
        <v>158</v>
      </c>
      <c r="CD44" s="156" t="s">
        <v>158</v>
      </c>
      <c r="CE44" s="156" t="s">
        <v>158</v>
      </c>
      <c r="CF44" s="156" t="s">
        <v>158</v>
      </c>
      <c r="CG44" s="156" t="s">
        <v>158</v>
      </c>
      <c r="CH44" s="156" t="s">
        <v>158</v>
      </c>
      <c r="CI44" s="156" t="s">
        <v>158</v>
      </c>
      <c r="CJ44" s="156" t="s">
        <v>158</v>
      </c>
      <c r="CK44" s="156" t="s">
        <v>158</v>
      </c>
      <c r="CL44" s="156" t="s">
        <v>158</v>
      </c>
      <c r="CM44" s="156" t="s">
        <v>158</v>
      </c>
      <c r="CN44" s="156" t="s">
        <v>158</v>
      </c>
      <c r="CO44" s="156" t="s">
        <v>158</v>
      </c>
      <c r="CP44" s="156" t="s">
        <v>158</v>
      </c>
      <c r="CQ44" s="156" t="s">
        <v>158</v>
      </c>
      <c r="CR44" s="156" t="s">
        <v>158</v>
      </c>
      <c r="CS44" s="156" t="s">
        <v>158</v>
      </c>
      <c r="CT44" s="156" t="s">
        <v>158</v>
      </c>
      <c r="CU44" s="156" t="s">
        <v>158</v>
      </c>
      <c r="CV44" s="156" t="s">
        <v>158</v>
      </c>
      <c r="CW44" s="156" t="s">
        <v>158</v>
      </c>
      <c r="CX44" s="156" t="s">
        <v>158</v>
      </c>
      <c r="CY44" s="157" t="s">
        <v>158</v>
      </c>
      <c r="CZ44" s="171"/>
      <c r="DA44" s="121"/>
      <c r="DB44" s="121"/>
      <c r="DC44" s="121"/>
      <c r="DD44" s="121"/>
      <c r="DE44" s="121"/>
      <c r="DF44" s="121"/>
      <c r="DG44" s="121"/>
      <c r="DH44" s="122"/>
    </row>
    <row r="45" spans="1:112" x14ac:dyDescent="0.2">
      <c r="A45" s="106" t="s">
        <v>4</v>
      </c>
      <c r="B45" s="106" t="s">
        <v>4</v>
      </c>
      <c r="C45" s="14" t="s">
        <v>20</v>
      </c>
      <c r="G45" s="28">
        <v>44483</v>
      </c>
      <c r="H45" s="16">
        <v>2021</v>
      </c>
      <c r="I45" s="135" t="s">
        <v>33</v>
      </c>
      <c r="J45" s="135">
        <v>10</v>
      </c>
      <c r="K45" s="140">
        <v>0.85</v>
      </c>
      <c r="L45" s="5" t="s">
        <v>159</v>
      </c>
      <c r="M45" s="76">
        <v>0.49893779904306224</v>
      </c>
      <c r="N45" s="77">
        <v>1.1133397129186604</v>
      </c>
      <c r="O45" s="77">
        <v>3.7973588516746415</v>
      </c>
      <c r="P45" s="77">
        <v>3.4587846889952156</v>
      </c>
      <c r="Q45" s="77">
        <v>7.6062679425837327</v>
      </c>
      <c r="R45" s="77">
        <v>6.8954928229665082</v>
      </c>
      <c r="S45" s="77">
        <v>2.1574736842105264</v>
      </c>
      <c r="T45" s="78">
        <f t="shared" si="2"/>
        <v>25.527655502392346</v>
      </c>
      <c r="U45" s="17">
        <f t="shared" ref="U45:U108" si="4">SUM(M45,N45,O45,Q45,R45,S45)*(5/K45)</f>
        <v>129.81688713763018</v>
      </c>
      <c r="V45" s="79">
        <v>7.7000000000000002E-3</v>
      </c>
      <c r="W45" s="76">
        <v>0.19</v>
      </c>
      <c r="X45" s="80">
        <v>5.6000000000000001E-2</v>
      </c>
      <c r="Y45" s="76">
        <v>0.13</v>
      </c>
      <c r="Z45" s="83" t="s">
        <v>76</v>
      </c>
      <c r="AA45" s="80">
        <v>2.8000000000000001E-2</v>
      </c>
      <c r="AB45" s="79">
        <v>2.3E-2</v>
      </c>
      <c r="AC45" s="76" t="s">
        <v>65</v>
      </c>
      <c r="AD45" s="76">
        <v>0.43470000000000009</v>
      </c>
      <c r="AE45" s="17">
        <f>SUM(V45,W45,Y45,X45,AB45,AA45)</f>
        <v>0.43470000000000003</v>
      </c>
      <c r="AF45" s="81">
        <v>4.2296650717703353E-2</v>
      </c>
      <c r="AG45" s="18">
        <f t="shared" si="3"/>
        <v>0.24880382775119622</v>
      </c>
      <c r="AH45" s="96">
        <v>23.498233673046133</v>
      </c>
      <c r="AI45" s="97" t="s">
        <v>133</v>
      </c>
      <c r="AJ45" s="114" t="s">
        <v>158</v>
      </c>
      <c r="AK45" s="97" t="s">
        <v>158</v>
      </c>
      <c r="AL45" s="97" t="s">
        <v>65</v>
      </c>
      <c r="AM45" s="97" t="s">
        <v>65</v>
      </c>
      <c r="AN45" s="98">
        <v>1.8116525834161761</v>
      </c>
      <c r="AO45" s="97" t="s">
        <v>133</v>
      </c>
      <c r="AP45" s="16" t="s">
        <v>158</v>
      </c>
      <c r="AQ45" s="97">
        <v>0.85981041778185618</v>
      </c>
      <c r="AR45" s="97" t="s">
        <v>69</v>
      </c>
      <c r="AS45" s="98">
        <v>2.2384839041945002</v>
      </c>
      <c r="AT45" s="97">
        <v>0.64320530957661037</v>
      </c>
      <c r="AU45" s="97">
        <v>0.65453016051777246</v>
      </c>
      <c r="AV45" s="97" t="s">
        <v>133</v>
      </c>
      <c r="AW45" s="96" t="s">
        <v>154</v>
      </c>
      <c r="AX45" s="96"/>
      <c r="AY45" s="96"/>
      <c r="AZ45" s="96"/>
      <c r="BA45" s="96"/>
      <c r="BB45" s="96"/>
      <c r="BC45" s="5" t="s">
        <v>158</v>
      </c>
      <c r="BD45" s="5" t="s">
        <v>158</v>
      </c>
      <c r="BE45" s="5" t="s">
        <v>158</v>
      </c>
      <c r="BF45" s="5" t="s">
        <v>158</v>
      </c>
      <c r="BG45" s="5" t="s">
        <v>158</v>
      </c>
      <c r="BH45" s="5" t="s">
        <v>158</v>
      </c>
      <c r="BI45" s="5" t="s">
        <v>158</v>
      </c>
      <c r="BJ45" s="5" t="s">
        <v>158</v>
      </c>
      <c r="BK45" s="5" t="s">
        <v>158</v>
      </c>
      <c r="BL45" s="5" t="s">
        <v>158</v>
      </c>
      <c r="BM45" s="5" t="s">
        <v>158</v>
      </c>
      <c r="BN45" s="1">
        <v>110</v>
      </c>
      <c r="BO45" s="64" t="s">
        <v>158</v>
      </c>
      <c r="BP45" s="64" t="s">
        <v>158</v>
      </c>
      <c r="BQ45" s="64" t="s">
        <v>158</v>
      </c>
      <c r="BR45" s="64" t="s">
        <v>158</v>
      </c>
      <c r="BS45" s="64" t="s">
        <v>158</v>
      </c>
      <c r="BT45" s="64" t="s">
        <v>158</v>
      </c>
      <c r="BU45" s="64" t="s">
        <v>158</v>
      </c>
      <c r="BV45" s="64" t="s">
        <v>158</v>
      </c>
      <c r="BW45" s="64" t="s">
        <v>158</v>
      </c>
      <c r="BX45" s="64" t="s">
        <v>158</v>
      </c>
      <c r="BY45" s="64" t="s">
        <v>158</v>
      </c>
      <c r="BZ45" s="64" t="s">
        <v>158</v>
      </c>
      <c r="CA45" s="64" t="s">
        <v>158</v>
      </c>
      <c r="CB45" s="64" t="s">
        <v>158</v>
      </c>
      <c r="CC45" s="64" t="s">
        <v>158</v>
      </c>
      <c r="CD45" s="64" t="s">
        <v>158</v>
      </c>
      <c r="CE45" s="64" t="s">
        <v>158</v>
      </c>
      <c r="CF45" s="64" t="s">
        <v>158</v>
      </c>
      <c r="CG45" s="64" t="s">
        <v>158</v>
      </c>
      <c r="CH45" s="64" t="s">
        <v>158</v>
      </c>
      <c r="CI45" s="64" t="s">
        <v>158</v>
      </c>
      <c r="CJ45" s="64" t="s">
        <v>158</v>
      </c>
      <c r="CK45" s="64" t="s">
        <v>158</v>
      </c>
      <c r="CL45" s="64" t="s">
        <v>158</v>
      </c>
      <c r="CM45" s="64" t="s">
        <v>158</v>
      </c>
      <c r="CN45" s="64" t="s">
        <v>158</v>
      </c>
      <c r="CO45" s="64" t="s">
        <v>158</v>
      </c>
      <c r="CP45" s="64" t="s">
        <v>158</v>
      </c>
      <c r="CQ45" s="64" t="s">
        <v>158</v>
      </c>
      <c r="CR45" s="64" t="s">
        <v>158</v>
      </c>
      <c r="CS45" s="64" t="s">
        <v>158</v>
      </c>
      <c r="CT45" s="64" t="s">
        <v>158</v>
      </c>
      <c r="CU45" s="64" t="s">
        <v>158</v>
      </c>
      <c r="CV45" s="64" t="s">
        <v>158</v>
      </c>
      <c r="CW45" s="64" t="s">
        <v>158</v>
      </c>
      <c r="CX45" s="64" t="s">
        <v>158</v>
      </c>
      <c r="CY45" s="66" t="s">
        <v>158</v>
      </c>
      <c r="CZ45" s="73"/>
    </row>
    <row r="46" spans="1:112" x14ac:dyDescent="0.2">
      <c r="A46" s="106" t="s">
        <v>9</v>
      </c>
      <c r="B46" s="106" t="s">
        <v>9</v>
      </c>
      <c r="C46" s="14" t="s">
        <v>20</v>
      </c>
      <c r="G46" s="28">
        <v>44467</v>
      </c>
      <c r="H46" s="16">
        <v>2021</v>
      </c>
      <c r="I46" s="135" t="s">
        <v>33</v>
      </c>
      <c r="J46" s="135">
        <v>10</v>
      </c>
      <c r="K46" s="140">
        <v>0.74</v>
      </c>
      <c r="L46" s="5" t="s">
        <v>159</v>
      </c>
      <c r="M46" s="79">
        <v>3.0484827345657484E-2</v>
      </c>
      <c r="N46" s="76">
        <v>0.12925531914893618</v>
      </c>
      <c r="O46" s="77">
        <v>1.0435734216951518</v>
      </c>
      <c r="P46" s="76">
        <v>0.78927014300662712</v>
      </c>
      <c r="Q46" s="77">
        <v>3.9455964422741543</v>
      </c>
      <c r="R46" s="77">
        <v>3.0762469480292989</v>
      </c>
      <c r="S46" s="77">
        <v>1.5950470875479597</v>
      </c>
      <c r="T46" s="78">
        <f t="shared" si="2"/>
        <v>10.609474189047786</v>
      </c>
      <c r="U46" s="17">
        <f t="shared" si="4"/>
        <v>66.352730040818628</v>
      </c>
      <c r="V46" s="82" t="s">
        <v>68</v>
      </c>
      <c r="W46" s="80">
        <v>0.09</v>
      </c>
      <c r="X46" s="80">
        <v>2.5999999999999999E-2</v>
      </c>
      <c r="Y46" s="80">
        <v>2.9000000000000001E-2</v>
      </c>
      <c r="Z46" s="92" t="s">
        <v>68</v>
      </c>
      <c r="AA46" s="79">
        <v>2.1000000000000001E-2</v>
      </c>
      <c r="AB46" s="79">
        <v>1.2E-2</v>
      </c>
      <c r="AC46" s="76" t="s">
        <v>65</v>
      </c>
      <c r="AD46" s="76">
        <v>0.17799999999999999</v>
      </c>
      <c r="AE46" s="17">
        <f>SUM(V46,W46,Y46,X46,AB46,AA46)</f>
        <v>0.17799999999999999</v>
      </c>
      <c r="AF46" s="80">
        <v>1.1771886989884899E-2</v>
      </c>
      <c r="AG46" s="18">
        <f t="shared" si="3"/>
        <v>7.9539776958681752E-2</v>
      </c>
      <c r="AH46" s="98">
        <v>3.1505038066233935</v>
      </c>
      <c r="AI46" s="97" t="s">
        <v>133</v>
      </c>
      <c r="AJ46" s="114" t="s">
        <v>158</v>
      </c>
      <c r="AK46" s="97" t="s">
        <v>158</v>
      </c>
      <c r="AL46" s="97" t="s">
        <v>65</v>
      </c>
      <c r="AM46" s="97" t="s">
        <v>65</v>
      </c>
      <c r="AN46" s="98">
        <v>1.1241853438952707</v>
      </c>
      <c r="AO46" s="97" t="s">
        <v>133</v>
      </c>
      <c r="AP46" s="16" t="s">
        <v>158</v>
      </c>
      <c r="AQ46" s="97">
        <v>0.47843247415663104</v>
      </c>
      <c r="AR46" s="97" t="s">
        <v>69</v>
      </c>
      <c r="AS46" s="97">
        <v>0.93365791734129977</v>
      </c>
      <c r="AT46" s="97">
        <v>0.23413826297454951</v>
      </c>
      <c r="AU46" s="97">
        <v>0.35017341783436057</v>
      </c>
      <c r="AV46" s="97" t="s">
        <v>133</v>
      </c>
      <c r="AW46" s="96" t="s">
        <v>154</v>
      </c>
      <c r="AX46" s="96"/>
      <c r="AY46" s="96"/>
      <c r="AZ46" s="96"/>
      <c r="BA46" s="96"/>
      <c r="BB46" s="96"/>
      <c r="BC46" s="5" t="s">
        <v>158</v>
      </c>
      <c r="BD46" s="5" t="s">
        <v>158</v>
      </c>
      <c r="BE46" s="5" t="s">
        <v>158</v>
      </c>
      <c r="BF46" s="5" t="s">
        <v>158</v>
      </c>
      <c r="BG46" s="5" t="s">
        <v>158</v>
      </c>
      <c r="BH46" s="5" t="s">
        <v>158</v>
      </c>
      <c r="BI46" s="5" t="s">
        <v>158</v>
      </c>
      <c r="BJ46" s="5" t="s">
        <v>158</v>
      </c>
      <c r="BK46" s="5" t="s">
        <v>158</v>
      </c>
      <c r="BL46" s="5" t="s">
        <v>158</v>
      </c>
      <c r="BM46" s="5" t="s">
        <v>158</v>
      </c>
      <c r="BN46" s="1">
        <v>65</v>
      </c>
      <c r="BO46" s="64" t="s">
        <v>158</v>
      </c>
      <c r="BP46" s="64" t="s">
        <v>158</v>
      </c>
      <c r="BQ46" s="64" t="s">
        <v>158</v>
      </c>
      <c r="BR46" s="64" t="s">
        <v>158</v>
      </c>
      <c r="BS46" s="64" t="s">
        <v>158</v>
      </c>
      <c r="BT46" s="64" t="s">
        <v>158</v>
      </c>
      <c r="BU46" s="64" t="s">
        <v>158</v>
      </c>
      <c r="BV46" s="64" t="s">
        <v>158</v>
      </c>
      <c r="BW46" s="64" t="s">
        <v>158</v>
      </c>
      <c r="BX46" s="64" t="s">
        <v>158</v>
      </c>
      <c r="BY46" s="64" t="s">
        <v>158</v>
      </c>
      <c r="BZ46" s="64" t="s">
        <v>158</v>
      </c>
      <c r="CA46" s="64" t="s">
        <v>158</v>
      </c>
      <c r="CB46" s="64" t="s">
        <v>158</v>
      </c>
      <c r="CC46" s="64" t="s">
        <v>158</v>
      </c>
      <c r="CD46" s="64" t="s">
        <v>158</v>
      </c>
      <c r="CE46" s="64" t="s">
        <v>158</v>
      </c>
      <c r="CF46" s="64" t="s">
        <v>158</v>
      </c>
      <c r="CG46" s="64" t="s">
        <v>158</v>
      </c>
      <c r="CH46" s="64" t="s">
        <v>158</v>
      </c>
      <c r="CI46" s="64" t="s">
        <v>158</v>
      </c>
      <c r="CJ46" s="64" t="s">
        <v>158</v>
      </c>
      <c r="CK46" s="64" t="s">
        <v>158</v>
      </c>
      <c r="CL46" s="64" t="s">
        <v>158</v>
      </c>
      <c r="CM46" s="64" t="s">
        <v>158</v>
      </c>
      <c r="CN46" s="64" t="s">
        <v>158</v>
      </c>
      <c r="CO46" s="64" t="s">
        <v>158</v>
      </c>
      <c r="CP46" s="64" t="s">
        <v>158</v>
      </c>
      <c r="CQ46" s="64" t="s">
        <v>158</v>
      </c>
      <c r="CR46" s="64" t="s">
        <v>158</v>
      </c>
      <c r="CS46" s="64" t="s">
        <v>158</v>
      </c>
      <c r="CT46" s="64" t="s">
        <v>158</v>
      </c>
      <c r="CU46" s="64" t="s">
        <v>158</v>
      </c>
      <c r="CV46" s="64" t="s">
        <v>158</v>
      </c>
      <c r="CW46" s="64" t="s">
        <v>158</v>
      </c>
      <c r="CX46" s="64" t="s">
        <v>158</v>
      </c>
      <c r="CY46" s="66" t="s">
        <v>158</v>
      </c>
      <c r="CZ46" s="73"/>
    </row>
    <row r="47" spans="1:112" x14ac:dyDescent="0.2">
      <c r="A47" s="106" t="s">
        <v>7</v>
      </c>
      <c r="B47" s="106" t="s">
        <v>7</v>
      </c>
      <c r="C47" s="14" t="s">
        <v>20</v>
      </c>
      <c r="G47" s="28">
        <v>44438</v>
      </c>
      <c r="H47" s="16">
        <v>2021</v>
      </c>
      <c r="I47" s="135" t="s">
        <v>33</v>
      </c>
      <c r="J47" s="135">
        <v>10</v>
      </c>
      <c r="K47" s="140">
        <v>0.68</v>
      </c>
      <c r="L47" s="5" t="s">
        <v>159</v>
      </c>
      <c r="M47" s="80">
        <v>5.5391373237081168E-2</v>
      </c>
      <c r="N47" s="76">
        <v>0.32046993040674343</v>
      </c>
      <c r="O47" s="76">
        <v>0.79731127826721071</v>
      </c>
      <c r="P47" s="76">
        <v>0.81743822258409171</v>
      </c>
      <c r="Q47" s="77">
        <v>1.8820679694486768</v>
      </c>
      <c r="R47" s="77">
        <v>1.6658696724531601</v>
      </c>
      <c r="S47" s="76">
        <v>0.5953648059814094</v>
      </c>
      <c r="T47" s="77">
        <f t="shared" si="2"/>
        <v>6.1339132523783739</v>
      </c>
      <c r="U47" s="17">
        <f t="shared" si="4"/>
        <v>39.091728160252067</v>
      </c>
      <c r="V47" s="80" t="s">
        <v>76</v>
      </c>
      <c r="W47" s="76">
        <v>0.12</v>
      </c>
      <c r="X47" s="80">
        <v>2.1000000000000001E-2</v>
      </c>
      <c r="Y47" s="80">
        <v>6.2E-2</v>
      </c>
      <c r="Z47" s="92" t="s">
        <v>76</v>
      </c>
      <c r="AA47" s="79">
        <v>1.6E-2</v>
      </c>
      <c r="AB47" s="79">
        <v>1.2E-2</v>
      </c>
      <c r="AC47" s="80" t="s">
        <v>134</v>
      </c>
      <c r="AD47" s="76">
        <v>0.23099999999999998</v>
      </c>
      <c r="AE47" s="17">
        <f t="shared" ref="AE47:AE60" si="5">SUM(V47,W47,Y47,X47,AB47,AA47)</f>
        <v>0.23099999999999998</v>
      </c>
      <c r="AF47" s="81">
        <v>7.6761867628423824E-2</v>
      </c>
      <c r="AG47" s="18">
        <f t="shared" si="3"/>
        <v>0.56442549726782221</v>
      </c>
      <c r="AH47" s="96">
        <v>14.246413076027046</v>
      </c>
      <c r="AI47" s="97" t="s">
        <v>133</v>
      </c>
      <c r="AJ47" s="97" t="s">
        <v>158</v>
      </c>
      <c r="AK47" s="97" t="s">
        <v>158</v>
      </c>
      <c r="AL47" s="97" t="s">
        <v>65</v>
      </c>
      <c r="AM47" s="97">
        <v>0.12445238338716696</v>
      </c>
      <c r="AN47" s="97">
        <v>3.0022469472718574</v>
      </c>
      <c r="AO47" s="97">
        <v>0.71286404216296095</v>
      </c>
      <c r="AP47" s="16" t="s">
        <v>158</v>
      </c>
      <c r="AQ47" s="98">
        <v>1.4104732794085018</v>
      </c>
      <c r="AR47" s="97" t="s">
        <v>69</v>
      </c>
      <c r="AS47" s="98">
        <v>3.3684109753727403</v>
      </c>
      <c r="AT47" s="97">
        <v>0.41319329070514288</v>
      </c>
      <c r="AU47" s="97">
        <v>0.86394001001007326</v>
      </c>
      <c r="AV47" s="97" t="s">
        <v>133</v>
      </c>
      <c r="AW47" s="97">
        <v>0.12</v>
      </c>
      <c r="AX47" s="97"/>
      <c r="AY47" s="97"/>
      <c r="AZ47" s="97"/>
      <c r="BA47" s="97"/>
      <c r="BB47" s="97"/>
      <c r="BC47" s="5" t="s">
        <v>158</v>
      </c>
      <c r="BD47" s="5" t="s">
        <v>158</v>
      </c>
      <c r="BE47" s="5" t="s">
        <v>158</v>
      </c>
      <c r="BF47" s="5" t="s">
        <v>158</v>
      </c>
      <c r="BG47" s="5" t="s">
        <v>158</v>
      </c>
      <c r="BH47" s="5" t="s">
        <v>158</v>
      </c>
      <c r="BI47" s="5" t="s">
        <v>158</v>
      </c>
      <c r="BJ47" s="5" t="s">
        <v>158</v>
      </c>
      <c r="BK47" s="5" t="s">
        <v>158</v>
      </c>
      <c r="BL47" s="5" t="s">
        <v>158</v>
      </c>
      <c r="BM47" s="5" t="s">
        <v>158</v>
      </c>
      <c r="BN47" s="1">
        <v>110</v>
      </c>
      <c r="BO47" s="64" t="s">
        <v>158</v>
      </c>
      <c r="BP47" s="64" t="s">
        <v>158</v>
      </c>
      <c r="BQ47" s="64" t="s">
        <v>158</v>
      </c>
      <c r="BR47" s="64" t="s">
        <v>158</v>
      </c>
      <c r="BS47" s="64" t="s">
        <v>158</v>
      </c>
      <c r="BT47" s="64" t="s">
        <v>158</v>
      </c>
      <c r="BU47" s="64" t="s">
        <v>158</v>
      </c>
      <c r="BV47" s="64" t="s">
        <v>158</v>
      </c>
      <c r="BW47" s="64" t="s">
        <v>158</v>
      </c>
      <c r="BX47" s="64" t="s">
        <v>158</v>
      </c>
      <c r="BY47" s="64" t="s">
        <v>158</v>
      </c>
      <c r="BZ47" s="64" t="s">
        <v>158</v>
      </c>
      <c r="CA47" s="64" t="s">
        <v>158</v>
      </c>
      <c r="CB47" s="64" t="s">
        <v>158</v>
      </c>
      <c r="CC47" s="64" t="s">
        <v>158</v>
      </c>
      <c r="CD47" s="64" t="s">
        <v>158</v>
      </c>
      <c r="CE47" s="64" t="s">
        <v>158</v>
      </c>
      <c r="CF47" s="64" t="s">
        <v>158</v>
      </c>
      <c r="CG47" s="64" t="s">
        <v>158</v>
      </c>
      <c r="CH47" s="64" t="s">
        <v>158</v>
      </c>
      <c r="CI47" s="64" t="s">
        <v>158</v>
      </c>
      <c r="CJ47" s="64" t="s">
        <v>158</v>
      </c>
      <c r="CK47" s="64" t="s">
        <v>158</v>
      </c>
      <c r="CL47" s="64" t="s">
        <v>158</v>
      </c>
      <c r="CM47" s="64" t="s">
        <v>158</v>
      </c>
      <c r="CN47" s="64" t="s">
        <v>158</v>
      </c>
      <c r="CO47" s="64" t="s">
        <v>158</v>
      </c>
      <c r="CP47" s="64" t="s">
        <v>158</v>
      </c>
      <c r="CQ47" s="64" t="s">
        <v>158</v>
      </c>
      <c r="CR47" s="64" t="s">
        <v>158</v>
      </c>
      <c r="CS47" s="64" t="s">
        <v>158</v>
      </c>
      <c r="CT47" s="64" t="s">
        <v>158</v>
      </c>
      <c r="CU47" s="64" t="s">
        <v>158</v>
      </c>
      <c r="CV47" s="64" t="s">
        <v>158</v>
      </c>
      <c r="CW47" s="64" t="s">
        <v>158</v>
      </c>
      <c r="CX47" s="64" t="s">
        <v>158</v>
      </c>
      <c r="CY47" s="66" t="s">
        <v>158</v>
      </c>
      <c r="CZ47" s="73"/>
    </row>
    <row r="48" spans="1:112" x14ac:dyDescent="0.2">
      <c r="A48" s="106" t="s">
        <v>79</v>
      </c>
      <c r="B48" s="106" t="s">
        <v>79</v>
      </c>
      <c r="C48" s="14" t="s">
        <v>20</v>
      </c>
      <c r="G48" s="28">
        <v>44442</v>
      </c>
      <c r="H48" s="16">
        <v>2021</v>
      </c>
      <c r="I48" s="135" t="s">
        <v>33</v>
      </c>
      <c r="J48" s="135">
        <v>10</v>
      </c>
      <c r="K48" s="140">
        <v>0.68</v>
      </c>
      <c r="L48" s="5" t="s">
        <v>159</v>
      </c>
      <c r="M48" s="90">
        <v>0.17915292662819454</v>
      </c>
      <c r="N48" s="76">
        <v>0.52970939818631491</v>
      </c>
      <c r="O48" s="77">
        <v>2.112407254740313</v>
      </c>
      <c r="P48" s="77">
        <v>1.7389633140972793</v>
      </c>
      <c r="Q48" s="77">
        <v>4.1768446001648805</v>
      </c>
      <c r="R48" s="77">
        <v>3.6832749381698267</v>
      </c>
      <c r="S48" s="77">
        <v>1.2569661995053585</v>
      </c>
      <c r="T48" s="78">
        <f t="shared" si="2"/>
        <v>13.677318631492168</v>
      </c>
      <c r="U48" s="17">
        <f t="shared" si="4"/>
        <v>87.782024392609472</v>
      </c>
      <c r="V48" s="82" t="s">
        <v>40</v>
      </c>
      <c r="W48" s="80">
        <v>3.6999999999999998E-2</v>
      </c>
      <c r="X48" s="79">
        <v>6.7000000000000002E-3</v>
      </c>
      <c r="Y48" s="79">
        <v>1.9E-2</v>
      </c>
      <c r="Z48" s="92" t="s">
        <v>40</v>
      </c>
      <c r="AA48" s="82" t="s">
        <v>40</v>
      </c>
      <c r="AB48" s="82" t="s">
        <v>40</v>
      </c>
      <c r="AC48" s="80" t="s">
        <v>135</v>
      </c>
      <c r="AD48" s="76">
        <v>6.2699999999999992E-2</v>
      </c>
      <c r="AE48" s="17">
        <f t="shared" si="5"/>
        <v>6.2699999999999992E-2</v>
      </c>
      <c r="AF48" s="81">
        <v>1.1438582028029678E-2</v>
      </c>
      <c r="AG48" s="18">
        <f t="shared" si="3"/>
        <v>8.4107220794335871E-2</v>
      </c>
      <c r="AH48" s="96">
        <v>13.107063476831913</v>
      </c>
      <c r="AI48" s="97" t="s">
        <v>133</v>
      </c>
      <c r="AJ48" s="97" t="s">
        <v>158</v>
      </c>
      <c r="AK48" s="97" t="s">
        <v>158</v>
      </c>
      <c r="AL48" s="97" t="s">
        <v>65</v>
      </c>
      <c r="AM48" s="97" t="s">
        <v>65</v>
      </c>
      <c r="AN48" s="97">
        <v>0.57919280547925467</v>
      </c>
      <c r="AO48" s="97" t="s">
        <v>133</v>
      </c>
      <c r="AP48" s="16" t="s">
        <v>158</v>
      </c>
      <c r="AQ48" s="97">
        <v>0.49797376722762643</v>
      </c>
      <c r="AR48" s="97" t="s">
        <v>69</v>
      </c>
      <c r="AS48" s="98">
        <v>1.4763644160299385</v>
      </c>
      <c r="AT48" s="97">
        <v>0.22776001871199125</v>
      </c>
      <c r="AU48" s="97">
        <v>0.3341709748227758</v>
      </c>
      <c r="AV48" s="97" t="s">
        <v>133</v>
      </c>
      <c r="AW48" s="96" t="s">
        <v>154</v>
      </c>
      <c r="AX48" s="96"/>
      <c r="AY48" s="96"/>
      <c r="AZ48" s="96"/>
      <c r="BA48" s="96"/>
      <c r="BB48" s="96"/>
      <c r="BC48" s="5" t="s">
        <v>158</v>
      </c>
      <c r="BD48" s="5" t="s">
        <v>158</v>
      </c>
      <c r="BE48" s="5" t="s">
        <v>158</v>
      </c>
      <c r="BF48" s="5" t="s">
        <v>158</v>
      </c>
      <c r="BG48" s="5" t="s">
        <v>158</v>
      </c>
      <c r="BH48" s="5" t="s">
        <v>158</v>
      </c>
      <c r="BI48" s="5" t="s">
        <v>158</v>
      </c>
      <c r="BJ48" s="5" t="s">
        <v>158</v>
      </c>
      <c r="BK48" s="5" t="s">
        <v>158</v>
      </c>
      <c r="BL48" s="5" t="s">
        <v>158</v>
      </c>
      <c r="BM48" s="5" t="s">
        <v>158</v>
      </c>
      <c r="BN48" s="1">
        <v>170</v>
      </c>
      <c r="BO48" s="64" t="s">
        <v>158</v>
      </c>
      <c r="BP48" s="64" t="s">
        <v>158</v>
      </c>
      <c r="BQ48" s="64" t="s">
        <v>158</v>
      </c>
      <c r="BR48" s="64" t="s">
        <v>158</v>
      </c>
      <c r="BS48" s="64" t="s">
        <v>158</v>
      </c>
      <c r="BT48" s="64" t="s">
        <v>158</v>
      </c>
      <c r="BU48" s="64" t="s">
        <v>158</v>
      </c>
      <c r="BV48" s="64" t="s">
        <v>158</v>
      </c>
      <c r="BW48" s="64" t="s">
        <v>158</v>
      </c>
      <c r="BX48" s="64" t="s">
        <v>158</v>
      </c>
      <c r="BY48" s="64" t="s">
        <v>158</v>
      </c>
      <c r="BZ48" s="64" t="s">
        <v>158</v>
      </c>
      <c r="CA48" s="64" t="s">
        <v>158</v>
      </c>
      <c r="CB48" s="64" t="s">
        <v>158</v>
      </c>
      <c r="CC48" s="64" t="s">
        <v>158</v>
      </c>
      <c r="CD48" s="64" t="s">
        <v>158</v>
      </c>
      <c r="CE48" s="64" t="s">
        <v>158</v>
      </c>
      <c r="CF48" s="64" t="s">
        <v>158</v>
      </c>
      <c r="CG48" s="64" t="s">
        <v>158</v>
      </c>
      <c r="CH48" s="64" t="s">
        <v>158</v>
      </c>
      <c r="CI48" s="64" t="s">
        <v>158</v>
      </c>
      <c r="CJ48" s="64" t="s">
        <v>158</v>
      </c>
      <c r="CK48" s="64" t="s">
        <v>158</v>
      </c>
      <c r="CL48" s="64" t="s">
        <v>158</v>
      </c>
      <c r="CM48" s="64" t="s">
        <v>158</v>
      </c>
      <c r="CN48" s="64" t="s">
        <v>158</v>
      </c>
      <c r="CO48" s="64" t="s">
        <v>158</v>
      </c>
      <c r="CP48" s="64" t="s">
        <v>158</v>
      </c>
      <c r="CQ48" s="64" t="s">
        <v>158</v>
      </c>
      <c r="CR48" s="64" t="s">
        <v>158</v>
      </c>
      <c r="CS48" s="64" t="s">
        <v>158</v>
      </c>
      <c r="CT48" s="64" t="s">
        <v>158</v>
      </c>
      <c r="CU48" s="64" t="s">
        <v>158</v>
      </c>
      <c r="CV48" s="64" t="s">
        <v>158</v>
      </c>
      <c r="CW48" s="64" t="s">
        <v>158</v>
      </c>
      <c r="CX48" s="64" t="s">
        <v>158</v>
      </c>
      <c r="CY48" s="66" t="s">
        <v>158</v>
      </c>
      <c r="CZ48" s="73"/>
    </row>
    <row r="49" spans="1:104" x14ac:dyDescent="0.2">
      <c r="A49" s="106" t="s">
        <v>5</v>
      </c>
      <c r="B49" s="106" t="s">
        <v>5</v>
      </c>
      <c r="C49" s="14" t="s">
        <v>20</v>
      </c>
      <c r="G49" s="74">
        <v>44433</v>
      </c>
      <c r="H49" s="16">
        <v>2021</v>
      </c>
      <c r="I49" s="135" t="s">
        <v>33</v>
      </c>
      <c r="J49" s="135">
        <v>10</v>
      </c>
      <c r="K49" s="140">
        <v>0.56000000000000005</v>
      </c>
      <c r="L49" s="5" t="s">
        <v>159</v>
      </c>
      <c r="M49" s="90">
        <v>0.95105474198047435</v>
      </c>
      <c r="N49" s="77">
        <v>3.4751307531380755</v>
      </c>
      <c r="O49" s="78">
        <v>13.296565550906555</v>
      </c>
      <c r="P49" s="78">
        <v>11.685407949790797</v>
      </c>
      <c r="Q49" s="78">
        <v>21.122358786610878</v>
      </c>
      <c r="R49" s="78">
        <v>19.618244421199442</v>
      </c>
      <c r="S49" s="77">
        <v>4.9528591352859141</v>
      </c>
      <c r="T49" s="78">
        <f t="shared" si="2"/>
        <v>75.101621338912153</v>
      </c>
      <c r="U49" s="17">
        <f t="shared" si="4"/>
        <v>566.21619097429755</v>
      </c>
      <c r="V49" s="79">
        <v>7.4999999999999997E-3</v>
      </c>
      <c r="W49" s="76">
        <v>0.28000000000000003</v>
      </c>
      <c r="X49" s="76">
        <v>0.11</v>
      </c>
      <c r="Y49" s="76">
        <v>0.22</v>
      </c>
      <c r="Z49" s="92" t="s">
        <v>68</v>
      </c>
      <c r="AA49" s="80">
        <v>6.0999999999999999E-2</v>
      </c>
      <c r="AB49" s="80">
        <v>4.3999999999999997E-2</v>
      </c>
      <c r="AC49" s="80" t="s">
        <v>136</v>
      </c>
      <c r="AD49" s="76">
        <v>0.72250000000000014</v>
      </c>
      <c r="AE49" s="17">
        <f t="shared" si="5"/>
        <v>0.72250000000000014</v>
      </c>
      <c r="AF49" s="83">
        <v>3.7569735006973505E-2</v>
      </c>
      <c r="AG49" s="18">
        <f t="shared" si="3"/>
        <v>0.33544406256226339</v>
      </c>
      <c r="AH49" s="96">
        <v>11.81924142967455</v>
      </c>
      <c r="AI49" s="97" t="s">
        <v>133</v>
      </c>
      <c r="AJ49" s="97" t="s">
        <v>158</v>
      </c>
      <c r="AK49" s="97" t="s">
        <v>158</v>
      </c>
      <c r="AL49" s="97" t="s">
        <v>65</v>
      </c>
      <c r="AM49" s="97" t="s">
        <v>65</v>
      </c>
      <c r="AN49" s="97">
        <v>0.73437460678250577</v>
      </c>
      <c r="AO49" s="97">
        <v>0.30796650541257242</v>
      </c>
      <c r="AP49" s="16" t="s">
        <v>158</v>
      </c>
      <c r="AQ49" s="97">
        <v>0.78476161660861277</v>
      </c>
      <c r="AR49" s="97" t="s">
        <v>69</v>
      </c>
      <c r="AS49" s="98">
        <v>2.4288098989675486</v>
      </c>
      <c r="AT49" s="98">
        <v>1.3833482797887044</v>
      </c>
      <c r="AU49" s="98">
        <v>1.0972253232624951</v>
      </c>
      <c r="AV49" s="97" t="s">
        <v>133</v>
      </c>
      <c r="AW49" s="96" t="s">
        <v>154</v>
      </c>
      <c r="AX49" s="96"/>
      <c r="AY49" s="96"/>
      <c r="AZ49" s="96"/>
      <c r="BA49" s="96"/>
      <c r="BB49" s="96"/>
      <c r="BC49" s="5" t="s">
        <v>158</v>
      </c>
      <c r="BD49" s="5" t="s">
        <v>158</v>
      </c>
      <c r="BE49" s="5" t="s">
        <v>158</v>
      </c>
      <c r="BF49" s="5" t="s">
        <v>158</v>
      </c>
      <c r="BG49" s="5" t="s">
        <v>158</v>
      </c>
      <c r="BH49" s="5" t="s">
        <v>158</v>
      </c>
      <c r="BI49" s="5" t="s">
        <v>158</v>
      </c>
      <c r="BJ49" s="5" t="s">
        <v>158</v>
      </c>
      <c r="BK49" s="5" t="s">
        <v>158</v>
      </c>
      <c r="BL49" s="5" t="s">
        <v>158</v>
      </c>
      <c r="BM49" s="5" t="s">
        <v>158</v>
      </c>
      <c r="BN49" s="1">
        <v>75</v>
      </c>
      <c r="BO49" s="64" t="s">
        <v>158</v>
      </c>
      <c r="BP49" s="64" t="s">
        <v>158</v>
      </c>
      <c r="BQ49" s="64" t="s">
        <v>158</v>
      </c>
      <c r="BR49" s="64" t="s">
        <v>158</v>
      </c>
      <c r="BS49" s="64" t="s">
        <v>158</v>
      </c>
      <c r="BT49" s="64" t="s">
        <v>158</v>
      </c>
      <c r="BU49" s="64" t="s">
        <v>158</v>
      </c>
      <c r="BV49" s="64" t="s">
        <v>158</v>
      </c>
      <c r="BW49" s="64" t="s">
        <v>158</v>
      </c>
      <c r="BX49" s="64" t="s">
        <v>158</v>
      </c>
      <c r="BY49" s="64" t="s">
        <v>158</v>
      </c>
      <c r="BZ49" s="64" t="s">
        <v>158</v>
      </c>
      <c r="CA49" s="64" t="s">
        <v>158</v>
      </c>
      <c r="CB49" s="64" t="s">
        <v>158</v>
      </c>
      <c r="CC49" s="64" t="s">
        <v>158</v>
      </c>
      <c r="CD49" s="64" t="s">
        <v>158</v>
      </c>
      <c r="CE49" s="64" t="s">
        <v>158</v>
      </c>
      <c r="CF49" s="64" t="s">
        <v>158</v>
      </c>
      <c r="CG49" s="64" t="s">
        <v>158</v>
      </c>
      <c r="CH49" s="64" t="s">
        <v>158</v>
      </c>
      <c r="CI49" s="64" t="s">
        <v>158</v>
      </c>
      <c r="CJ49" s="64" t="s">
        <v>158</v>
      </c>
      <c r="CK49" s="64" t="s">
        <v>158</v>
      </c>
      <c r="CL49" s="64" t="s">
        <v>158</v>
      </c>
      <c r="CM49" s="64" t="s">
        <v>158</v>
      </c>
      <c r="CN49" s="64" t="s">
        <v>158</v>
      </c>
      <c r="CO49" s="64" t="s">
        <v>158</v>
      </c>
      <c r="CP49" s="64" t="s">
        <v>158</v>
      </c>
      <c r="CQ49" s="64" t="s">
        <v>158</v>
      </c>
      <c r="CR49" s="64" t="s">
        <v>158</v>
      </c>
      <c r="CS49" s="64" t="s">
        <v>158</v>
      </c>
      <c r="CT49" s="64" t="s">
        <v>158</v>
      </c>
      <c r="CU49" s="64" t="s">
        <v>158</v>
      </c>
      <c r="CV49" s="64" t="s">
        <v>158</v>
      </c>
      <c r="CW49" s="64" t="s">
        <v>158</v>
      </c>
      <c r="CX49" s="64" t="s">
        <v>158</v>
      </c>
      <c r="CY49" s="66" t="s">
        <v>158</v>
      </c>
      <c r="CZ49" s="73"/>
    </row>
    <row r="50" spans="1:104" x14ac:dyDescent="0.2">
      <c r="A50" s="106" t="s">
        <v>26</v>
      </c>
      <c r="B50" s="106" t="s">
        <v>26</v>
      </c>
      <c r="C50" s="14" t="s">
        <v>20</v>
      </c>
      <c r="G50" s="28">
        <v>44448</v>
      </c>
      <c r="H50" s="16">
        <v>2021</v>
      </c>
      <c r="I50" s="135" t="s">
        <v>33</v>
      </c>
      <c r="J50" s="135">
        <v>10</v>
      </c>
      <c r="K50" s="141">
        <v>0.6</v>
      </c>
      <c r="L50" s="5" t="s">
        <v>159</v>
      </c>
      <c r="M50" s="91">
        <v>2.0635664729045565E-2</v>
      </c>
      <c r="N50" s="80">
        <v>3.8683667729233075E-2</v>
      </c>
      <c r="O50" s="76">
        <v>0.23139883742733922</v>
      </c>
      <c r="P50" s="76">
        <v>0.25129383086442902</v>
      </c>
      <c r="Q50" s="76">
        <v>0.74805925370335635</v>
      </c>
      <c r="R50" s="76">
        <v>0.6914307144196512</v>
      </c>
      <c r="S50" s="76">
        <v>0.28041440090005626</v>
      </c>
      <c r="T50" s="77">
        <f t="shared" si="2"/>
        <v>2.2619163697731106</v>
      </c>
      <c r="U50" s="17">
        <f t="shared" si="4"/>
        <v>16.755187824239016</v>
      </c>
      <c r="V50" s="80" t="s">
        <v>77</v>
      </c>
      <c r="W50" s="84">
        <v>1.0999999999999999E-2</v>
      </c>
      <c r="X50" s="82" t="s">
        <v>66</v>
      </c>
      <c r="Y50" s="79">
        <v>8.9331429589990918E-3</v>
      </c>
      <c r="Z50" s="92" t="s">
        <v>77</v>
      </c>
      <c r="AA50" s="82" t="s">
        <v>77</v>
      </c>
      <c r="AB50" s="82" t="s">
        <v>77</v>
      </c>
      <c r="AC50" s="79">
        <v>8.3000000000000004E-2</v>
      </c>
      <c r="AD50" s="80">
        <v>1.9933142958999089E-2</v>
      </c>
      <c r="AE50" s="17">
        <f t="shared" si="5"/>
        <v>1.9933142958999089E-2</v>
      </c>
      <c r="AF50" s="81" t="s">
        <v>155</v>
      </c>
      <c r="AG50" s="18" t="s">
        <v>158</v>
      </c>
      <c r="AH50" s="98">
        <v>5.1777710567330599</v>
      </c>
      <c r="AI50" s="97" t="s">
        <v>133</v>
      </c>
      <c r="AJ50" s="97" t="s">
        <v>158</v>
      </c>
      <c r="AK50" s="97" t="s">
        <v>158</v>
      </c>
      <c r="AL50" s="97" t="s">
        <v>65</v>
      </c>
      <c r="AM50" s="97" t="s">
        <v>65</v>
      </c>
      <c r="AN50" s="97">
        <v>0.39766198857950485</v>
      </c>
      <c r="AO50" s="97" t="s">
        <v>133</v>
      </c>
      <c r="AP50" s="16" t="s">
        <v>158</v>
      </c>
      <c r="AQ50" s="97">
        <v>0.16087103779411474</v>
      </c>
      <c r="AR50" s="97" t="s">
        <v>69</v>
      </c>
      <c r="AS50" s="97">
        <v>0.84650084409120563</v>
      </c>
      <c r="AT50" s="97">
        <v>0.26578155308461154</v>
      </c>
      <c r="AU50" s="97" t="s">
        <v>133</v>
      </c>
      <c r="AV50" s="97" t="s">
        <v>133</v>
      </c>
      <c r="AW50" s="96" t="s">
        <v>154</v>
      </c>
      <c r="AX50" s="96"/>
      <c r="AY50" s="96"/>
      <c r="AZ50" s="96"/>
      <c r="BA50" s="96"/>
      <c r="BB50" s="96"/>
      <c r="BC50" s="5" t="s">
        <v>158</v>
      </c>
      <c r="BD50" s="5" t="s">
        <v>158</v>
      </c>
      <c r="BE50" s="5" t="s">
        <v>158</v>
      </c>
      <c r="BF50" s="5" t="s">
        <v>158</v>
      </c>
      <c r="BG50" s="5" t="s">
        <v>158</v>
      </c>
      <c r="BH50" s="5" t="s">
        <v>158</v>
      </c>
      <c r="BI50" s="5" t="s">
        <v>158</v>
      </c>
      <c r="BJ50" s="5" t="s">
        <v>158</v>
      </c>
      <c r="BK50" s="5" t="s">
        <v>158</v>
      </c>
      <c r="BL50" s="5" t="s">
        <v>158</v>
      </c>
      <c r="BM50" s="5" t="s">
        <v>158</v>
      </c>
      <c r="BN50" s="1">
        <v>52</v>
      </c>
      <c r="BO50" s="64" t="s">
        <v>158</v>
      </c>
      <c r="BP50" s="64" t="s">
        <v>158</v>
      </c>
      <c r="BQ50" s="64" t="s">
        <v>158</v>
      </c>
      <c r="BR50" s="64" t="s">
        <v>158</v>
      </c>
      <c r="BS50" s="64" t="s">
        <v>158</v>
      </c>
      <c r="BT50" s="64" t="s">
        <v>158</v>
      </c>
      <c r="BU50" s="64" t="s">
        <v>158</v>
      </c>
      <c r="BV50" s="64" t="s">
        <v>158</v>
      </c>
      <c r="BW50" s="64" t="s">
        <v>158</v>
      </c>
      <c r="BX50" s="64" t="s">
        <v>158</v>
      </c>
      <c r="BY50" s="64" t="s">
        <v>158</v>
      </c>
      <c r="BZ50" s="64" t="s">
        <v>158</v>
      </c>
      <c r="CA50" s="64" t="s">
        <v>158</v>
      </c>
      <c r="CB50" s="64" t="s">
        <v>158</v>
      </c>
      <c r="CC50" s="64" t="s">
        <v>158</v>
      </c>
      <c r="CD50" s="64" t="s">
        <v>158</v>
      </c>
      <c r="CE50" s="64" t="s">
        <v>158</v>
      </c>
      <c r="CF50" s="64" t="s">
        <v>158</v>
      </c>
      <c r="CG50" s="64" t="s">
        <v>158</v>
      </c>
      <c r="CH50" s="64" t="s">
        <v>158</v>
      </c>
      <c r="CI50" s="64" t="s">
        <v>158</v>
      </c>
      <c r="CJ50" s="64" t="s">
        <v>158</v>
      </c>
      <c r="CK50" s="64" t="s">
        <v>158</v>
      </c>
      <c r="CL50" s="64" t="s">
        <v>158</v>
      </c>
      <c r="CM50" s="64" t="s">
        <v>158</v>
      </c>
      <c r="CN50" s="64" t="s">
        <v>158</v>
      </c>
      <c r="CO50" s="64" t="s">
        <v>158</v>
      </c>
      <c r="CP50" s="64" t="s">
        <v>158</v>
      </c>
      <c r="CQ50" s="64" t="s">
        <v>158</v>
      </c>
      <c r="CR50" s="64" t="s">
        <v>158</v>
      </c>
      <c r="CS50" s="64" t="s">
        <v>158</v>
      </c>
      <c r="CT50" s="64" t="s">
        <v>158</v>
      </c>
      <c r="CU50" s="64" t="s">
        <v>158</v>
      </c>
      <c r="CV50" s="64" t="s">
        <v>158</v>
      </c>
      <c r="CW50" s="64" t="s">
        <v>158</v>
      </c>
      <c r="CX50" s="64" t="s">
        <v>158</v>
      </c>
      <c r="CY50" s="66" t="s">
        <v>158</v>
      </c>
      <c r="CZ50" s="73"/>
    </row>
    <row r="51" spans="1:104" x14ac:dyDescent="0.2">
      <c r="A51" s="106" t="s">
        <v>81</v>
      </c>
      <c r="B51" s="106" t="s">
        <v>81</v>
      </c>
      <c r="C51" s="14" t="s">
        <v>20</v>
      </c>
      <c r="G51" s="28">
        <v>44439</v>
      </c>
      <c r="H51" s="16">
        <v>2021</v>
      </c>
      <c r="I51" s="135" t="s">
        <v>33</v>
      </c>
      <c r="J51" s="135">
        <v>10</v>
      </c>
      <c r="K51" s="140">
        <v>0.68</v>
      </c>
      <c r="L51" s="5" t="s">
        <v>159</v>
      </c>
      <c r="M51" s="91">
        <v>2.0635664729045565E-2</v>
      </c>
      <c r="N51" s="76">
        <v>0.10932939220395343</v>
      </c>
      <c r="O51" s="76">
        <v>0.51013301311657122</v>
      </c>
      <c r="P51" s="76">
        <v>0.45878440790689079</v>
      </c>
      <c r="Q51" s="77">
        <v>1.085941252540181</v>
      </c>
      <c r="R51" s="77">
        <v>1.0151764271198964</v>
      </c>
      <c r="S51" s="76">
        <v>0.37951228523923886</v>
      </c>
      <c r="T51" s="77">
        <f t="shared" si="2"/>
        <v>3.5795124428557776</v>
      </c>
      <c r="U51" s="17">
        <f t="shared" si="4"/>
        <v>22.946529668741814</v>
      </c>
      <c r="V51" s="82" t="s">
        <v>77</v>
      </c>
      <c r="W51" s="82">
        <v>9.9000000000000005E-2</v>
      </c>
      <c r="X51" s="79">
        <v>1.7999999999999999E-2</v>
      </c>
      <c r="Y51" s="80">
        <v>8.3684561599219429E-2</v>
      </c>
      <c r="Z51" s="92" t="s">
        <v>77</v>
      </c>
      <c r="AA51" s="79">
        <v>0.02</v>
      </c>
      <c r="AB51" s="79">
        <v>1.4999999999999999E-2</v>
      </c>
      <c r="AC51" s="80" t="s">
        <v>137</v>
      </c>
      <c r="AD51" s="76">
        <v>0.23568456159921941</v>
      </c>
      <c r="AE51" s="17">
        <f t="shared" si="5"/>
        <v>0.23568456159921938</v>
      </c>
      <c r="AF51" s="81">
        <v>4.8401995196748565E-2</v>
      </c>
      <c r="AG51" s="18">
        <f t="shared" si="3"/>
        <v>0.35589702350550412</v>
      </c>
      <c r="AH51" s="98">
        <v>9.7605786971176816</v>
      </c>
      <c r="AI51" s="97" t="s">
        <v>133</v>
      </c>
      <c r="AJ51" s="97" t="s">
        <v>158</v>
      </c>
      <c r="AK51" s="97" t="s">
        <v>158</v>
      </c>
      <c r="AL51" s="97" t="s">
        <v>65</v>
      </c>
      <c r="AM51" s="97" t="s">
        <v>65</v>
      </c>
      <c r="AN51" s="98">
        <v>1.5537340910350843</v>
      </c>
      <c r="AO51" s="98">
        <v>1.4325079960030294</v>
      </c>
      <c r="AP51" s="16" t="s">
        <v>158</v>
      </c>
      <c r="AQ51" s="98">
        <v>1.8769791281527575</v>
      </c>
      <c r="AR51" s="97">
        <v>0.20772673210079659</v>
      </c>
      <c r="AS51" s="98">
        <v>4.7992203181174471</v>
      </c>
      <c r="AT51" s="97">
        <v>0.72341635385927117</v>
      </c>
      <c r="AU51" s="97">
        <v>0.8683205713413904</v>
      </c>
      <c r="AV51" s="97" t="s">
        <v>133</v>
      </c>
      <c r="AW51" s="97">
        <v>0.19653209878070405</v>
      </c>
      <c r="AX51" s="97"/>
      <c r="AY51" s="97"/>
      <c r="AZ51" s="97"/>
      <c r="BA51" s="97"/>
      <c r="BB51" s="97"/>
      <c r="BC51" s="5" t="s">
        <v>158</v>
      </c>
      <c r="BD51" s="5" t="s">
        <v>158</v>
      </c>
      <c r="BE51" s="5" t="s">
        <v>158</v>
      </c>
      <c r="BF51" s="5" t="s">
        <v>158</v>
      </c>
      <c r="BG51" s="5" t="s">
        <v>158</v>
      </c>
      <c r="BH51" s="5" t="s">
        <v>158</v>
      </c>
      <c r="BI51" s="5" t="s">
        <v>158</v>
      </c>
      <c r="BJ51" s="5" t="s">
        <v>158</v>
      </c>
      <c r="BK51" s="5" t="s">
        <v>158</v>
      </c>
      <c r="BL51" s="5" t="s">
        <v>158</v>
      </c>
      <c r="BM51" s="5" t="s">
        <v>158</v>
      </c>
      <c r="BN51" s="1">
        <v>50</v>
      </c>
      <c r="BO51" s="64" t="s">
        <v>158</v>
      </c>
      <c r="BP51" s="64" t="s">
        <v>158</v>
      </c>
      <c r="BQ51" s="64" t="s">
        <v>158</v>
      </c>
      <c r="BR51" s="64" t="s">
        <v>158</v>
      </c>
      <c r="BS51" s="64" t="s">
        <v>158</v>
      </c>
      <c r="BT51" s="64" t="s">
        <v>158</v>
      </c>
      <c r="BU51" s="64" t="s">
        <v>158</v>
      </c>
      <c r="BV51" s="64" t="s">
        <v>158</v>
      </c>
      <c r="BW51" s="64" t="s">
        <v>158</v>
      </c>
      <c r="BX51" s="64" t="s">
        <v>158</v>
      </c>
      <c r="BY51" s="64" t="s">
        <v>158</v>
      </c>
      <c r="BZ51" s="64" t="s">
        <v>158</v>
      </c>
      <c r="CA51" s="64" t="s">
        <v>158</v>
      </c>
      <c r="CB51" s="64" t="s">
        <v>158</v>
      </c>
      <c r="CC51" s="64" t="s">
        <v>158</v>
      </c>
      <c r="CD51" s="64" t="s">
        <v>158</v>
      </c>
      <c r="CE51" s="64" t="s">
        <v>158</v>
      </c>
      <c r="CF51" s="64" t="s">
        <v>158</v>
      </c>
      <c r="CG51" s="64" t="s">
        <v>158</v>
      </c>
      <c r="CH51" s="64" t="s">
        <v>158</v>
      </c>
      <c r="CI51" s="64" t="s">
        <v>158</v>
      </c>
      <c r="CJ51" s="64" t="s">
        <v>158</v>
      </c>
      <c r="CK51" s="64" t="s">
        <v>158</v>
      </c>
      <c r="CL51" s="64" t="s">
        <v>158</v>
      </c>
      <c r="CM51" s="64" t="s">
        <v>158</v>
      </c>
      <c r="CN51" s="64" t="s">
        <v>158</v>
      </c>
      <c r="CO51" s="64" t="s">
        <v>158</v>
      </c>
      <c r="CP51" s="64" t="s">
        <v>158</v>
      </c>
      <c r="CQ51" s="64" t="s">
        <v>158</v>
      </c>
      <c r="CR51" s="64" t="s">
        <v>158</v>
      </c>
      <c r="CS51" s="64" t="s">
        <v>158</v>
      </c>
      <c r="CT51" s="64" t="s">
        <v>158</v>
      </c>
      <c r="CU51" s="64" t="s">
        <v>158</v>
      </c>
      <c r="CV51" s="64" t="s">
        <v>158</v>
      </c>
      <c r="CW51" s="64" t="s">
        <v>158</v>
      </c>
      <c r="CX51" s="64" t="s">
        <v>158</v>
      </c>
      <c r="CY51" s="66" t="s">
        <v>158</v>
      </c>
      <c r="CZ51" s="73"/>
    </row>
    <row r="52" spans="1:104" x14ac:dyDescent="0.2">
      <c r="A52" s="106" t="s">
        <v>8</v>
      </c>
      <c r="B52" s="106" t="s">
        <v>8</v>
      </c>
      <c r="C52" s="14" t="s">
        <v>20</v>
      </c>
      <c r="G52" s="28">
        <v>44462</v>
      </c>
      <c r="H52" s="16">
        <v>2021</v>
      </c>
      <c r="I52" s="135" t="s">
        <v>33</v>
      </c>
      <c r="J52" s="135">
        <v>10</v>
      </c>
      <c r="K52" s="140">
        <v>0.66</v>
      </c>
      <c r="L52" s="5" t="s">
        <v>159</v>
      </c>
      <c r="M52" s="90" t="s">
        <v>138</v>
      </c>
      <c r="N52" s="80">
        <v>6.8170303975058466E-2</v>
      </c>
      <c r="O52" s="76">
        <v>0.46497466874512861</v>
      </c>
      <c r="P52" s="76">
        <v>0.38012470771628998</v>
      </c>
      <c r="Q52" s="77">
        <v>1.7067712392829308</v>
      </c>
      <c r="R52" s="77">
        <v>1.384937646141855</v>
      </c>
      <c r="S52" s="76">
        <v>0.67939399844115356</v>
      </c>
      <c r="T52" s="77">
        <f t="shared" si="2"/>
        <v>4.684372564302417</v>
      </c>
      <c r="U52" s="17">
        <f t="shared" si="4"/>
        <v>32.607938307470654</v>
      </c>
      <c r="V52" s="82" t="s">
        <v>76</v>
      </c>
      <c r="W52" s="82">
        <v>4.4999999999999998E-2</v>
      </c>
      <c r="X52" s="79">
        <v>1.0999999999999999E-2</v>
      </c>
      <c r="Y52" s="82">
        <v>2.4E-2</v>
      </c>
      <c r="Z52" s="92" t="s">
        <v>76</v>
      </c>
      <c r="AA52" s="79">
        <v>1.2E-2</v>
      </c>
      <c r="AB52" s="79">
        <v>7.4999999999999997E-3</v>
      </c>
      <c r="AC52" s="80" t="s">
        <v>139</v>
      </c>
      <c r="AD52" s="76">
        <v>9.9499999999999977E-2</v>
      </c>
      <c r="AE52" s="17">
        <f t="shared" si="5"/>
        <v>9.9499999999999991E-2</v>
      </c>
      <c r="AF52" s="81">
        <v>1.3250194855806705E-2</v>
      </c>
      <c r="AG52" s="18">
        <f t="shared" si="3"/>
        <v>0.1003802640591417</v>
      </c>
      <c r="AH52" s="96">
        <v>18.378563705309997</v>
      </c>
      <c r="AI52" s="97" t="s">
        <v>133</v>
      </c>
      <c r="AJ52" s="97" t="s">
        <v>158</v>
      </c>
      <c r="AK52" s="97" t="s">
        <v>158</v>
      </c>
      <c r="AL52" s="97" t="s">
        <v>65</v>
      </c>
      <c r="AM52" s="97">
        <v>0.17546112481523596</v>
      </c>
      <c r="AN52" s="98">
        <v>5.2592321904484436</v>
      </c>
      <c r="AO52" s="97">
        <v>0.81757143231922813</v>
      </c>
      <c r="AP52" s="16" t="s">
        <v>158</v>
      </c>
      <c r="AQ52" s="98">
        <v>1.7791672045909623</v>
      </c>
      <c r="AR52" s="97" t="s">
        <v>69</v>
      </c>
      <c r="AS52" s="98">
        <v>2.1471195045711484</v>
      </c>
      <c r="AT52" s="97">
        <v>0.21911138013079098</v>
      </c>
      <c r="AU52" s="97">
        <v>0.26706215321142529</v>
      </c>
      <c r="AV52" s="97" t="s">
        <v>133</v>
      </c>
      <c r="AW52" s="96" t="s">
        <v>154</v>
      </c>
      <c r="AX52" s="96"/>
      <c r="AY52" s="96"/>
      <c r="AZ52" s="96"/>
      <c r="BA52" s="96"/>
      <c r="BB52" s="96"/>
      <c r="BC52" s="5" t="s">
        <v>158</v>
      </c>
      <c r="BD52" s="5" t="s">
        <v>158</v>
      </c>
      <c r="BE52" s="5" t="s">
        <v>158</v>
      </c>
      <c r="BF52" s="5" t="s">
        <v>158</v>
      </c>
      <c r="BG52" s="5" t="s">
        <v>158</v>
      </c>
      <c r="BH52" s="5" t="s">
        <v>158</v>
      </c>
      <c r="BI52" s="5" t="s">
        <v>158</v>
      </c>
      <c r="BJ52" s="5" t="s">
        <v>158</v>
      </c>
      <c r="BK52" s="5" t="s">
        <v>158</v>
      </c>
      <c r="BL52" s="5" t="s">
        <v>158</v>
      </c>
      <c r="BM52" s="5" t="s">
        <v>158</v>
      </c>
      <c r="BN52" s="1">
        <v>83</v>
      </c>
      <c r="BO52" s="64" t="s">
        <v>158</v>
      </c>
      <c r="BP52" s="64" t="s">
        <v>158</v>
      </c>
      <c r="BQ52" s="64" t="s">
        <v>158</v>
      </c>
      <c r="BR52" s="64" t="s">
        <v>158</v>
      </c>
      <c r="BS52" s="64" t="s">
        <v>158</v>
      </c>
      <c r="BT52" s="64" t="s">
        <v>158</v>
      </c>
      <c r="BU52" s="64" t="s">
        <v>158</v>
      </c>
      <c r="BV52" s="64" t="s">
        <v>158</v>
      </c>
      <c r="BW52" s="64" t="s">
        <v>158</v>
      </c>
      <c r="BX52" s="64" t="s">
        <v>158</v>
      </c>
      <c r="BY52" s="64" t="s">
        <v>158</v>
      </c>
      <c r="BZ52" s="64" t="s">
        <v>158</v>
      </c>
      <c r="CA52" s="64" t="s">
        <v>158</v>
      </c>
      <c r="CB52" s="64" t="s">
        <v>158</v>
      </c>
      <c r="CC52" s="64" t="s">
        <v>158</v>
      </c>
      <c r="CD52" s="64" t="s">
        <v>158</v>
      </c>
      <c r="CE52" s="64" t="s">
        <v>158</v>
      </c>
      <c r="CF52" s="64" t="s">
        <v>158</v>
      </c>
      <c r="CG52" s="64" t="s">
        <v>158</v>
      </c>
      <c r="CH52" s="64" t="s">
        <v>158</v>
      </c>
      <c r="CI52" s="64" t="s">
        <v>158</v>
      </c>
      <c r="CJ52" s="64" t="s">
        <v>158</v>
      </c>
      <c r="CK52" s="64" t="s">
        <v>158</v>
      </c>
      <c r="CL52" s="64" t="s">
        <v>158</v>
      </c>
      <c r="CM52" s="64" t="s">
        <v>158</v>
      </c>
      <c r="CN52" s="64" t="s">
        <v>158</v>
      </c>
      <c r="CO52" s="64" t="s">
        <v>158</v>
      </c>
      <c r="CP52" s="64" t="s">
        <v>158</v>
      </c>
      <c r="CQ52" s="64" t="s">
        <v>158</v>
      </c>
      <c r="CR52" s="64" t="s">
        <v>158</v>
      </c>
      <c r="CS52" s="64" t="s">
        <v>158</v>
      </c>
      <c r="CT52" s="64" t="s">
        <v>158</v>
      </c>
      <c r="CU52" s="64" t="s">
        <v>158</v>
      </c>
      <c r="CV52" s="64" t="s">
        <v>158</v>
      </c>
      <c r="CW52" s="64" t="s">
        <v>158</v>
      </c>
      <c r="CX52" s="64" t="s">
        <v>158</v>
      </c>
      <c r="CY52" s="66" t="s">
        <v>158</v>
      </c>
      <c r="CZ52" s="73"/>
    </row>
    <row r="53" spans="1:104" x14ac:dyDescent="0.2">
      <c r="A53" s="106" t="s">
        <v>25</v>
      </c>
      <c r="B53" s="106" t="s">
        <v>25</v>
      </c>
      <c r="C53" s="14" t="s">
        <v>20</v>
      </c>
      <c r="G53" s="28">
        <v>44468</v>
      </c>
      <c r="H53" s="16">
        <v>2021</v>
      </c>
      <c r="I53" s="135" t="s">
        <v>33</v>
      </c>
      <c r="J53" s="135">
        <v>10</v>
      </c>
      <c r="K53" s="140">
        <v>0.79</v>
      </c>
      <c r="L53" s="5" t="s">
        <v>159</v>
      </c>
      <c r="M53" s="90" t="s">
        <v>140</v>
      </c>
      <c r="N53" s="80">
        <v>7.1106008419441258E-2</v>
      </c>
      <c r="O53" s="76">
        <v>0.58649062380405659</v>
      </c>
      <c r="P53" s="76">
        <v>0.44921546115575967</v>
      </c>
      <c r="Q53" s="77">
        <v>1.9432548794489093</v>
      </c>
      <c r="R53" s="77">
        <v>1.6513298890164561</v>
      </c>
      <c r="S53" s="76">
        <v>0.65186567164179099</v>
      </c>
      <c r="T53" s="77">
        <f t="shared" si="2"/>
        <v>5.3532625334864141</v>
      </c>
      <c r="U53" s="17">
        <f t="shared" si="4"/>
        <v>31.038272609687688</v>
      </c>
      <c r="V53" s="82" t="s">
        <v>76</v>
      </c>
      <c r="W53" s="82">
        <v>5.5E-2</v>
      </c>
      <c r="X53" s="84">
        <v>1.2999999999999999E-2</v>
      </c>
      <c r="Y53" s="80">
        <v>3.5999999999999997E-2</v>
      </c>
      <c r="Z53" s="92" t="s">
        <v>76</v>
      </c>
      <c r="AA53" s="79">
        <v>1.4E-2</v>
      </c>
      <c r="AB53" s="79">
        <v>8.2000000000000007E-3</v>
      </c>
      <c r="AC53" s="76" t="s">
        <v>65</v>
      </c>
      <c r="AD53" s="76">
        <v>0.12620000000000001</v>
      </c>
      <c r="AE53" s="17">
        <f t="shared" si="5"/>
        <v>0.12620000000000001</v>
      </c>
      <c r="AF53" s="81">
        <v>1.6934557979334099E-2</v>
      </c>
      <c r="AG53" s="18">
        <f t="shared" si="3"/>
        <v>0.1071807467046462</v>
      </c>
      <c r="AH53" s="96">
        <v>53.550483038014562</v>
      </c>
      <c r="AI53" s="97" t="s">
        <v>133</v>
      </c>
      <c r="AJ53" s="97" t="s">
        <v>158</v>
      </c>
      <c r="AK53" s="97" t="s">
        <v>158</v>
      </c>
      <c r="AL53" s="97" t="s">
        <v>65</v>
      </c>
      <c r="AM53" s="97" t="s">
        <v>65</v>
      </c>
      <c r="AN53" s="98">
        <v>2.1734686005385333</v>
      </c>
      <c r="AO53" s="97">
        <v>0.55321730038434525</v>
      </c>
      <c r="AP53" s="16" t="s">
        <v>158</v>
      </c>
      <c r="AQ53" s="97">
        <v>0.80002732054220238</v>
      </c>
      <c r="AR53" s="97" t="s">
        <v>69</v>
      </c>
      <c r="AS53" s="97">
        <v>0.89471199679138869</v>
      </c>
      <c r="AT53" s="97">
        <v>0.4157430922076526</v>
      </c>
      <c r="AU53" s="97">
        <v>0.16020400753658412</v>
      </c>
      <c r="AV53" s="97" t="s">
        <v>133</v>
      </c>
      <c r="AW53" s="96" t="s">
        <v>154</v>
      </c>
      <c r="AX53" s="96"/>
      <c r="AY53" s="96"/>
      <c r="AZ53" s="96"/>
      <c r="BA53" s="96"/>
      <c r="BB53" s="96"/>
      <c r="BC53" s="5" t="s">
        <v>158</v>
      </c>
      <c r="BD53" s="5" t="s">
        <v>158</v>
      </c>
      <c r="BE53" s="5" t="s">
        <v>158</v>
      </c>
      <c r="BF53" s="5" t="s">
        <v>158</v>
      </c>
      <c r="BG53" s="5" t="s">
        <v>158</v>
      </c>
      <c r="BH53" s="5" t="s">
        <v>158</v>
      </c>
      <c r="BI53" s="5" t="s">
        <v>158</v>
      </c>
      <c r="BJ53" s="5" t="s">
        <v>158</v>
      </c>
      <c r="BK53" s="5" t="s">
        <v>158</v>
      </c>
      <c r="BL53" s="5" t="s">
        <v>158</v>
      </c>
      <c r="BM53" s="5" t="s">
        <v>158</v>
      </c>
      <c r="BN53" s="1">
        <v>160</v>
      </c>
      <c r="BO53" s="64" t="s">
        <v>158</v>
      </c>
      <c r="BP53" s="64" t="s">
        <v>158</v>
      </c>
      <c r="BQ53" s="64" t="s">
        <v>158</v>
      </c>
      <c r="BR53" s="64" t="s">
        <v>158</v>
      </c>
      <c r="BS53" s="64" t="s">
        <v>158</v>
      </c>
      <c r="BT53" s="64" t="s">
        <v>158</v>
      </c>
      <c r="BU53" s="64" t="s">
        <v>158</v>
      </c>
      <c r="BV53" s="64" t="s">
        <v>158</v>
      </c>
      <c r="BW53" s="64" t="s">
        <v>158</v>
      </c>
      <c r="BX53" s="64" t="s">
        <v>158</v>
      </c>
      <c r="BY53" s="64" t="s">
        <v>158</v>
      </c>
      <c r="BZ53" s="64" t="s">
        <v>158</v>
      </c>
      <c r="CA53" s="64" t="s">
        <v>158</v>
      </c>
      <c r="CB53" s="64" t="s">
        <v>158</v>
      </c>
      <c r="CC53" s="64" t="s">
        <v>158</v>
      </c>
      <c r="CD53" s="64" t="s">
        <v>158</v>
      </c>
      <c r="CE53" s="64" t="s">
        <v>158</v>
      </c>
      <c r="CF53" s="64" t="s">
        <v>158</v>
      </c>
      <c r="CG53" s="64" t="s">
        <v>158</v>
      </c>
      <c r="CH53" s="64" t="s">
        <v>158</v>
      </c>
      <c r="CI53" s="64" t="s">
        <v>158</v>
      </c>
      <c r="CJ53" s="64" t="s">
        <v>158</v>
      </c>
      <c r="CK53" s="64" t="s">
        <v>158</v>
      </c>
      <c r="CL53" s="64" t="s">
        <v>158</v>
      </c>
      <c r="CM53" s="64" t="s">
        <v>158</v>
      </c>
      <c r="CN53" s="64" t="s">
        <v>158</v>
      </c>
      <c r="CO53" s="64" t="s">
        <v>158</v>
      </c>
      <c r="CP53" s="64" t="s">
        <v>158</v>
      </c>
      <c r="CQ53" s="64" t="s">
        <v>158</v>
      </c>
      <c r="CR53" s="64" t="s">
        <v>158</v>
      </c>
      <c r="CS53" s="64" t="s">
        <v>158</v>
      </c>
      <c r="CT53" s="64" t="s">
        <v>158</v>
      </c>
      <c r="CU53" s="64" t="s">
        <v>158</v>
      </c>
      <c r="CV53" s="64" t="s">
        <v>158</v>
      </c>
      <c r="CW53" s="64" t="s">
        <v>158</v>
      </c>
      <c r="CX53" s="64" t="s">
        <v>158</v>
      </c>
      <c r="CY53" s="66" t="s">
        <v>158</v>
      </c>
      <c r="CZ53" s="73"/>
    </row>
    <row r="54" spans="1:104" x14ac:dyDescent="0.2">
      <c r="A54" s="106" t="s">
        <v>112</v>
      </c>
      <c r="B54" s="106" t="s">
        <v>112</v>
      </c>
      <c r="C54" s="14" t="s">
        <v>20</v>
      </c>
      <c r="G54" s="74">
        <v>44469</v>
      </c>
      <c r="H54" s="16">
        <v>2021</v>
      </c>
      <c r="I54" s="135" t="s">
        <v>33</v>
      </c>
      <c r="J54" s="135">
        <v>10</v>
      </c>
      <c r="K54" s="140">
        <v>0.81</v>
      </c>
      <c r="L54" s="5" t="s">
        <v>159</v>
      </c>
      <c r="M54" s="76">
        <v>0.37008076009501201</v>
      </c>
      <c r="N54" s="77">
        <v>1.0141472684085511</v>
      </c>
      <c r="O54" s="77">
        <v>3.1991543942992875</v>
      </c>
      <c r="P54" s="77">
        <v>2.4000570071258909</v>
      </c>
      <c r="Q54" s="77">
        <v>4.9784893111638953</v>
      </c>
      <c r="R54" s="77">
        <v>4.6525035629453679</v>
      </c>
      <c r="S54" s="77">
        <v>1.4676769596199524</v>
      </c>
      <c r="T54" s="78">
        <f t="shared" si="2"/>
        <v>18.082109263657955</v>
      </c>
      <c r="U54" s="17">
        <f t="shared" si="4"/>
        <v>96.802791706988074</v>
      </c>
      <c r="V54" s="82" t="s">
        <v>76</v>
      </c>
      <c r="W54" s="82">
        <v>6.2E-2</v>
      </c>
      <c r="X54" s="84">
        <v>1.6E-2</v>
      </c>
      <c r="Y54" s="80">
        <v>4.2000000000000003E-2</v>
      </c>
      <c r="Z54" s="92" t="s">
        <v>76</v>
      </c>
      <c r="AA54" s="79">
        <v>9.7000000000000003E-3</v>
      </c>
      <c r="AB54" s="79">
        <v>8.6999999999999994E-3</v>
      </c>
      <c r="AC54" s="80" t="s">
        <v>141</v>
      </c>
      <c r="AD54" s="76">
        <v>0.13839999999999997</v>
      </c>
      <c r="AE54" s="17">
        <f t="shared" si="5"/>
        <v>0.13840000000000002</v>
      </c>
      <c r="AF54" s="81">
        <v>2.3372921615201898E-2</v>
      </c>
      <c r="AG54" s="18">
        <f t="shared" si="3"/>
        <v>0.14427729392099936</v>
      </c>
      <c r="AH54" s="96">
        <v>14.595285000036753</v>
      </c>
      <c r="AI54" s="97" t="s">
        <v>133</v>
      </c>
      <c r="AJ54" s="97" t="s">
        <v>158</v>
      </c>
      <c r="AK54" s="97" t="s">
        <v>158</v>
      </c>
      <c r="AL54" s="97" t="s">
        <v>65</v>
      </c>
      <c r="AM54" s="97" t="s">
        <v>65</v>
      </c>
      <c r="AN54" s="97">
        <v>0.9648351473155965</v>
      </c>
      <c r="AO54" s="97" t="s">
        <v>133</v>
      </c>
      <c r="AP54" s="16" t="s">
        <v>158</v>
      </c>
      <c r="AQ54" s="97">
        <v>0.71601559570550888</v>
      </c>
      <c r="AR54" s="97" t="s">
        <v>69</v>
      </c>
      <c r="AS54" s="98">
        <v>1.5043430956399599</v>
      </c>
      <c r="AT54" s="97">
        <v>0.35278145607877065</v>
      </c>
      <c r="AU54" s="97">
        <v>0.41062659946702407</v>
      </c>
      <c r="AV54" s="97" t="s">
        <v>133</v>
      </c>
      <c r="AW54" s="97">
        <v>0.18</v>
      </c>
      <c r="AX54" s="97"/>
      <c r="AY54" s="97"/>
      <c r="AZ54" s="97"/>
      <c r="BA54" s="97"/>
      <c r="BB54" s="97"/>
      <c r="BC54" s="5" t="s">
        <v>158</v>
      </c>
      <c r="BD54" s="5" t="s">
        <v>158</v>
      </c>
      <c r="BE54" s="5" t="s">
        <v>158</v>
      </c>
      <c r="BF54" s="5" t="s">
        <v>158</v>
      </c>
      <c r="BG54" s="5" t="s">
        <v>158</v>
      </c>
      <c r="BH54" s="5" t="s">
        <v>158</v>
      </c>
      <c r="BI54" s="5" t="s">
        <v>158</v>
      </c>
      <c r="BJ54" s="5" t="s">
        <v>158</v>
      </c>
      <c r="BK54" s="5" t="s">
        <v>158</v>
      </c>
      <c r="BL54" s="5" t="s">
        <v>158</v>
      </c>
      <c r="BM54" s="5" t="s">
        <v>158</v>
      </c>
      <c r="BN54" s="1">
        <v>150</v>
      </c>
      <c r="BO54" s="64" t="s">
        <v>158</v>
      </c>
      <c r="BP54" s="64" t="s">
        <v>158</v>
      </c>
      <c r="BQ54" s="64" t="s">
        <v>158</v>
      </c>
      <c r="BR54" s="64" t="s">
        <v>158</v>
      </c>
      <c r="BS54" s="64" t="s">
        <v>158</v>
      </c>
      <c r="BT54" s="64" t="s">
        <v>158</v>
      </c>
      <c r="BU54" s="64" t="s">
        <v>158</v>
      </c>
      <c r="BV54" s="64" t="s">
        <v>158</v>
      </c>
      <c r="BW54" s="64" t="s">
        <v>158</v>
      </c>
      <c r="BX54" s="64" t="s">
        <v>158</v>
      </c>
      <c r="BY54" s="64" t="s">
        <v>158</v>
      </c>
      <c r="BZ54" s="64" t="s">
        <v>158</v>
      </c>
      <c r="CA54" s="64" t="s">
        <v>158</v>
      </c>
      <c r="CB54" s="64" t="s">
        <v>158</v>
      </c>
      <c r="CC54" s="64" t="s">
        <v>158</v>
      </c>
      <c r="CD54" s="64" t="s">
        <v>158</v>
      </c>
      <c r="CE54" s="64" t="s">
        <v>158</v>
      </c>
      <c r="CF54" s="64" t="s">
        <v>158</v>
      </c>
      <c r="CG54" s="64" t="s">
        <v>158</v>
      </c>
      <c r="CH54" s="64" t="s">
        <v>158</v>
      </c>
      <c r="CI54" s="64" t="s">
        <v>158</v>
      </c>
      <c r="CJ54" s="64" t="s">
        <v>158</v>
      </c>
      <c r="CK54" s="64" t="s">
        <v>158</v>
      </c>
      <c r="CL54" s="64" t="s">
        <v>158</v>
      </c>
      <c r="CM54" s="64" t="s">
        <v>158</v>
      </c>
      <c r="CN54" s="64" t="s">
        <v>158</v>
      </c>
      <c r="CO54" s="64" t="s">
        <v>158</v>
      </c>
      <c r="CP54" s="64" t="s">
        <v>158</v>
      </c>
      <c r="CQ54" s="64" t="s">
        <v>158</v>
      </c>
      <c r="CR54" s="64" t="s">
        <v>158</v>
      </c>
      <c r="CS54" s="64" t="s">
        <v>158</v>
      </c>
      <c r="CT54" s="64" t="s">
        <v>158</v>
      </c>
      <c r="CU54" s="64" t="s">
        <v>158</v>
      </c>
      <c r="CV54" s="64" t="s">
        <v>158</v>
      </c>
      <c r="CW54" s="64" t="s">
        <v>158</v>
      </c>
      <c r="CX54" s="64" t="s">
        <v>158</v>
      </c>
      <c r="CY54" s="66" t="s">
        <v>158</v>
      </c>
      <c r="CZ54" s="73"/>
    </row>
    <row r="55" spans="1:104" x14ac:dyDescent="0.2">
      <c r="A55" s="106" t="s">
        <v>23</v>
      </c>
      <c r="B55" s="106" t="s">
        <v>23</v>
      </c>
      <c r="C55" s="14" t="s">
        <v>20</v>
      </c>
      <c r="G55" s="74">
        <v>44447</v>
      </c>
      <c r="H55" s="16">
        <v>2021</v>
      </c>
      <c r="I55" s="135" t="s">
        <v>33</v>
      </c>
      <c r="J55" s="135">
        <v>10</v>
      </c>
      <c r="K55" s="140">
        <v>0.72</v>
      </c>
      <c r="L55" s="5" t="s">
        <v>159</v>
      </c>
      <c r="M55" s="76">
        <v>0.16807266009852218</v>
      </c>
      <c r="N55" s="77">
        <v>1.2684113300492612</v>
      </c>
      <c r="O55" s="77">
        <v>6.1183087027914613</v>
      </c>
      <c r="P55" s="77">
        <v>5.1201867816091955</v>
      </c>
      <c r="Q55" s="78">
        <v>12.398983990147784</v>
      </c>
      <c r="R55" s="78">
        <v>11.493257389162562</v>
      </c>
      <c r="S55" s="77">
        <v>4.0024425287356324</v>
      </c>
      <c r="T55" s="78">
        <f t="shared" si="2"/>
        <v>40.56966338259442</v>
      </c>
      <c r="U55" s="17">
        <f t="shared" si="4"/>
        <v>246.17692084017514</v>
      </c>
      <c r="V55" s="82" t="s">
        <v>40</v>
      </c>
      <c r="W55" s="82">
        <v>7.0999999999999994E-2</v>
      </c>
      <c r="X55" s="84">
        <v>1.4999999999999999E-2</v>
      </c>
      <c r="Y55" s="82">
        <v>3.4000000000000002E-2</v>
      </c>
      <c r="Z55" s="92" t="s">
        <v>40</v>
      </c>
      <c r="AA55" s="79">
        <v>1.2E-2</v>
      </c>
      <c r="AB55" s="79">
        <v>1.2E-2</v>
      </c>
      <c r="AC55" s="80" t="s">
        <v>142</v>
      </c>
      <c r="AD55" s="76">
        <v>0.14400000000000002</v>
      </c>
      <c r="AE55" s="17">
        <f t="shared" si="5"/>
        <v>0.14400000000000002</v>
      </c>
      <c r="AF55" s="80">
        <v>2.0525451559934321E-2</v>
      </c>
      <c r="AG55" s="18">
        <f t="shared" si="3"/>
        <v>0.14253785805509947</v>
      </c>
      <c r="AH55" s="96">
        <v>89.383142303732086</v>
      </c>
      <c r="AI55" s="97" t="s">
        <v>133</v>
      </c>
      <c r="AJ55" s="97" t="s">
        <v>158</v>
      </c>
      <c r="AK55" s="97" t="s">
        <v>158</v>
      </c>
      <c r="AL55" s="97" t="s">
        <v>65</v>
      </c>
      <c r="AM55" s="97">
        <v>0.10435360318770343</v>
      </c>
      <c r="AN55" s="98">
        <v>2.9659740410781943</v>
      </c>
      <c r="AO55" s="97">
        <v>0.99273532175378953</v>
      </c>
      <c r="AP55" s="16" t="s">
        <v>158</v>
      </c>
      <c r="AQ55" s="97">
        <v>3.278576153484436</v>
      </c>
      <c r="AR55" s="97" t="s">
        <v>69</v>
      </c>
      <c r="AS55" s="98">
        <v>6.7247678930414283</v>
      </c>
      <c r="AT55" s="98">
        <v>1.8747335048867817</v>
      </c>
      <c r="AU55" s="98">
        <v>3.3278478730847838</v>
      </c>
      <c r="AV55" s="97" t="s">
        <v>133</v>
      </c>
      <c r="AW55" s="96" t="s">
        <v>154</v>
      </c>
      <c r="AX55" s="96"/>
      <c r="AY55" s="96"/>
      <c r="AZ55" s="96"/>
      <c r="BA55" s="96"/>
      <c r="BB55" s="96"/>
      <c r="BC55" s="5" t="s">
        <v>158</v>
      </c>
      <c r="BD55" s="5" t="s">
        <v>158</v>
      </c>
      <c r="BE55" s="5" t="s">
        <v>158</v>
      </c>
      <c r="BF55" s="5" t="s">
        <v>158</v>
      </c>
      <c r="BG55" s="5" t="s">
        <v>158</v>
      </c>
      <c r="BH55" s="5" t="s">
        <v>158</v>
      </c>
      <c r="BI55" s="5" t="s">
        <v>158</v>
      </c>
      <c r="BJ55" s="5" t="s">
        <v>158</v>
      </c>
      <c r="BK55" s="5" t="s">
        <v>158</v>
      </c>
      <c r="BL55" s="5" t="s">
        <v>158</v>
      </c>
      <c r="BM55" s="5" t="s">
        <v>158</v>
      </c>
      <c r="BN55" s="1">
        <v>590</v>
      </c>
      <c r="BO55" s="64" t="s">
        <v>158</v>
      </c>
      <c r="BP55" s="64" t="s">
        <v>158</v>
      </c>
      <c r="BQ55" s="64" t="s">
        <v>158</v>
      </c>
      <c r="BR55" s="64" t="s">
        <v>158</v>
      </c>
      <c r="BS55" s="64" t="s">
        <v>158</v>
      </c>
      <c r="BT55" s="64" t="s">
        <v>158</v>
      </c>
      <c r="BU55" s="64" t="s">
        <v>158</v>
      </c>
      <c r="BV55" s="64" t="s">
        <v>158</v>
      </c>
      <c r="BW55" s="64" t="s">
        <v>158</v>
      </c>
      <c r="BX55" s="64" t="s">
        <v>158</v>
      </c>
      <c r="BY55" s="64" t="s">
        <v>158</v>
      </c>
      <c r="BZ55" s="64" t="s">
        <v>158</v>
      </c>
      <c r="CA55" s="64" t="s">
        <v>158</v>
      </c>
      <c r="CB55" s="64" t="s">
        <v>158</v>
      </c>
      <c r="CC55" s="64" t="s">
        <v>158</v>
      </c>
      <c r="CD55" s="64" t="s">
        <v>158</v>
      </c>
      <c r="CE55" s="64" t="s">
        <v>158</v>
      </c>
      <c r="CF55" s="64" t="s">
        <v>158</v>
      </c>
      <c r="CG55" s="64" t="s">
        <v>158</v>
      </c>
      <c r="CH55" s="64" t="s">
        <v>158</v>
      </c>
      <c r="CI55" s="64" t="s">
        <v>158</v>
      </c>
      <c r="CJ55" s="64" t="s">
        <v>158</v>
      </c>
      <c r="CK55" s="64" t="s">
        <v>158</v>
      </c>
      <c r="CL55" s="64" t="s">
        <v>158</v>
      </c>
      <c r="CM55" s="64" t="s">
        <v>158</v>
      </c>
      <c r="CN55" s="64" t="s">
        <v>158</v>
      </c>
      <c r="CO55" s="64" t="s">
        <v>158</v>
      </c>
      <c r="CP55" s="64" t="s">
        <v>158</v>
      </c>
      <c r="CQ55" s="64" t="s">
        <v>158</v>
      </c>
      <c r="CR55" s="64" t="s">
        <v>158</v>
      </c>
      <c r="CS55" s="64" t="s">
        <v>158</v>
      </c>
      <c r="CT55" s="64" t="s">
        <v>158</v>
      </c>
      <c r="CU55" s="64" t="s">
        <v>158</v>
      </c>
      <c r="CV55" s="64" t="s">
        <v>158</v>
      </c>
      <c r="CW55" s="64" t="s">
        <v>158</v>
      </c>
      <c r="CX55" s="64" t="s">
        <v>158</v>
      </c>
      <c r="CY55" s="66" t="s">
        <v>158</v>
      </c>
      <c r="CZ55" s="73"/>
    </row>
    <row r="56" spans="1:104" x14ac:dyDescent="0.2">
      <c r="A56" s="106" t="s">
        <v>27</v>
      </c>
      <c r="B56" s="106" t="s">
        <v>27</v>
      </c>
      <c r="C56" s="14" t="s">
        <v>20</v>
      </c>
      <c r="G56" s="74">
        <v>44480</v>
      </c>
      <c r="H56" s="16">
        <v>2021</v>
      </c>
      <c r="I56" s="135" t="s">
        <v>33</v>
      </c>
      <c r="J56" s="135">
        <v>10</v>
      </c>
      <c r="K56" s="140">
        <v>0.78</v>
      </c>
      <c r="L56" s="5" t="s">
        <v>159</v>
      </c>
      <c r="M56" s="80">
        <v>6.4667730991817995E-2</v>
      </c>
      <c r="N56" s="76">
        <v>0.23233885452005587</v>
      </c>
      <c r="O56" s="76">
        <v>0.55007982438635006</v>
      </c>
      <c r="P56" s="76">
        <v>0.57785871083616036</v>
      </c>
      <c r="Q56" s="77">
        <v>1.1316703252843743</v>
      </c>
      <c r="R56" s="77">
        <v>0.99814408301736168</v>
      </c>
      <c r="S56" s="76">
        <v>0.32330872081420875</v>
      </c>
      <c r="T56" s="77">
        <f t="shared" si="2"/>
        <v>3.8780682498503292</v>
      </c>
      <c r="U56" s="17">
        <f t="shared" si="4"/>
        <v>21.155189352654926</v>
      </c>
      <c r="V56" s="82" t="s">
        <v>78</v>
      </c>
      <c r="W56" s="80">
        <v>3.7999999999999999E-2</v>
      </c>
      <c r="X56" s="79">
        <v>8.8000000000000005E-3</v>
      </c>
      <c r="Y56" s="80">
        <v>3.4000000000000002E-2</v>
      </c>
      <c r="Z56" s="92" t="s">
        <v>78</v>
      </c>
      <c r="AA56" s="79">
        <v>9.2999999999999992E-3</v>
      </c>
      <c r="AB56" s="79">
        <v>7.7999999999999996E-3</v>
      </c>
      <c r="AC56" s="80" t="s">
        <v>134</v>
      </c>
      <c r="AD56" s="76">
        <v>9.7900000000000015E-2</v>
      </c>
      <c r="AE56" s="17">
        <f t="shared" si="5"/>
        <v>9.7900000000000015E-2</v>
      </c>
      <c r="AF56" s="81" t="s">
        <v>156</v>
      </c>
      <c r="AG56" s="18" t="s">
        <v>158</v>
      </c>
      <c r="AH56" s="96">
        <v>19.842468523640925</v>
      </c>
      <c r="AI56" s="97">
        <v>0.22641262881234236</v>
      </c>
      <c r="AJ56" s="97" t="s">
        <v>158</v>
      </c>
      <c r="AK56" s="97" t="s">
        <v>158</v>
      </c>
      <c r="AL56" s="97" t="s">
        <v>65</v>
      </c>
      <c r="AM56" s="97" t="s">
        <v>65</v>
      </c>
      <c r="AN56" s="97" t="s">
        <v>46</v>
      </c>
      <c r="AO56" s="97" t="s">
        <v>133</v>
      </c>
      <c r="AP56" s="16" t="s">
        <v>158</v>
      </c>
      <c r="AQ56" s="97">
        <v>0.69689128171697434</v>
      </c>
      <c r="AR56" s="97" t="s">
        <v>69</v>
      </c>
      <c r="AS56" s="97">
        <v>0.26511430307991918</v>
      </c>
      <c r="AT56" s="97" t="s">
        <v>69</v>
      </c>
      <c r="AU56" s="97" t="s">
        <v>133</v>
      </c>
      <c r="AV56" s="97" t="s">
        <v>133</v>
      </c>
      <c r="AW56" s="96" t="s">
        <v>154</v>
      </c>
      <c r="AX56" s="96"/>
      <c r="AY56" s="96"/>
      <c r="AZ56" s="96"/>
      <c r="BA56" s="96"/>
      <c r="BB56" s="96"/>
      <c r="BC56" s="5" t="s">
        <v>158</v>
      </c>
      <c r="BD56" s="5" t="s">
        <v>158</v>
      </c>
      <c r="BE56" s="5" t="s">
        <v>158</v>
      </c>
      <c r="BF56" s="5" t="s">
        <v>158</v>
      </c>
      <c r="BG56" s="5" t="s">
        <v>158</v>
      </c>
      <c r="BH56" s="5" t="s">
        <v>158</v>
      </c>
      <c r="BI56" s="5" t="s">
        <v>158</v>
      </c>
      <c r="BJ56" s="5" t="s">
        <v>158</v>
      </c>
      <c r="BK56" s="5" t="s">
        <v>158</v>
      </c>
      <c r="BL56" s="5" t="s">
        <v>158</v>
      </c>
      <c r="BM56" s="5" t="s">
        <v>158</v>
      </c>
      <c r="BN56" s="1">
        <v>89</v>
      </c>
      <c r="BO56" s="64" t="s">
        <v>158</v>
      </c>
      <c r="BP56" s="64" t="s">
        <v>158</v>
      </c>
      <c r="BQ56" s="64" t="s">
        <v>158</v>
      </c>
      <c r="BR56" s="64" t="s">
        <v>158</v>
      </c>
      <c r="BS56" s="64" t="s">
        <v>158</v>
      </c>
      <c r="BT56" s="64" t="s">
        <v>158</v>
      </c>
      <c r="BU56" s="64" t="s">
        <v>158</v>
      </c>
      <c r="BV56" s="64" t="s">
        <v>158</v>
      </c>
      <c r="BW56" s="64" t="s">
        <v>158</v>
      </c>
      <c r="BX56" s="64" t="s">
        <v>158</v>
      </c>
      <c r="BY56" s="64" t="s">
        <v>158</v>
      </c>
      <c r="BZ56" s="64" t="s">
        <v>158</v>
      </c>
      <c r="CA56" s="64" t="s">
        <v>158</v>
      </c>
      <c r="CB56" s="64" t="s">
        <v>158</v>
      </c>
      <c r="CC56" s="64" t="s">
        <v>158</v>
      </c>
      <c r="CD56" s="64" t="s">
        <v>158</v>
      </c>
      <c r="CE56" s="64" t="s">
        <v>158</v>
      </c>
      <c r="CF56" s="64" t="s">
        <v>158</v>
      </c>
      <c r="CG56" s="64" t="s">
        <v>158</v>
      </c>
      <c r="CH56" s="64" t="s">
        <v>158</v>
      </c>
      <c r="CI56" s="64" t="s">
        <v>158</v>
      </c>
      <c r="CJ56" s="64" t="s">
        <v>158</v>
      </c>
      <c r="CK56" s="64" t="s">
        <v>158</v>
      </c>
      <c r="CL56" s="64" t="s">
        <v>158</v>
      </c>
      <c r="CM56" s="64" t="s">
        <v>158</v>
      </c>
      <c r="CN56" s="64" t="s">
        <v>158</v>
      </c>
      <c r="CO56" s="64" t="s">
        <v>158</v>
      </c>
      <c r="CP56" s="64" t="s">
        <v>158</v>
      </c>
      <c r="CQ56" s="64" t="s">
        <v>158</v>
      </c>
      <c r="CR56" s="64" t="s">
        <v>158</v>
      </c>
      <c r="CS56" s="64" t="s">
        <v>158</v>
      </c>
      <c r="CT56" s="64" t="s">
        <v>158</v>
      </c>
      <c r="CU56" s="64" t="s">
        <v>158</v>
      </c>
      <c r="CV56" s="64" t="s">
        <v>158</v>
      </c>
      <c r="CW56" s="64" t="s">
        <v>158</v>
      </c>
      <c r="CX56" s="64" t="s">
        <v>158</v>
      </c>
      <c r="CY56" s="66" t="s">
        <v>158</v>
      </c>
      <c r="CZ56" s="73"/>
    </row>
    <row r="57" spans="1:104" x14ac:dyDescent="0.2">
      <c r="A57" s="106" t="s">
        <v>6</v>
      </c>
      <c r="B57" s="106" t="s">
        <v>132</v>
      </c>
      <c r="C57" s="14" t="s">
        <v>20</v>
      </c>
      <c r="G57" s="74">
        <v>44435</v>
      </c>
      <c r="H57" s="16">
        <v>2021</v>
      </c>
      <c r="I57" s="135" t="s">
        <v>33</v>
      </c>
      <c r="J57" s="135">
        <v>10</v>
      </c>
      <c r="K57" s="140">
        <v>0.77</v>
      </c>
      <c r="L57" s="5" t="s">
        <v>159</v>
      </c>
      <c r="M57" s="79">
        <v>2.7494766224703416E-2</v>
      </c>
      <c r="N57" s="76">
        <v>0.20184428272355698</v>
      </c>
      <c r="O57" s="77">
        <v>1.0788356096102083</v>
      </c>
      <c r="P57" s="76">
        <v>0.93971687767919443</v>
      </c>
      <c r="Q57" s="77">
        <v>2.7371548200578206</v>
      </c>
      <c r="R57" s="77">
        <v>2.2223008673113345</v>
      </c>
      <c r="S57" s="76">
        <v>0.89186521782474337</v>
      </c>
      <c r="T57" s="77">
        <f t="shared" si="2"/>
        <v>8.0992124414315629</v>
      </c>
      <c r="U57" s="17">
        <f t="shared" si="4"/>
        <v>46.490230933456928</v>
      </c>
      <c r="V57" s="82" t="s">
        <v>78</v>
      </c>
      <c r="W57" s="76">
        <v>0.1</v>
      </c>
      <c r="X57" s="80">
        <v>2.1999999999999999E-2</v>
      </c>
      <c r="Y57" s="80">
        <v>6.8000000000000005E-2</v>
      </c>
      <c r="Z57" s="92" t="s">
        <v>78</v>
      </c>
      <c r="AA57" s="79">
        <v>1.9E-2</v>
      </c>
      <c r="AB57" s="79">
        <v>1.2999999999999999E-2</v>
      </c>
      <c r="AC57" s="80" t="s">
        <v>137</v>
      </c>
      <c r="AD57" s="76">
        <v>0.222</v>
      </c>
      <c r="AE57" s="17">
        <f t="shared" si="5"/>
        <v>0.222</v>
      </c>
      <c r="AF57" s="81">
        <v>2.213139268268368E-2</v>
      </c>
      <c r="AG57" s="18">
        <f t="shared" si="3"/>
        <v>0.14371034209534858</v>
      </c>
      <c r="AH57" s="98">
        <v>8.9967972601242625</v>
      </c>
      <c r="AI57" s="97" t="s">
        <v>133</v>
      </c>
      <c r="AJ57" s="97" t="s">
        <v>158</v>
      </c>
      <c r="AK57" s="97" t="s">
        <v>158</v>
      </c>
      <c r="AL57" s="97" t="s">
        <v>65</v>
      </c>
      <c r="AM57" s="97" t="s">
        <v>65</v>
      </c>
      <c r="AN57" s="98">
        <v>1.7456987752757778</v>
      </c>
      <c r="AO57" s="97" t="s">
        <v>133</v>
      </c>
      <c r="AP57" s="16" t="s">
        <v>158</v>
      </c>
      <c r="AQ57" s="97">
        <v>0.35805761924028495</v>
      </c>
      <c r="AR57" s="97" t="s">
        <v>69</v>
      </c>
      <c r="AS57" s="97">
        <v>0.40433534818721278</v>
      </c>
      <c r="AT57" s="97" t="s">
        <v>69</v>
      </c>
      <c r="AU57" s="97" t="s">
        <v>133</v>
      </c>
      <c r="AV57" s="97" t="s">
        <v>133</v>
      </c>
      <c r="AW57" s="97">
        <v>0.25775083361236673</v>
      </c>
      <c r="AX57" s="97"/>
      <c r="AY57" s="97"/>
      <c r="AZ57" s="97"/>
      <c r="BA57" s="97"/>
      <c r="BB57" s="97"/>
      <c r="BC57" s="5" t="s">
        <v>158</v>
      </c>
      <c r="BD57" s="5" t="s">
        <v>158</v>
      </c>
      <c r="BE57" s="5" t="s">
        <v>158</v>
      </c>
      <c r="BF57" s="5" t="s">
        <v>158</v>
      </c>
      <c r="BG57" s="5" t="s">
        <v>158</v>
      </c>
      <c r="BH57" s="5" t="s">
        <v>158</v>
      </c>
      <c r="BI57" s="5" t="s">
        <v>158</v>
      </c>
      <c r="BJ57" s="5" t="s">
        <v>158</v>
      </c>
      <c r="BK57" s="5" t="s">
        <v>158</v>
      </c>
      <c r="BL57" s="5" t="s">
        <v>158</v>
      </c>
      <c r="BM57" s="5" t="s">
        <v>158</v>
      </c>
      <c r="BN57" s="1">
        <v>37</v>
      </c>
      <c r="BO57" s="64" t="s">
        <v>158</v>
      </c>
      <c r="BP57" s="64" t="s">
        <v>158</v>
      </c>
      <c r="BQ57" s="64" t="s">
        <v>158</v>
      </c>
      <c r="BR57" s="64" t="s">
        <v>158</v>
      </c>
      <c r="BS57" s="64" t="s">
        <v>158</v>
      </c>
      <c r="BT57" s="64" t="s">
        <v>158</v>
      </c>
      <c r="BU57" s="64" t="s">
        <v>158</v>
      </c>
      <c r="BV57" s="64" t="s">
        <v>158</v>
      </c>
      <c r="BW57" s="64" t="s">
        <v>158</v>
      </c>
      <c r="BX57" s="64" t="s">
        <v>158</v>
      </c>
      <c r="BY57" s="64" t="s">
        <v>158</v>
      </c>
      <c r="BZ57" s="64" t="s">
        <v>158</v>
      </c>
      <c r="CA57" s="64" t="s">
        <v>158</v>
      </c>
      <c r="CB57" s="64" t="s">
        <v>158</v>
      </c>
      <c r="CC57" s="64" t="s">
        <v>158</v>
      </c>
      <c r="CD57" s="64" t="s">
        <v>158</v>
      </c>
      <c r="CE57" s="64" t="s">
        <v>158</v>
      </c>
      <c r="CF57" s="64" t="s">
        <v>158</v>
      </c>
      <c r="CG57" s="64" t="s">
        <v>158</v>
      </c>
      <c r="CH57" s="64" t="s">
        <v>158</v>
      </c>
      <c r="CI57" s="64" t="s">
        <v>158</v>
      </c>
      <c r="CJ57" s="64" t="s">
        <v>158</v>
      </c>
      <c r="CK57" s="64" t="s">
        <v>158</v>
      </c>
      <c r="CL57" s="64" t="s">
        <v>158</v>
      </c>
      <c r="CM57" s="64" t="s">
        <v>158</v>
      </c>
      <c r="CN57" s="64" t="s">
        <v>158</v>
      </c>
      <c r="CO57" s="64" t="s">
        <v>158</v>
      </c>
      <c r="CP57" s="64" t="s">
        <v>158</v>
      </c>
      <c r="CQ57" s="64" t="s">
        <v>158</v>
      </c>
      <c r="CR57" s="64" t="s">
        <v>158</v>
      </c>
      <c r="CS57" s="64" t="s">
        <v>158</v>
      </c>
      <c r="CT57" s="64" t="s">
        <v>158</v>
      </c>
      <c r="CU57" s="64" t="s">
        <v>158</v>
      </c>
      <c r="CV57" s="64" t="s">
        <v>158</v>
      </c>
      <c r="CW57" s="64" t="s">
        <v>158</v>
      </c>
      <c r="CX57" s="64" t="s">
        <v>158</v>
      </c>
      <c r="CY57" s="66" t="s">
        <v>158</v>
      </c>
      <c r="CZ57" s="73"/>
    </row>
    <row r="58" spans="1:104" x14ac:dyDescent="0.2">
      <c r="A58" s="106" t="s">
        <v>30</v>
      </c>
      <c r="B58" s="106" t="s">
        <v>30</v>
      </c>
      <c r="C58" s="14" t="s">
        <v>20</v>
      </c>
      <c r="G58" s="74">
        <v>44480</v>
      </c>
      <c r="H58" s="16">
        <v>2021</v>
      </c>
      <c r="I58" s="135" t="s">
        <v>33</v>
      </c>
      <c r="J58" s="135">
        <v>10</v>
      </c>
      <c r="K58" s="141">
        <v>0.9</v>
      </c>
      <c r="L58" s="5" t="s">
        <v>159</v>
      </c>
      <c r="M58" s="80">
        <v>5.7567093977681456E-2</v>
      </c>
      <c r="N58" s="76">
        <v>0.41581204463709309</v>
      </c>
      <c r="O58" s="77">
        <v>1.7456239048233884</v>
      </c>
      <c r="P58" s="77">
        <v>1.548621230286821</v>
      </c>
      <c r="Q58" s="77">
        <v>3.3733330259153371</v>
      </c>
      <c r="R58" s="77">
        <v>2.950700913031449</v>
      </c>
      <c r="S58" s="76">
        <v>0.92762150696301759</v>
      </c>
      <c r="T58" s="78">
        <f t="shared" si="2"/>
        <v>11.019279719634788</v>
      </c>
      <c r="U58" s="17">
        <f t="shared" si="4"/>
        <v>52.614769385266477</v>
      </c>
      <c r="V58" s="80" t="s">
        <v>77</v>
      </c>
      <c r="W58" s="80">
        <v>6.3E-2</v>
      </c>
      <c r="X58" s="84">
        <v>1.4999999999999999E-2</v>
      </c>
      <c r="Y58" s="80">
        <v>3.7999999999999999E-2</v>
      </c>
      <c r="Z58" s="83" t="s">
        <v>77</v>
      </c>
      <c r="AA58" s="79">
        <v>1.2E-2</v>
      </c>
      <c r="AB58" s="79">
        <v>0.01</v>
      </c>
      <c r="AC58" s="80" t="s">
        <v>136</v>
      </c>
      <c r="AD58" s="76">
        <v>0.13800000000000001</v>
      </c>
      <c r="AE58" s="17">
        <f t="shared" si="5"/>
        <v>0.13800000000000001</v>
      </c>
      <c r="AF58" s="81">
        <v>2.0381813151341882E-2</v>
      </c>
      <c r="AG58" s="18">
        <f t="shared" si="3"/>
        <v>0.11323229528523267</v>
      </c>
      <c r="AH58" s="96">
        <v>29.001725415787913</v>
      </c>
      <c r="AI58" s="97" t="s">
        <v>133</v>
      </c>
      <c r="AJ58" s="97" t="s">
        <v>158</v>
      </c>
      <c r="AK58" s="97" t="s">
        <v>158</v>
      </c>
      <c r="AL58" s="97" t="s">
        <v>65</v>
      </c>
      <c r="AM58" s="97">
        <v>0.1098294067044067</v>
      </c>
      <c r="AN58" s="97">
        <v>3.0447726463351463</v>
      </c>
      <c r="AO58" s="97">
        <v>0.62757815101565095</v>
      </c>
      <c r="AP58" s="16" t="s">
        <v>158</v>
      </c>
      <c r="AQ58" s="98">
        <v>1.7689425736300735</v>
      </c>
      <c r="AR58" s="97" t="s">
        <v>69</v>
      </c>
      <c r="AS58" s="98">
        <v>2.2795847092722092</v>
      </c>
      <c r="AT58" s="97">
        <v>0.28921743765493763</v>
      </c>
      <c r="AU58" s="97">
        <v>0.38504897879897881</v>
      </c>
      <c r="AV58" s="97" t="s">
        <v>133</v>
      </c>
      <c r="AW58" s="96" t="s">
        <v>154</v>
      </c>
      <c r="AX58" s="96"/>
      <c r="AY58" s="96"/>
      <c r="AZ58" s="96"/>
      <c r="BA58" s="96"/>
      <c r="BB58" s="96"/>
      <c r="BC58" s="5" t="s">
        <v>158</v>
      </c>
      <c r="BD58" s="5" t="s">
        <v>158</v>
      </c>
      <c r="BE58" s="5" t="s">
        <v>158</v>
      </c>
      <c r="BF58" s="5" t="s">
        <v>158</v>
      </c>
      <c r="BG58" s="5" t="s">
        <v>158</v>
      </c>
      <c r="BH58" s="5" t="s">
        <v>158</v>
      </c>
      <c r="BI58" s="5" t="s">
        <v>158</v>
      </c>
      <c r="BJ58" s="5" t="s">
        <v>158</v>
      </c>
      <c r="BK58" s="5" t="s">
        <v>158</v>
      </c>
      <c r="BL58" s="5" t="s">
        <v>158</v>
      </c>
      <c r="BM58" s="5" t="s">
        <v>158</v>
      </c>
      <c r="BN58" s="1">
        <v>64</v>
      </c>
      <c r="BO58" s="64" t="s">
        <v>158</v>
      </c>
      <c r="BP58" s="64" t="s">
        <v>158</v>
      </c>
      <c r="BQ58" s="64" t="s">
        <v>158</v>
      </c>
      <c r="BR58" s="64" t="s">
        <v>158</v>
      </c>
      <c r="BS58" s="64" t="s">
        <v>158</v>
      </c>
      <c r="BT58" s="64" t="s">
        <v>158</v>
      </c>
      <c r="BU58" s="64" t="s">
        <v>158</v>
      </c>
      <c r="BV58" s="64" t="s">
        <v>158</v>
      </c>
      <c r="BW58" s="64" t="s">
        <v>158</v>
      </c>
      <c r="BX58" s="64" t="s">
        <v>158</v>
      </c>
      <c r="BY58" s="64" t="s">
        <v>158</v>
      </c>
      <c r="BZ58" s="64" t="s">
        <v>158</v>
      </c>
      <c r="CA58" s="64" t="s">
        <v>158</v>
      </c>
      <c r="CB58" s="64" t="s">
        <v>158</v>
      </c>
      <c r="CC58" s="64" t="s">
        <v>158</v>
      </c>
      <c r="CD58" s="64" t="s">
        <v>158</v>
      </c>
      <c r="CE58" s="64" t="s">
        <v>158</v>
      </c>
      <c r="CF58" s="64" t="s">
        <v>158</v>
      </c>
      <c r="CG58" s="64" t="s">
        <v>158</v>
      </c>
      <c r="CH58" s="64" t="s">
        <v>158</v>
      </c>
      <c r="CI58" s="64" t="s">
        <v>158</v>
      </c>
      <c r="CJ58" s="64" t="s">
        <v>158</v>
      </c>
      <c r="CK58" s="64" t="s">
        <v>158</v>
      </c>
      <c r="CL58" s="64" t="s">
        <v>158</v>
      </c>
      <c r="CM58" s="64" t="s">
        <v>158</v>
      </c>
      <c r="CN58" s="64" t="s">
        <v>158</v>
      </c>
      <c r="CO58" s="64" t="s">
        <v>158</v>
      </c>
      <c r="CP58" s="64" t="s">
        <v>158</v>
      </c>
      <c r="CQ58" s="64" t="s">
        <v>158</v>
      </c>
      <c r="CR58" s="64" t="s">
        <v>158</v>
      </c>
      <c r="CS58" s="64" t="s">
        <v>158</v>
      </c>
      <c r="CT58" s="64" t="s">
        <v>158</v>
      </c>
      <c r="CU58" s="64" t="s">
        <v>158</v>
      </c>
      <c r="CV58" s="64" t="s">
        <v>158</v>
      </c>
      <c r="CW58" s="64" t="s">
        <v>158</v>
      </c>
      <c r="CX58" s="64" t="s">
        <v>158</v>
      </c>
      <c r="CY58" s="66" t="s">
        <v>158</v>
      </c>
      <c r="CZ58" s="73"/>
    </row>
    <row r="59" spans="1:104" x14ac:dyDescent="0.2">
      <c r="A59" s="106" t="s">
        <v>21</v>
      </c>
      <c r="B59" s="106" t="s">
        <v>21</v>
      </c>
      <c r="C59" s="14" t="s">
        <v>20</v>
      </c>
      <c r="G59" s="28">
        <v>44441</v>
      </c>
      <c r="H59" s="16">
        <v>2021</v>
      </c>
      <c r="I59" s="135" t="s">
        <v>33</v>
      </c>
      <c r="J59" s="135">
        <v>10</v>
      </c>
      <c r="K59" s="140">
        <v>0.69</v>
      </c>
      <c r="L59" s="5" t="s">
        <v>159</v>
      </c>
      <c r="M59" s="80" t="s">
        <v>140</v>
      </c>
      <c r="N59" s="80">
        <v>6.0800913155141252E-2</v>
      </c>
      <c r="O59" s="76">
        <v>0.79586226576619423</v>
      </c>
      <c r="P59" s="76">
        <v>0.78854751260344325</v>
      </c>
      <c r="Q59" s="77">
        <v>4.4577570626842959</v>
      </c>
      <c r="R59" s="77">
        <v>3.7758013887567774</v>
      </c>
      <c r="S59" s="77">
        <v>1.7199467326167603</v>
      </c>
      <c r="T59" s="78">
        <f t="shared" si="2"/>
        <v>11.598715875582613</v>
      </c>
      <c r="U59" s="17">
        <f t="shared" si="4"/>
        <v>78.334553354921525</v>
      </c>
      <c r="V59" s="82" t="s">
        <v>76</v>
      </c>
      <c r="W59" s="76">
        <v>0.13</v>
      </c>
      <c r="X59" s="80">
        <v>4.2000000000000003E-2</v>
      </c>
      <c r="Y59" s="80">
        <v>9.2999999999999999E-2</v>
      </c>
      <c r="Z59" s="83" t="s">
        <v>76</v>
      </c>
      <c r="AA59" s="80">
        <v>4.2999999999999997E-2</v>
      </c>
      <c r="AB59" s="80">
        <v>2.5000000000000001E-2</v>
      </c>
      <c r="AC59" s="80" t="s">
        <v>135</v>
      </c>
      <c r="AD59" s="76">
        <v>0.33300000000000002</v>
      </c>
      <c r="AE59" s="17">
        <f t="shared" si="5"/>
        <v>0.33300000000000002</v>
      </c>
      <c r="AF59" s="85">
        <v>1.5409493008655951E-2</v>
      </c>
      <c r="AG59" s="18">
        <f t="shared" si="3"/>
        <v>0.11166299281634748</v>
      </c>
      <c r="AH59" s="96">
        <v>24.592638662346452</v>
      </c>
      <c r="AI59" s="97" t="s">
        <v>133</v>
      </c>
      <c r="AJ59" s="97" t="s">
        <v>158</v>
      </c>
      <c r="AK59" s="97" t="s">
        <v>158</v>
      </c>
      <c r="AL59" s="97" t="s">
        <v>65</v>
      </c>
      <c r="AM59" s="97" t="s">
        <v>65</v>
      </c>
      <c r="AN59" s="98">
        <v>1.2511164105765862</v>
      </c>
      <c r="AO59" s="97">
        <v>0.70566506769182502</v>
      </c>
      <c r="AP59" s="16" t="s">
        <v>158</v>
      </c>
      <c r="AQ59" s="97">
        <v>0.50656524180661899</v>
      </c>
      <c r="AR59" s="97" t="s">
        <v>69</v>
      </c>
      <c r="AS59" s="97">
        <v>0.76677713432375694</v>
      </c>
      <c r="AT59" s="97" t="s">
        <v>69</v>
      </c>
      <c r="AU59" s="97" t="s">
        <v>133</v>
      </c>
      <c r="AV59" s="97" t="s">
        <v>133</v>
      </c>
      <c r="AW59" s="97">
        <v>0.17582793254065004</v>
      </c>
      <c r="AX59" s="97"/>
      <c r="AY59" s="97"/>
      <c r="AZ59" s="97"/>
      <c r="BA59" s="97"/>
      <c r="BB59" s="97"/>
      <c r="BC59" s="5" t="s">
        <v>158</v>
      </c>
      <c r="BD59" s="5" t="s">
        <v>158</v>
      </c>
      <c r="BE59" s="5" t="s">
        <v>158</v>
      </c>
      <c r="BF59" s="5" t="s">
        <v>158</v>
      </c>
      <c r="BG59" s="5" t="s">
        <v>158</v>
      </c>
      <c r="BH59" s="5" t="s">
        <v>158</v>
      </c>
      <c r="BI59" s="5" t="s">
        <v>158</v>
      </c>
      <c r="BJ59" s="5" t="s">
        <v>158</v>
      </c>
      <c r="BK59" s="5" t="s">
        <v>158</v>
      </c>
      <c r="BL59" s="5" t="s">
        <v>158</v>
      </c>
      <c r="BM59" s="5" t="s">
        <v>158</v>
      </c>
      <c r="BN59" s="1">
        <v>56</v>
      </c>
      <c r="BO59" s="64" t="s">
        <v>158</v>
      </c>
      <c r="BP59" s="64" t="s">
        <v>158</v>
      </c>
      <c r="BQ59" s="64" t="s">
        <v>158</v>
      </c>
      <c r="BR59" s="64" t="s">
        <v>158</v>
      </c>
      <c r="BS59" s="64" t="s">
        <v>158</v>
      </c>
      <c r="BT59" s="64" t="s">
        <v>158</v>
      </c>
      <c r="BU59" s="64" t="s">
        <v>158</v>
      </c>
      <c r="BV59" s="64" t="s">
        <v>158</v>
      </c>
      <c r="BW59" s="64" t="s">
        <v>158</v>
      </c>
      <c r="BX59" s="64" t="s">
        <v>158</v>
      </c>
      <c r="BY59" s="64" t="s">
        <v>158</v>
      </c>
      <c r="BZ59" s="64" t="s">
        <v>158</v>
      </c>
      <c r="CA59" s="64" t="s">
        <v>158</v>
      </c>
      <c r="CB59" s="64" t="s">
        <v>158</v>
      </c>
      <c r="CC59" s="64" t="s">
        <v>158</v>
      </c>
      <c r="CD59" s="64" t="s">
        <v>158</v>
      </c>
      <c r="CE59" s="64" t="s">
        <v>158</v>
      </c>
      <c r="CF59" s="64" t="s">
        <v>158</v>
      </c>
      <c r="CG59" s="64" t="s">
        <v>158</v>
      </c>
      <c r="CH59" s="64" t="s">
        <v>158</v>
      </c>
      <c r="CI59" s="64" t="s">
        <v>158</v>
      </c>
      <c r="CJ59" s="64" t="s">
        <v>158</v>
      </c>
      <c r="CK59" s="64" t="s">
        <v>158</v>
      </c>
      <c r="CL59" s="64" t="s">
        <v>158</v>
      </c>
      <c r="CM59" s="64" t="s">
        <v>158</v>
      </c>
      <c r="CN59" s="64" t="s">
        <v>158</v>
      </c>
      <c r="CO59" s="64" t="s">
        <v>158</v>
      </c>
      <c r="CP59" s="64" t="s">
        <v>158</v>
      </c>
      <c r="CQ59" s="64" t="s">
        <v>158</v>
      </c>
      <c r="CR59" s="64" t="s">
        <v>158</v>
      </c>
      <c r="CS59" s="64" t="s">
        <v>158</v>
      </c>
      <c r="CT59" s="64" t="s">
        <v>158</v>
      </c>
      <c r="CU59" s="64" t="s">
        <v>158</v>
      </c>
      <c r="CV59" s="64" t="s">
        <v>158</v>
      </c>
      <c r="CW59" s="64" t="s">
        <v>158</v>
      </c>
      <c r="CX59" s="64" t="s">
        <v>158</v>
      </c>
      <c r="CY59" s="66" t="s">
        <v>158</v>
      </c>
      <c r="CZ59" s="73"/>
    </row>
    <row r="60" spans="1:104" x14ac:dyDescent="0.2">
      <c r="A60" s="106" t="s">
        <v>22</v>
      </c>
      <c r="B60" s="106" t="s">
        <v>22</v>
      </c>
      <c r="C60" s="14" t="s">
        <v>20</v>
      </c>
      <c r="G60" s="28">
        <v>44483</v>
      </c>
      <c r="H60" s="16">
        <v>2021</v>
      </c>
      <c r="I60" s="135" t="s">
        <v>33</v>
      </c>
      <c r="J60" s="135">
        <v>10</v>
      </c>
      <c r="K60" s="140">
        <v>0.79</v>
      </c>
      <c r="L60" s="5" t="s">
        <v>159</v>
      </c>
      <c r="M60" s="97">
        <v>0.86932926228700869</v>
      </c>
      <c r="N60" s="98">
        <v>2.1528809218950062</v>
      </c>
      <c r="O60" s="98">
        <v>6.0998719590268884</v>
      </c>
      <c r="P60" s="98">
        <v>4.7044321875307791</v>
      </c>
      <c r="Q60" s="96">
        <v>12.175032010243278</v>
      </c>
      <c r="R60" s="96">
        <v>10.840441248891953</v>
      </c>
      <c r="S60" s="98">
        <v>3.9812764700088641</v>
      </c>
      <c r="T60" s="78">
        <f>SUM(M60:S60)</f>
        <v>40.823264059883783</v>
      </c>
      <c r="U60" s="17">
        <f t="shared" si="4"/>
        <v>228.60020172375314</v>
      </c>
      <c r="V60" s="82" t="s">
        <v>78</v>
      </c>
      <c r="W60" s="76">
        <v>0.65</v>
      </c>
      <c r="X60" s="76">
        <v>0.19</v>
      </c>
      <c r="Y60" s="76">
        <v>0.75</v>
      </c>
      <c r="Z60" s="92" t="s">
        <v>78</v>
      </c>
      <c r="AA60" s="80">
        <v>7.0000000000000007E-2</v>
      </c>
      <c r="AB60" s="80">
        <v>7.5999999999999998E-2</v>
      </c>
      <c r="AC60" s="97" t="s">
        <v>65</v>
      </c>
      <c r="AD60" s="98">
        <v>1.7360000000000002</v>
      </c>
      <c r="AE60" s="17">
        <f t="shared" si="5"/>
        <v>1.736</v>
      </c>
      <c r="AF60" s="93" t="s">
        <v>157</v>
      </c>
      <c r="AG60" s="18" t="s">
        <v>158</v>
      </c>
      <c r="AH60" s="96">
        <v>16.159588361583342</v>
      </c>
      <c r="AI60" s="97" t="s">
        <v>133</v>
      </c>
      <c r="AJ60" s="97" t="s">
        <v>158</v>
      </c>
      <c r="AK60" s="97" t="s">
        <v>158</v>
      </c>
      <c r="AL60" s="97" t="s">
        <v>65</v>
      </c>
      <c r="AM60" s="97" t="s">
        <v>65</v>
      </c>
      <c r="AN60" s="97" t="s">
        <v>46</v>
      </c>
      <c r="AO60" s="97" t="s">
        <v>133</v>
      </c>
      <c r="AP60" s="16" t="s">
        <v>158</v>
      </c>
      <c r="AQ60" s="97">
        <v>0.40502219361521219</v>
      </c>
      <c r="AR60" s="97" t="s">
        <v>69</v>
      </c>
      <c r="AS60" s="98">
        <v>2.2059365109833307</v>
      </c>
      <c r="AT60" s="97">
        <v>0.37097384730440375</v>
      </c>
      <c r="AU60" s="97">
        <v>0.32656687711596838</v>
      </c>
      <c r="AV60" s="97" t="s">
        <v>133</v>
      </c>
      <c r="AW60" s="96" t="s">
        <v>154</v>
      </c>
      <c r="AX60" s="96"/>
      <c r="AY60" s="96"/>
      <c r="AZ60" s="96"/>
      <c r="BA60" s="96"/>
      <c r="BB60" s="96"/>
      <c r="BC60" s="5" t="s">
        <v>158</v>
      </c>
      <c r="BD60" s="5" t="s">
        <v>158</v>
      </c>
      <c r="BE60" s="5" t="s">
        <v>158</v>
      </c>
      <c r="BF60" s="5" t="s">
        <v>158</v>
      </c>
      <c r="BG60" s="5" t="s">
        <v>158</v>
      </c>
      <c r="BH60" s="5" t="s">
        <v>158</v>
      </c>
      <c r="BI60" s="5" t="s">
        <v>158</v>
      </c>
      <c r="BJ60" s="5" t="s">
        <v>158</v>
      </c>
      <c r="BK60" s="5" t="s">
        <v>158</v>
      </c>
      <c r="BL60" s="5" t="s">
        <v>158</v>
      </c>
      <c r="BM60" s="5" t="s">
        <v>158</v>
      </c>
      <c r="BN60" s="86">
        <v>75</v>
      </c>
      <c r="BO60" s="64" t="s">
        <v>158</v>
      </c>
      <c r="BP60" s="64" t="s">
        <v>158</v>
      </c>
      <c r="BQ60" s="64" t="s">
        <v>158</v>
      </c>
      <c r="BR60" s="64" t="s">
        <v>158</v>
      </c>
      <c r="BS60" s="64" t="s">
        <v>158</v>
      </c>
      <c r="BT60" s="64" t="s">
        <v>158</v>
      </c>
      <c r="BU60" s="64" t="s">
        <v>158</v>
      </c>
      <c r="BV60" s="64" t="s">
        <v>158</v>
      </c>
      <c r="BW60" s="64" t="s">
        <v>158</v>
      </c>
      <c r="BX60" s="64" t="s">
        <v>158</v>
      </c>
      <c r="BY60" s="64" t="s">
        <v>158</v>
      </c>
      <c r="BZ60" s="64" t="s">
        <v>158</v>
      </c>
      <c r="CA60" s="64" t="s">
        <v>158</v>
      </c>
      <c r="CB60" s="64" t="s">
        <v>158</v>
      </c>
      <c r="CC60" s="64" t="s">
        <v>158</v>
      </c>
      <c r="CD60" s="64" t="s">
        <v>158</v>
      </c>
      <c r="CE60" s="64" t="s">
        <v>158</v>
      </c>
      <c r="CF60" s="64" t="s">
        <v>158</v>
      </c>
      <c r="CG60" s="64" t="s">
        <v>158</v>
      </c>
      <c r="CH60" s="64" t="s">
        <v>158</v>
      </c>
      <c r="CI60" s="64" t="s">
        <v>158</v>
      </c>
      <c r="CJ60" s="64" t="s">
        <v>158</v>
      </c>
      <c r="CK60" s="64" t="s">
        <v>158</v>
      </c>
      <c r="CL60" s="64" t="s">
        <v>158</v>
      </c>
      <c r="CM60" s="64" t="s">
        <v>158</v>
      </c>
      <c r="CN60" s="64" t="s">
        <v>158</v>
      </c>
      <c r="CO60" s="64" t="s">
        <v>158</v>
      </c>
      <c r="CP60" s="64" t="s">
        <v>158</v>
      </c>
      <c r="CQ60" s="64" t="s">
        <v>158</v>
      </c>
      <c r="CR60" s="64" t="s">
        <v>158</v>
      </c>
      <c r="CS60" s="64" t="s">
        <v>158</v>
      </c>
      <c r="CT60" s="64" t="s">
        <v>158</v>
      </c>
      <c r="CU60" s="64" t="s">
        <v>158</v>
      </c>
      <c r="CV60" s="64" t="s">
        <v>158</v>
      </c>
      <c r="CW60" s="64" t="s">
        <v>158</v>
      </c>
      <c r="CX60" s="64" t="s">
        <v>158</v>
      </c>
      <c r="CY60" s="66" t="s">
        <v>158</v>
      </c>
      <c r="CZ60" s="73"/>
    </row>
    <row r="61" spans="1:104" x14ac:dyDescent="0.2">
      <c r="A61" s="71" t="s">
        <v>21</v>
      </c>
      <c r="B61" s="71" t="s">
        <v>21</v>
      </c>
      <c r="C61" s="14" t="s">
        <v>20</v>
      </c>
      <c r="G61" s="74">
        <v>44097</v>
      </c>
      <c r="H61" s="16">
        <v>2020</v>
      </c>
      <c r="I61" s="135" t="s">
        <v>33</v>
      </c>
      <c r="J61" s="135">
        <v>10</v>
      </c>
      <c r="K61" s="141">
        <v>0.60671298561505971</v>
      </c>
      <c r="L61" s="5" t="s">
        <v>159</v>
      </c>
      <c r="M61" s="5">
        <v>1.7459385398316696E-2</v>
      </c>
      <c r="N61" s="5">
        <v>7.0229007633587789E-2</v>
      </c>
      <c r="O61" s="5">
        <v>0.81794871794871793</v>
      </c>
      <c r="P61" s="5">
        <v>0.72689371697005278</v>
      </c>
      <c r="Q61" s="5">
        <v>3.6975631238990019</v>
      </c>
      <c r="R61" s="5">
        <v>3.1140144842434916</v>
      </c>
      <c r="S61" s="5">
        <v>1.5226560970835781</v>
      </c>
      <c r="T61" s="5">
        <v>9.9667645331767467</v>
      </c>
      <c r="U61" s="17">
        <f t="shared" si="4"/>
        <v>76.146967637751374</v>
      </c>
      <c r="V61" s="5" t="s">
        <v>76</v>
      </c>
      <c r="W61" s="5">
        <v>0.11257878679695517</v>
      </c>
      <c r="X61" s="5">
        <v>3.6787205148025991E-2</v>
      </c>
      <c r="Y61" s="5">
        <v>6.0628168373504557E-2</v>
      </c>
      <c r="Z61" s="5">
        <v>7.0000000000000001E-3</v>
      </c>
      <c r="AA61" s="5">
        <v>2.5765060204124886E-2</v>
      </c>
      <c r="AB61" s="5">
        <v>2.8096912833875061E-2</v>
      </c>
      <c r="AC61" s="5">
        <v>0.36530093660514545</v>
      </c>
      <c r="AD61" s="5">
        <v>0.63615706996163113</v>
      </c>
      <c r="AE61" s="17">
        <f>SUM(V61,W61,Y61,X61,AB61,AA61)</f>
        <v>0.26385613335648567</v>
      </c>
      <c r="AF61" s="75">
        <v>1.1548248189469562E-2</v>
      </c>
      <c r="AG61" s="18">
        <f t="shared" ref="AG61:AG75" si="6">AF61*(5/K61)</f>
        <v>9.5170603425954722E-2</v>
      </c>
      <c r="AH61" s="98">
        <v>16.567728819998116</v>
      </c>
      <c r="AI61" s="97" t="s">
        <v>69</v>
      </c>
      <c r="AJ61" s="97" t="s">
        <v>158</v>
      </c>
      <c r="AK61" s="97" t="s">
        <v>158</v>
      </c>
      <c r="AL61" s="97" t="s">
        <v>69</v>
      </c>
      <c r="AM61" s="97" t="s">
        <v>126</v>
      </c>
      <c r="AN61" s="97">
        <v>0.64326484101515002</v>
      </c>
      <c r="AO61" s="99">
        <v>0.39806280583162135</v>
      </c>
      <c r="AP61" s="16" t="s">
        <v>158</v>
      </c>
      <c r="AQ61" s="99">
        <v>0.40883376517992498</v>
      </c>
      <c r="AR61" s="99" t="s">
        <v>65</v>
      </c>
      <c r="AS61" s="99" t="s">
        <v>131</v>
      </c>
      <c r="AT61" s="99" t="s">
        <v>131</v>
      </c>
      <c r="AU61" s="99" t="s">
        <v>131</v>
      </c>
      <c r="AV61" s="99" t="s">
        <v>65</v>
      </c>
      <c r="AW61" s="97" t="s">
        <v>126</v>
      </c>
      <c r="AX61" s="97"/>
      <c r="AY61" s="97"/>
      <c r="AZ61" s="97"/>
      <c r="BA61" s="97"/>
      <c r="BB61" s="97"/>
      <c r="BC61" s="5" t="s">
        <v>158</v>
      </c>
      <c r="BD61" s="5" t="s">
        <v>158</v>
      </c>
      <c r="BE61" s="5" t="s">
        <v>158</v>
      </c>
      <c r="BF61" s="5" t="s">
        <v>158</v>
      </c>
      <c r="BG61" s="5" t="s">
        <v>158</v>
      </c>
      <c r="BH61" s="5" t="s">
        <v>158</v>
      </c>
      <c r="BI61" s="5" t="s">
        <v>158</v>
      </c>
      <c r="BJ61" s="5" t="s">
        <v>158</v>
      </c>
      <c r="BK61" s="5" t="s">
        <v>158</v>
      </c>
      <c r="BL61" s="5" t="s">
        <v>158</v>
      </c>
      <c r="BM61" s="5" t="s">
        <v>158</v>
      </c>
      <c r="BN61" s="5">
        <v>71</v>
      </c>
      <c r="BO61" s="64" t="s">
        <v>158</v>
      </c>
      <c r="BP61" s="64" t="s">
        <v>158</v>
      </c>
      <c r="BQ61" s="64" t="s">
        <v>158</v>
      </c>
      <c r="BR61" s="64" t="s">
        <v>158</v>
      </c>
      <c r="BS61" s="64" t="s">
        <v>158</v>
      </c>
      <c r="BT61" s="64" t="s">
        <v>158</v>
      </c>
      <c r="BU61" s="64" t="s">
        <v>158</v>
      </c>
      <c r="BV61" s="64" t="s">
        <v>158</v>
      </c>
      <c r="BW61" s="64" t="s">
        <v>158</v>
      </c>
      <c r="BX61" s="64" t="s">
        <v>158</v>
      </c>
      <c r="BY61" s="64" t="s">
        <v>158</v>
      </c>
      <c r="BZ61" s="64" t="s">
        <v>158</v>
      </c>
      <c r="CA61" s="64" t="s">
        <v>158</v>
      </c>
      <c r="CB61" s="64" t="s">
        <v>158</v>
      </c>
      <c r="CC61" s="64" t="s">
        <v>158</v>
      </c>
      <c r="CD61" s="64" t="s">
        <v>158</v>
      </c>
      <c r="CE61" s="64" t="s">
        <v>158</v>
      </c>
      <c r="CF61" s="64" t="s">
        <v>158</v>
      </c>
      <c r="CG61" s="64" t="s">
        <v>158</v>
      </c>
      <c r="CH61" s="64" t="s">
        <v>158</v>
      </c>
      <c r="CI61" s="64" t="s">
        <v>158</v>
      </c>
      <c r="CJ61" s="64" t="s">
        <v>158</v>
      </c>
      <c r="CK61" s="64" t="s">
        <v>158</v>
      </c>
      <c r="CL61" s="64" t="s">
        <v>158</v>
      </c>
      <c r="CM61" s="64" t="s">
        <v>158</v>
      </c>
      <c r="CN61" s="64" t="s">
        <v>158</v>
      </c>
      <c r="CO61" s="64" t="s">
        <v>158</v>
      </c>
      <c r="CP61" s="64" t="s">
        <v>158</v>
      </c>
      <c r="CQ61" s="64" t="s">
        <v>158</v>
      </c>
      <c r="CR61" s="64" t="s">
        <v>158</v>
      </c>
      <c r="CS61" s="64" t="s">
        <v>158</v>
      </c>
      <c r="CT61" s="64" t="s">
        <v>158</v>
      </c>
      <c r="CU61" s="64" t="s">
        <v>158</v>
      </c>
      <c r="CV61" s="64" t="s">
        <v>158</v>
      </c>
      <c r="CW61" s="64" t="s">
        <v>158</v>
      </c>
      <c r="CX61" s="64" t="s">
        <v>158</v>
      </c>
      <c r="CY61" s="66" t="s">
        <v>158</v>
      </c>
    </row>
    <row r="62" spans="1:104" x14ac:dyDescent="0.2">
      <c r="A62" s="71" t="s">
        <v>30</v>
      </c>
      <c r="B62" s="71" t="s">
        <v>30</v>
      </c>
      <c r="C62" s="14" t="s">
        <v>20</v>
      </c>
      <c r="G62" s="74">
        <v>44077</v>
      </c>
      <c r="H62" s="16">
        <v>2020</v>
      </c>
      <c r="I62" s="135" t="s">
        <v>33</v>
      </c>
      <c r="J62" s="135">
        <v>10</v>
      </c>
      <c r="K62" s="141">
        <v>0.43851798818687371</v>
      </c>
      <c r="L62" s="5" t="s">
        <v>159</v>
      </c>
      <c r="M62" s="5">
        <v>5.4271682727946635E-2</v>
      </c>
      <c r="N62" s="5">
        <v>0.30381764269829503</v>
      </c>
      <c r="O62" s="5">
        <v>2.104966641957005</v>
      </c>
      <c r="P62" s="5">
        <v>2.66890752409192</v>
      </c>
      <c r="Q62" s="5">
        <v>5.4643346923647149</v>
      </c>
      <c r="R62" s="5">
        <v>4.5874722016308382</v>
      </c>
      <c r="S62" s="5">
        <v>1.6819171608598964</v>
      </c>
      <c r="T62" s="5">
        <v>16.865687546330616</v>
      </c>
      <c r="U62" s="17">
        <f t="shared" si="4"/>
        <v>161.8722652739705</v>
      </c>
      <c r="V62" s="5" t="s">
        <v>76</v>
      </c>
      <c r="W62" s="5">
        <v>4.1707016419202839E-2</v>
      </c>
      <c r="X62" s="5">
        <v>1.5733358416001847E-2</v>
      </c>
      <c r="Y62" s="5">
        <v>2.5052444865203624E-2</v>
      </c>
      <c r="Z62" s="5">
        <v>8.0000000000000002E-3</v>
      </c>
      <c r="AA62" s="5">
        <v>1.409222441209124E-2</v>
      </c>
      <c r="AB62" s="5">
        <v>1.7498859264261788E-2</v>
      </c>
      <c r="AC62" s="5">
        <v>0.34257739051548147</v>
      </c>
      <c r="AD62" s="5">
        <v>0.46466129389224281</v>
      </c>
      <c r="AE62" s="17">
        <f t="shared" ref="AE62:AE75" si="7">SUM(V62,W62,Y62,X62,AB62,AA62)</f>
        <v>0.11408390337676133</v>
      </c>
      <c r="AF62" s="75">
        <v>8.0615270570793176E-3</v>
      </c>
      <c r="AG62" s="18">
        <f t="shared" si="6"/>
        <v>9.1917860546736702E-2</v>
      </c>
      <c r="AH62" s="100">
        <v>1.0783181778163478</v>
      </c>
      <c r="AI62" s="97" t="s">
        <v>69</v>
      </c>
      <c r="AJ62" s="97" t="s">
        <v>158</v>
      </c>
      <c r="AK62" s="97" t="s">
        <v>158</v>
      </c>
      <c r="AL62" s="97" t="s">
        <v>69</v>
      </c>
      <c r="AM62" s="97" t="s">
        <v>126</v>
      </c>
      <c r="AN62" s="97" t="s">
        <v>69</v>
      </c>
      <c r="AO62" s="99" t="s">
        <v>126</v>
      </c>
      <c r="AP62" s="16" t="s">
        <v>158</v>
      </c>
      <c r="AQ62" s="99" t="s">
        <v>69</v>
      </c>
      <c r="AR62" s="99" t="s">
        <v>65</v>
      </c>
      <c r="AS62" s="99" t="s">
        <v>131</v>
      </c>
      <c r="AT62" s="99" t="s">
        <v>131</v>
      </c>
      <c r="AU62" s="99" t="s">
        <v>131</v>
      </c>
      <c r="AV62" s="99" t="s">
        <v>65</v>
      </c>
      <c r="AW62" s="97" t="s">
        <v>126</v>
      </c>
      <c r="AX62" s="97"/>
      <c r="AY62" s="97"/>
      <c r="AZ62" s="97"/>
      <c r="BA62" s="97"/>
      <c r="BB62" s="97"/>
      <c r="BC62" s="5" t="s">
        <v>158</v>
      </c>
      <c r="BD62" s="5" t="s">
        <v>158</v>
      </c>
      <c r="BE62" s="5" t="s">
        <v>158</v>
      </c>
      <c r="BF62" s="5" t="s">
        <v>158</v>
      </c>
      <c r="BG62" s="5" t="s">
        <v>158</v>
      </c>
      <c r="BH62" s="5" t="s">
        <v>158</v>
      </c>
      <c r="BI62" s="5" t="s">
        <v>158</v>
      </c>
      <c r="BJ62" s="5" t="s">
        <v>158</v>
      </c>
      <c r="BK62" s="5" t="s">
        <v>158</v>
      </c>
      <c r="BL62" s="5" t="s">
        <v>158</v>
      </c>
      <c r="BM62" s="5" t="s">
        <v>158</v>
      </c>
      <c r="BN62" s="5">
        <v>73</v>
      </c>
      <c r="BO62" s="64" t="s">
        <v>158</v>
      </c>
      <c r="BP62" s="64" t="s">
        <v>158</v>
      </c>
      <c r="BQ62" s="64" t="s">
        <v>158</v>
      </c>
      <c r="BR62" s="64" t="s">
        <v>158</v>
      </c>
      <c r="BS62" s="64" t="s">
        <v>158</v>
      </c>
      <c r="BT62" s="64" t="s">
        <v>158</v>
      </c>
      <c r="BU62" s="64" t="s">
        <v>158</v>
      </c>
      <c r="BV62" s="64" t="s">
        <v>158</v>
      </c>
      <c r="BW62" s="64" t="s">
        <v>158</v>
      </c>
      <c r="BX62" s="64" t="s">
        <v>158</v>
      </c>
      <c r="BY62" s="64" t="s">
        <v>158</v>
      </c>
      <c r="BZ62" s="64" t="s">
        <v>158</v>
      </c>
      <c r="CA62" s="64" t="s">
        <v>158</v>
      </c>
      <c r="CB62" s="64" t="s">
        <v>158</v>
      </c>
      <c r="CC62" s="64" t="s">
        <v>158</v>
      </c>
      <c r="CD62" s="64" t="s">
        <v>158</v>
      </c>
      <c r="CE62" s="64" t="s">
        <v>158</v>
      </c>
      <c r="CF62" s="64" t="s">
        <v>158</v>
      </c>
      <c r="CG62" s="64" t="s">
        <v>158</v>
      </c>
      <c r="CH62" s="64" t="s">
        <v>158</v>
      </c>
      <c r="CI62" s="64" t="s">
        <v>158</v>
      </c>
      <c r="CJ62" s="64" t="s">
        <v>158</v>
      </c>
      <c r="CK62" s="64" t="s">
        <v>158</v>
      </c>
      <c r="CL62" s="64" t="s">
        <v>158</v>
      </c>
      <c r="CM62" s="64" t="s">
        <v>158</v>
      </c>
      <c r="CN62" s="64" t="s">
        <v>158</v>
      </c>
      <c r="CO62" s="64" t="s">
        <v>158</v>
      </c>
      <c r="CP62" s="64" t="s">
        <v>158</v>
      </c>
      <c r="CQ62" s="64" t="s">
        <v>158</v>
      </c>
      <c r="CR62" s="64" t="s">
        <v>158</v>
      </c>
      <c r="CS62" s="64" t="s">
        <v>158</v>
      </c>
      <c r="CT62" s="64" t="s">
        <v>158</v>
      </c>
      <c r="CU62" s="64" t="s">
        <v>158</v>
      </c>
      <c r="CV62" s="64" t="s">
        <v>158</v>
      </c>
      <c r="CW62" s="64" t="s">
        <v>158</v>
      </c>
      <c r="CX62" s="64" t="s">
        <v>158</v>
      </c>
      <c r="CY62" s="66" t="s">
        <v>158</v>
      </c>
    </row>
    <row r="63" spans="1:104" x14ac:dyDescent="0.2">
      <c r="A63" s="71" t="s">
        <v>7</v>
      </c>
      <c r="B63" s="71" t="s">
        <v>7</v>
      </c>
      <c r="C63" s="14" t="s">
        <v>20</v>
      </c>
      <c r="G63" s="74">
        <v>44076</v>
      </c>
      <c r="H63" s="16">
        <v>2020</v>
      </c>
      <c r="I63" s="135" t="s">
        <v>33</v>
      </c>
      <c r="J63" s="135">
        <v>10</v>
      </c>
      <c r="K63" s="141">
        <v>0.52770448548813109</v>
      </c>
      <c r="L63" s="5" t="s">
        <v>159</v>
      </c>
      <c r="M63" s="5">
        <v>4.2523582702904635E-2</v>
      </c>
      <c r="N63" s="5">
        <v>0.23705986737648263</v>
      </c>
      <c r="O63" s="5">
        <v>1.3099280844307462</v>
      </c>
      <c r="P63" s="5">
        <v>1.4793125992341458</v>
      </c>
      <c r="Q63" s="5">
        <v>3.7289343420192393</v>
      </c>
      <c r="R63" s="5">
        <v>3.2616045577659469</v>
      </c>
      <c r="S63" s="5">
        <v>1.3299990660315679</v>
      </c>
      <c r="T63" s="5">
        <v>11.389362099561033</v>
      </c>
      <c r="U63" s="17">
        <f t="shared" si="4"/>
        <v>93.897719015596465</v>
      </c>
      <c r="V63" s="5">
        <v>1.1459018423260735E-2</v>
      </c>
      <c r="W63" s="5">
        <v>0.2540326066550147</v>
      </c>
      <c r="X63" s="5">
        <v>9.1683392742732864E-2</v>
      </c>
      <c r="Y63" s="5">
        <v>0.23208167048013253</v>
      </c>
      <c r="Z63" s="5">
        <v>8.0000000000000002E-3</v>
      </c>
      <c r="AA63" s="5">
        <v>4.1146759971257142E-2</v>
      </c>
      <c r="AB63" s="5">
        <v>4.4880218378050632E-2</v>
      </c>
      <c r="AC63" s="5">
        <v>0.35680039844952444</v>
      </c>
      <c r="AD63" s="5">
        <v>1.0400840650999732</v>
      </c>
      <c r="AE63" s="17">
        <f t="shared" si="7"/>
        <v>0.6752836666504487</v>
      </c>
      <c r="AF63" s="75">
        <v>0.15840104604464367</v>
      </c>
      <c r="AG63" s="18">
        <f t="shared" si="6"/>
        <v>1.5008499112729861</v>
      </c>
      <c r="AH63" s="100">
        <v>12.137726807731655</v>
      </c>
      <c r="AI63" s="97" t="s">
        <v>69</v>
      </c>
      <c r="AJ63" s="97" t="s">
        <v>158</v>
      </c>
      <c r="AK63" s="97" t="s">
        <v>158</v>
      </c>
      <c r="AL63" s="97" t="s">
        <v>69</v>
      </c>
      <c r="AM63" s="97" t="s">
        <v>126</v>
      </c>
      <c r="AN63" s="98">
        <v>3.3358773488397135</v>
      </c>
      <c r="AO63" s="99">
        <v>0.68203171270123297</v>
      </c>
      <c r="AP63" s="16" t="s">
        <v>158</v>
      </c>
      <c r="AQ63" s="99">
        <v>0.97818069240295047</v>
      </c>
      <c r="AR63" s="99" t="s">
        <v>65</v>
      </c>
      <c r="AS63" s="99">
        <v>0.77935713131965745</v>
      </c>
      <c r="AT63" s="99" t="s">
        <v>131</v>
      </c>
      <c r="AU63" s="99" t="s">
        <v>131</v>
      </c>
      <c r="AV63" s="99">
        <v>0.22723846443762449</v>
      </c>
      <c r="AW63" s="97" t="s">
        <v>126</v>
      </c>
      <c r="AX63" s="97"/>
      <c r="AY63" s="97"/>
      <c r="AZ63" s="97"/>
      <c r="BA63" s="97"/>
      <c r="BB63" s="97"/>
      <c r="BC63" s="5" t="s">
        <v>158</v>
      </c>
      <c r="BD63" s="5" t="s">
        <v>158</v>
      </c>
      <c r="BE63" s="5" t="s">
        <v>158</v>
      </c>
      <c r="BF63" s="5" t="s">
        <v>158</v>
      </c>
      <c r="BG63" s="5" t="s">
        <v>158</v>
      </c>
      <c r="BH63" s="5" t="s">
        <v>158</v>
      </c>
      <c r="BI63" s="5" t="s">
        <v>158</v>
      </c>
      <c r="BJ63" s="5" t="s">
        <v>158</v>
      </c>
      <c r="BK63" s="5" t="s">
        <v>158</v>
      </c>
      <c r="BL63" s="5" t="s">
        <v>158</v>
      </c>
      <c r="BM63" s="5" t="s">
        <v>158</v>
      </c>
      <c r="BN63" s="5">
        <v>150</v>
      </c>
      <c r="BO63" s="64" t="s">
        <v>158</v>
      </c>
      <c r="BP63" s="64" t="s">
        <v>158</v>
      </c>
      <c r="BQ63" s="64" t="s">
        <v>158</v>
      </c>
      <c r="BR63" s="64" t="s">
        <v>158</v>
      </c>
      <c r="BS63" s="64" t="s">
        <v>158</v>
      </c>
      <c r="BT63" s="64" t="s">
        <v>158</v>
      </c>
      <c r="BU63" s="64" t="s">
        <v>158</v>
      </c>
      <c r="BV63" s="64" t="s">
        <v>158</v>
      </c>
      <c r="BW63" s="64" t="s">
        <v>158</v>
      </c>
      <c r="BX63" s="64" t="s">
        <v>158</v>
      </c>
      <c r="BY63" s="64" t="s">
        <v>158</v>
      </c>
      <c r="BZ63" s="64" t="s">
        <v>158</v>
      </c>
      <c r="CA63" s="64" t="s">
        <v>158</v>
      </c>
      <c r="CB63" s="64" t="s">
        <v>158</v>
      </c>
      <c r="CC63" s="64" t="s">
        <v>158</v>
      </c>
      <c r="CD63" s="64" t="s">
        <v>158</v>
      </c>
      <c r="CE63" s="64" t="s">
        <v>158</v>
      </c>
      <c r="CF63" s="64" t="s">
        <v>158</v>
      </c>
      <c r="CG63" s="64" t="s">
        <v>158</v>
      </c>
      <c r="CH63" s="64" t="s">
        <v>158</v>
      </c>
      <c r="CI63" s="64" t="s">
        <v>158</v>
      </c>
      <c r="CJ63" s="64" t="s">
        <v>158</v>
      </c>
      <c r="CK63" s="64" t="s">
        <v>158</v>
      </c>
      <c r="CL63" s="64" t="s">
        <v>158</v>
      </c>
      <c r="CM63" s="64" t="s">
        <v>158</v>
      </c>
      <c r="CN63" s="64" t="s">
        <v>158</v>
      </c>
      <c r="CO63" s="64" t="s">
        <v>158</v>
      </c>
      <c r="CP63" s="64" t="s">
        <v>158</v>
      </c>
      <c r="CQ63" s="64" t="s">
        <v>158</v>
      </c>
      <c r="CR63" s="64" t="s">
        <v>158</v>
      </c>
      <c r="CS63" s="64" t="s">
        <v>158</v>
      </c>
      <c r="CT63" s="64" t="s">
        <v>158</v>
      </c>
      <c r="CU63" s="64" t="s">
        <v>158</v>
      </c>
      <c r="CV63" s="64" t="s">
        <v>158</v>
      </c>
      <c r="CW63" s="64" t="s">
        <v>158</v>
      </c>
      <c r="CX63" s="64" t="s">
        <v>158</v>
      </c>
      <c r="CY63" s="66" t="s">
        <v>158</v>
      </c>
    </row>
    <row r="64" spans="1:104" x14ac:dyDescent="0.2">
      <c r="A64" s="71" t="s">
        <v>5</v>
      </c>
      <c r="B64" s="71" t="s">
        <v>5</v>
      </c>
      <c r="C64" s="14" t="s">
        <v>20</v>
      </c>
      <c r="G64" s="74">
        <v>44067</v>
      </c>
      <c r="H64" s="16">
        <v>2020</v>
      </c>
      <c r="I64" s="135" t="s">
        <v>33</v>
      </c>
      <c r="J64" s="135">
        <v>10</v>
      </c>
      <c r="K64" s="141">
        <v>0.54378398649917126</v>
      </c>
      <c r="L64" s="5" t="s">
        <v>159</v>
      </c>
      <c r="M64" s="5">
        <v>0.82592342559552512</v>
      </c>
      <c r="N64" s="5">
        <v>2.4838267913974348</v>
      </c>
      <c r="O64" s="5">
        <v>9.7939531295206876</v>
      </c>
      <c r="P64" s="5">
        <v>8.814215449898736</v>
      </c>
      <c r="Q64" s="5">
        <v>15.305670749349021</v>
      </c>
      <c r="R64" s="5">
        <v>14.554055357315073</v>
      </c>
      <c r="S64" s="5">
        <v>3.7771626964991802</v>
      </c>
      <c r="T64" s="5">
        <v>55.554807599575661</v>
      </c>
      <c r="U64" s="17">
        <f t="shared" si="4"/>
        <v>429.77168609348297</v>
      </c>
      <c r="V64" s="5">
        <v>2.0900971351692679E-2</v>
      </c>
      <c r="W64" s="5">
        <v>0.33061536501768424</v>
      </c>
      <c r="X64" s="5">
        <v>9.9862724852371604E-2</v>
      </c>
      <c r="Y64" s="5">
        <v>0.17976883361826038</v>
      </c>
      <c r="Z64" s="5">
        <v>1.3732973555521536E-2</v>
      </c>
      <c r="AA64" s="5">
        <v>5.4135450022511578E-2</v>
      </c>
      <c r="AB64" s="5">
        <v>6.4534735714099553E-2</v>
      </c>
      <c r="AC64" s="5">
        <v>0.95651074359259103</v>
      </c>
      <c r="AD64" s="5">
        <v>1.7200617977247326</v>
      </c>
      <c r="AE64" s="17">
        <f t="shared" si="7"/>
        <v>0.74981808057661992</v>
      </c>
      <c r="AF64" s="75">
        <v>3.8865850130195778E-2</v>
      </c>
      <c r="AG64" s="18">
        <f t="shared" si="6"/>
        <v>0.35736479093849716</v>
      </c>
      <c r="AH64" s="100">
        <v>9.4605074687947628</v>
      </c>
      <c r="AI64" s="97" t="s">
        <v>69</v>
      </c>
      <c r="AJ64" s="97" t="s">
        <v>158</v>
      </c>
      <c r="AK64" s="97" t="s">
        <v>158</v>
      </c>
      <c r="AL64" s="97" t="s">
        <v>69</v>
      </c>
      <c r="AM64" s="97" t="s">
        <v>126</v>
      </c>
      <c r="AN64" s="97">
        <v>0.54134694086351554</v>
      </c>
      <c r="AO64" s="99" t="s">
        <v>126</v>
      </c>
      <c r="AP64" s="16" t="s">
        <v>158</v>
      </c>
      <c r="AQ64" s="99">
        <v>0.47282330673214651</v>
      </c>
      <c r="AR64" s="99" t="s">
        <v>65</v>
      </c>
      <c r="AS64" s="99">
        <v>0.82489257213014122</v>
      </c>
      <c r="AT64" s="99" t="s">
        <v>131</v>
      </c>
      <c r="AU64" s="99" t="s">
        <v>131</v>
      </c>
      <c r="AV64" s="99" t="s">
        <v>65</v>
      </c>
      <c r="AW64" s="97" t="s">
        <v>126</v>
      </c>
      <c r="AX64" s="97"/>
      <c r="AY64" s="97"/>
      <c r="AZ64" s="97"/>
      <c r="BA64" s="97"/>
      <c r="BB64" s="97"/>
      <c r="BC64" s="5" t="s">
        <v>158</v>
      </c>
      <c r="BD64" s="5" t="s">
        <v>158</v>
      </c>
      <c r="BE64" s="5" t="s">
        <v>158</v>
      </c>
      <c r="BF64" s="5" t="s">
        <v>158</v>
      </c>
      <c r="BG64" s="5" t="s">
        <v>158</v>
      </c>
      <c r="BH64" s="5" t="s">
        <v>158</v>
      </c>
      <c r="BI64" s="5" t="s">
        <v>158</v>
      </c>
      <c r="BJ64" s="5" t="s">
        <v>158</v>
      </c>
      <c r="BK64" s="5" t="s">
        <v>158</v>
      </c>
      <c r="BL64" s="5" t="s">
        <v>158</v>
      </c>
      <c r="BM64" s="5" t="s">
        <v>158</v>
      </c>
      <c r="BN64" s="5">
        <v>96</v>
      </c>
      <c r="BO64" s="64" t="s">
        <v>158</v>
      </c>
      <c r="BP64" s="64" t="s">
        <v>158</v>
      </c>
      <c r="BQ64" s="64" t="s">
        <v>158</v>
      </c>
      <c r="BR64" s="64" t="s">
        <v>158</v>
      </c>
      <c r="BS64" s="64" t="s">
        <v>158</v>
      </c>
      <c r="BT64" s="64" t="s">
        <v>158</v>
      </c>
      <c r="BU64" s="64" t="s">
        <v>158</v>
      </c>
      <c r="BV64" s="64" t="s">
        <v>158</v>
      </c>
      <c r="BW64" s="64" t="s">
        <v>158</v>
      </c>
      <c r="BX64" s="64" t="s">
        <v>158</v>
      </c>
      <c r="BY64" s="64" t="s">
        <v>158</v>
      </c>
      <c r="BZ64" s="64" t="s">
        <v>158</v>
      </c>
      <c r="CA64" s="64" t="s">
        <v>158</v>
      </c>
      <c r="CB64" s="64" t="s">
        <v>158</v>
      </c>
      <c r="CC64" s="64" t="s">
        <v>158</v>
      </c>
      <c r="CD64" s="64" t="s">
        <v>158</v>
      </c>
      <c r="CE64" s="64" t="s">
        <v>158</v>
      </c>
      <c r="CF64" s="64" t="s">
        <v>158</v>
      </c>
      <c r="CG64" s="64" t="s">
        <v>158</v>
      </c>
      <c r="CH64" s="64" t="s">
        <v>158</v>
      </c>
      <c r="CI64" s="64" t="s">
        <v>158</v>
      </c>
      <c r="CJ64" s="64" t="s">
        <v>158</v>
      </c>
      <c r="CK64" s="64" t="s">
        <v>158</v>
      </c>
      <c r="CL64" s="64" t="s">
        <v>158</v>
      </c>
      <c r="CM64" s="64" t="s">
        <v>158</v>
      </c>
      <c r="CN64" s="64" t="s">
        <v>158</v>
      </c>
      <c r="CO64" s="64" t="s">
        <v>158</v>
      </c>
      <c r="CP64" s="64" t="s">
        <v>158</v>
      </c>
      <c r="CQ64" s="64" t="s">
        <v>158</v>
      </c>
      <c r="CR64" s="64" t="s">
        <v>158</v>
      </c>
      <c r="CS64" s="64" t="s">
        <v>158</v>
      </c>
      <c r="CT64" s="64" t="s">
        <v>158</v>
      </c>
      <c r="CU64" s="64" t="s">
        <v>158</v>
      </c>
      <c r="CV64" s="64" t="s">
        <v>158</v>
      </c>
      <c r="CW64" s="64" t="s">
        <v>158</v>
      </c>
      <c r="CX64" s="64" t="s">
        <v>158</v>
      </c>
      <c r="CY64" s="66" t="s">
        <v>158</v>
      </c>
    </row>
    <row r="65" spans="1:103" x14ac:dyDescent="0.2">
      <c r="A65" s="71" t="s">
        <v>79</v>
      </c>
      <c r="B65" s="71" t="s">
        <v>79</v>
      </c>
      <c r="C65" s="14" t="s">
        <v>20</v>
      </c>
      <c r="G65" s="74">
        <v>44075</v>
      </c>
      <c r="H65" s="16">
        <v>2020</v>
      </c>
      <c r="I65" s="135" t="s">
        <v>33</v>
      </c>
      <c r="J65" s="135">
        <v>10</v>
      </c>
      <c r="K65" s="141">
        <v>0.78185411117794557</v>
      </c>
      <c r="L65" s="5" t="s">
        <v>159</v>
      </c>
      <c r="M65" s="5">
        <v>0.22215909090909092</v>
      </c>
      <c r="N65" s="5">
        <v>0.66855739599383668</v>
      </c>
      <c r="O65" s="5">
        <v>2.8267623266563944</v>
      </c>
      <c r="P65" s="5">
        <v>2.4805855161787367</v>
      </c>
      <c r="Q65" s="5">
        <v>5.4529275808936823</v>
      </c>
      <c r="R65" s="5">
        <v>5.0670261941448382</v>
      </c>
      <c r="S65" s="5">
        <v>1.8378466872110939</v>
      </c>
      <c r="T65" s="5">
        <v>18.555864791987673</v>
      </c>
      <c r="U65" s="17">
        <f t="shared" si="4"/>
        <v>102.80229422589998</v>
      </c>
      <c r="V65" s="5">
        <v>8.0000000000000002E-3</v>
      </c>
      <c r="W65" s="5">
        <v>6.9937751761792247E-2</v>
      </c>
      <c r="X65" s="5">
        <v>2.0207775316541651E-2</v>
      </c>
      <c r="Y65" s="5">
        <v>2.6560189241002657E-2</v>
      </c>
      <c r="Z65" s="5">
        <v>8.0000000000000002E-3</v>
      </c>
      <c r="AA65" s="5">
        <v>1.1529814868674887E-2</v>
      </c>
      <c r="AB65" s="5">
        <v>2.9093810979660514E-2</v>
      </c>
      <c r="AC65" s="5" t="s">
        <v>128</v>
      </c>
      <c r="AD65" s="5">
        <v>0.17332934216767196</v>
      </c>
      <c r="AE65" s="17">
        <f t="shared" si="7"/>
        <v>0.16532934216767195</v>
      </c>
      <c r="AF65" s="75">
        <v>1.9356702619414485E-2</v>
      </c>
      <c r="AG65" s="18">
        <f t="shared" si="6"/>
        <v>0.12378717680624314</v>
      </c>
      <c r="AH65" s="100">
        <v>4.0276958045631215</v>
      </c>
      <c r="AI65" s="97" t="s">
        <v>69</v>
      </c>
      <c r="AJ65" s="97" t="s">
        <v>158</v>
      </c>
      <c r="AK65" s="97" t="s">
        <v>158</v>
      </c>
      <c r="AL65" s="97" t="s">
        <v>69</v>
      </c>
      <c r="AM65" s="97" t="s">
        <v>126</v>
      </c>
      <c r="AN65" s="97">
        <v>0.46155535818315518</v>
      </c>
      <c r="AO65" s="99" t="s">
        <v>126</v>
      </c>
      <c r="AP65" s="16" t="s">
        <v>158</v>
      </c>
      <c r="AQ65" s="99">
        <v>0.29864672568738121</v>
      </c>
      <c r="AR65" s="99" t="s">
        <v>65</v>
      </c>
      <c r="AS65" s="99" t="s">
        <v>131</v>
      </c>
      <c r="AT65" s="99" t="s">
        <v>131</v>
      </c>
      <c r="AU65" s="99" t="s">
        <v>131</v>
      </c>
      <c r="AV65" s="99" t="s">
        <v>65</v>
      </c>
      <c r="AW65" s="97" t="s">
        <v>126</v>
      </c>
      <c r="AX65" s="97"/>
      <c r="AY65" s="97"/>
      <c r="AZ65" s="97"/>
      <c r="BA65" s="97"/>
      <c r="BB65" s="97"/>
      <c r="BC65" s="5" t="s">
        <v>158</v>
      </c>
      <c r="BD65" s="5" t="s">
        <v>158</v>
      </c>
      <c r="BE65" s="5" t="s">
        <v>158</v>
      </c>
      <c r="BF65" s="5" t="s">
        <v>158</v>
      </c>
      <c r="BG65" s="5" t="s">
        <v>158</v>
      </c>
      <c r="BH65" s="5" t="s">
        <v>158</v>
      </c>
      <c r="BI65" s="5" t="s">
        <v>158</v>
      </c>
      <c r="BJ65" s="5" t="s">
        <v>158</v>
      </c>
      <c r="BK65" s="5" t="s">
        <v>158</v>
      </c>
      <c r="BL65" s="5" t="s">
        <v>158</v>
      </c>
      <c r="BM65" s="5" t="s">
        <v>158</v>
      </c>
      <c r="BN65" s="5">
        <v>260</v>
      </c>
      <c r="BO65" s="64" t="s">
        <v>158</v>
      </c>
      <c r="BP65" s="64" t="s">
        <v>158</v>
      </c>
      <c r="BQ65" s="64" t="s">
        <v>158</v>
      </c>
      <c r="BR65" s="64" t="s">
        <v>158</v>
      </c>
      <c r="BS65" s="64" t="s">
        <v>158</v>
      </c>
      <c r="BT65" s="64" t="s">
        <v>158</v>
      </c>
      <c r="BU65" s="64" t="s">
        <v>158</v>
      </c>
      <c r="BV65" s="64" t="s">
        <v>158</v>
      </c>
      <c r="BW65" s="64" t="s">
        <v>158</v>
      </c>
      <c r="BX65" s="64" t="s">
        <v>158</v>
      </c>
      <c r="BY65" s="64" t="s">
        <v>158</v>
      </c>
      <c r="BZ65" s="64" t="s">
        <v>158</v>
      </c>
      <c r="CA65" s="64" t="s">
        <v>158</v>
      </c>
      <c r="CB65" s="64" t="s">
        <v>158</v>
      </c>
      <c r="CC65" s="64" t="s">
        <v>158</v>
      </c>
      <c r="CD65" s="64" t="s">
        <v>158</v>
      </c>
      <c r="CE65" s="64" t="s">
        <v>158</v>
      </c>
      <c r="CF65" s="64" t="s">
        <v>158</v>
      </c>
      <c r="CG65" s="64" t="s">
        <v>158</v>
      </c>
      <c r="CH65" s="64" t="s">
        <v>158</v>
      </c>
      <c r="CI65" s="64" t="s">
        <v>158</v>
      </c>
      <c r="CJ65" s="64" t="s">
        <v>158</v>
      </c>
      <c r="CK65" s="64" t="s">
        <v>158</v>
      </c>
      <c r="CL65" s="64" t="s">
        <v>158</v>
      </c>
      <c r="CM65" s="64" t="s">
        <v>158</v>
      </c>
      <c r="CN65" s="64" t="s">
        <v>158</v>
      </c>
      <c r="CO65" s="64" t="s">
        <v>158</v>
      </c>
      <c r="CP65" s="64" t="s">
        <v>158</v>
      </c>
      <c r="CQ65" s="64" t="s">
        <v>158</v>
      </c>
      <c r="CR65" s="64" t="s">
        <v>158</v>
      </c>
      <c r="CS65" s="64" t="s">
        <v>158</v>
      </c>
      <c r="CT65" s="64" t="s">
        <v>158</v>
      </c>
      <c r="CU65" s="64" t="s">
        <v>158</v>
      </c>
      <c r="CV65" s="64" t="s">
        <v>158</v>
      </c>
      <c r="CW65" s="64" t="s">
        <v>158</v>
      </c>
      <c r="CX65" s="64" t="s">
        <v>158</v>
      </c>
      <c r="CY65" s="66" t="s">
        <v>158</v>
      </c>
    </row>
    <row r="66" spans="1:103" x14ac:dyDescent="0.2">
      <c r="A66" s="71" t="s">
        <v>25</v>
      </c>
      <c r="B66" s="71" t="s">
        <v>25</v>
      </c>
      <c r="C66" s="14" t="s">
        <v>20</v>
      </c>
      <c r="G66" s="74">
        <v>44098</v>
      </c>
      <c r="H66" s="16">
        <v>2020</v>
      </c>
      <c r="I66" s="135" t="s">
        <v>33</v>
      </c>
      <c r="J66" s="135">
        <v>10</v>
      </c>
      <c r="K66" s="141">
        <v>0.54760303583437775</v>
      </c>
      <c r="L66" s="5" t="s">
        <v>159</v>
      </c>
      <c r="M66" s="5">
        <v>1.8796321100098223E-2</v>
      </c>
      <c r="N66" s="5">
        <v>7.5033485132601122E-2</v>
      </c>
      <c r="O66" s="5">
        <v>0.82873470845611219</v>
      </c>
      <c r="P66" s="5">
        <v>0.75546923832485047</v>
      </c>
      <c r="Q66" s="5">
        <v>3.31597464059291</v>
      </c>
      <c r="R66" s="5">
        <v>2.8135547816769355</v>
      </c>
      <c r="S66" s="5">
        <v>1.3719171354585231</v>
      </c>
      <c r="T66" s="5">
        <v>9.1794803107420311</v>
      </c>
      <c r="U66" s="17">
        <f t="shared" si="4"/>
        <v>76.917132677885817</v>
      </c>
      <c r="V66" s="5">
        <v>8.0000000000000002E-3</v>
      </c>
      <c r="W66" s="5">
        <v>0.11117678962745009</v>
      </c>
      <c r="X66" s="5">
        <v>4.2714013793579503E-2</v>
      </c>
      <c r="Y66" s="5">
        <v>7.3809260356393958E-2</v>
      </c>
      <c r="Z66" s="5">
        <v>7.0000000000000001E-3</v>
      </c>
      <c r="AA66" s="5">
        <v>3.2692248433178563E-2</v>
      </c>
      <c r="AB66" s="5">
        <v>2.969497680691547E-2</v>
      </c>
      <c r="AC66" s="5" t="s">
        <v>129</v>
      </c>
      <c r="AD66" s="5">
        <v>0.30508728901751758</v>
      </c>
      <c r="AE66" s="17">
        <f t="shared" si="7"/>
        <v>0.29808728901751763</v>
      </c>
      <c r="AF66" s="75" t="s">
        <v>130</v>
      </c>
      <c r="AG66" s="18" t="s">
        <v>158</v>
      </c>
      <c r="AH66" s="100">
        <v>28.368659883225693</v>
      </c>
      <c r="AI66" s="97" t="s">
        <v>69</v>
      </c>
      <c r="AJ66" s="97" t="s">
        <v>158</v>
      </c>
      <c r="AK66" s="97" t="s">
        <v>158</v>
      </c>
      <c r="AL66" s="97" t="s">
        <v>69</v>
      </c>
      <c r="AM66" s="97" t="s">
        <v>126</v>
      </c>
      <c r="AN66" s="98">
        <v>1.0644272019080363</v>
      </c>
      <c r="AO66" s="99">
        <v>0.43859282318140275</v>
      </c>
      <c r="AP66" s="16" t="s">
        <v>158</v>
      </c>
      <c r="AQ66" s="99">
        <v>0.49359599807957372</v>
      </c>
      <c r="AR66" s="99" t="s">
        <v>65</v>
      </c>
      <c r="AS66" s="99" t="s">
        <v>131</v>
      </c>
      <c r="AT66" s="99" t="s">
        <v>131</v>
      </c>
      <c r="AU66" s="99" t="s">
        <v>131</v>
      </c>
      <c r="AV66" s="99">
        <v>0.42128575632269344</v>
      </c>
      <c r="AW66" s="97" t="s">
        <v>126</v>
      </c>
      <c r="AX66" s="97"/>
      <c r="AY66" s="97"/>
      <c r="AZ66" s="97"/>
      <c r="BA66" s="97"/>
      <c r="BB66" s="97"/>
      <c r="BC66" s="5" t="s">
        <v>158</v>
      </c>
      <c r="BD66" s="5" t="s">
        <v>158</v>
      </c>
      <c r="BE66" s="5" t="s">
        <v>158</v>
      </c>
      <c r="BF66" s="5" t="s">
        <v>158</v>
      </c>
      <c r="BG66" s="5" t="s">
        <v>158</v>
      </c>
      <c r="BH66" s="5" t="s">
        <v>158</v>
      </c>
      <c r="BI66" s="5" t="s">
        <v>158</v>
      </c>
      <c r="BJ66" s="5" t="s">
        <v>158</v>
      </c>
      <c r="BK66" s="5" t="s">
        <v>158</v>
      </c>
      <c r="BL66" s="5" t="s">
        <v>158</v>
      </c>
      <c r="BM66" s="5" t="s">
        <v>158</v>
      </c>
      <c r="BN66" s="5">
        <v>91</v>
      </c>
      <c r="BO66" s="64" t="s">
        <v>158</v>
      </c>
      <c r="BP66" s="64" t="s">
        <v>158</v>
      </c>
      <c r="BQ66" s="64" t="s">
        <v>158</v>
      </c>
      <c r="BR66" s="64" t="s">
        <v>158</v>
      </c>
      <c r="BS66" s="64" t="s">
        <v>158</v>
      </c>
      <c r="BT66" s="64" t="s">
        <v>158</v>
      </c>
      <c r="BU66" s="64" t="s">
        <v>158</v>
      </c>
      <c r="BV66" s="64" t="s">
        <v>158</v>
      </c>
      <c r="BW66" s="64" t="s">
        <v>158</v>
      </c>
      <c r="BX66" s="64" t="s">
        <v>158</v>
      </c>
      <c r="BY66" s="64" t="s">
        <v>158</v>
      </c>
      <c r="BZ66" s="64" t="s">
        <v>158</v>
      </c>
      <c r="CA66" s="64" t="s">
        <v>158</v>
      </c>
      <c r="CB66" s="64" t="s">
        <v>158</v>
      </c>
      <c r="CC66" s="64" t="s">
        <v>158</v>
      </c>
      <c r="CD66" s="64" t="s">
        <v>158</v>
      </c>
      <c r="CE66" s="64" t="s">
        <v>158</v>
      </c>
      <c r="CF66" s="64" t="s">
        <v>158</v>
      </c>
      <c r="CG66" s="64" t="s">
        <v>158</v>
      </c>
      <c r="CH66" s="64" t="s">
        <v>158</v>
      </c>
      <c r="CI66" s="64" t="s">
        <v>158</v>
      </c>
      <c r="CJ66" s="64" t="s">
        <v>158</v>
      </c>
      <c r="CK66" s="64" t="s">
        <v>158</v>
      </c>
      <c r="CL66" s="64" t="s">
        <v>158</v>
      </c>
      <c r="CM66" s="64" t="s">
        <v>158</v>
      </c>
      <c r="CN66" s="64" t="s">
        <v>158</v>
      </c>
      <c r="CO66" s="64" t="s">
        <v>158</v>
      </c>
      <c r="CP66" s="64" t="s">
        <v>158</v>
      </c>
      <c r="CQ66" s="64" t="s">
        <v>158</v>
      </c>
      <c r="CR66" s="64" t="s">
        <v>158</v>
      </c>
      <c r="CS66" s="64" t="s">
        <v>158</v>
      </c>
      <c r="CT66" s="64" t="s">
        <v>158</v>
      </c>
      <c r="CU66" s="64" t="s">
        <v>158</v>
      </c>
      <c r="CV66" s="64" t="s">
        <v>158</v>
      </c>
      <c r="CW66" s="64" t="s">
        <v>158</v>
      </c>
      <c r="CX66" s="64" t="s">
        <v>158</v>
      </c>
      <c r="CY66" s="66" t="s">
        <v>158</v>
      </c>
    </row>
    <row r="67" spans="1:103" x14ac:dyDescent="0.2">
      <c r="A67" s="71" t="s">
        <v>9</v>
      </c>
      <c r="B67" s="71" t="s">
        <v>9</v>
      </c>
      <c r="C67" s="14" t="s">
        <v>20</v>
      </c>
      <c r="G67" s="74">
        <v>44088</v>
      </c>
      <c r="H67" s="16">
        <v>2020</v>
      </c>
      <c r="I67" s="135" t="s">
        <v>33</v>
      </c>
      <c r="J67" s="135">
        <v>10</v>
      </c>
      <c r="K67" s="141">
        <v>0.52518053080745719</v>
      </c>
      <c r="L67" s="5" t="s">
        <v>159</v>
      </c>
      <c r="M67" s="5">
        <v>2.6367475203770994E-2</v>
      </c>
      <c r="N67" s="5">
        <v>7.952469802612197E-2</v>
      </c>
      <c r="O67" s="5">
        <v>0.68976725915741921</v>
      </c>
      <c r="P67" s="5">
        <v>0.52974565452224287</v>
      </c>
      <c r="Q67" s="5">
        <v>2.674722576843759</v>
      </c>
      <c r="R67" s="5">
        <v>2.1255032897967201</v>
      </c>
      <c r="S67" s="5">
        <v>1.0491210841598742</v>
      </c>
      <c r="T67" s="5">
        <v>7.1747520377099088</v>
      </c>
      <c r="U67" s="17">
        <f t="shared" si="4"/>
        <v>63.264020592795667</v>
      </c>
      <c r="V67" s="5">
        <v>8.9999999999999993E-3</v>
      </c>
      <c r="W67" s="5">
        <v>5.5685877009316591E-2</v>
      </c>
      <c r="X67" s="5">
        <v>2.3870542645258036E-2</v>
      </c>
      <c r="Y67" s="5">
        <v>3.6722057018917162E-2</v>
      </c>
      <c r="Z67" s="5" t="s">
        <v>76</v>
      </c>
      <c r="AA67" s="5">
        <v>1.626331415578439E-2</v>
      </c>
      <c r="AB67" s="5">
        <v>1.7637678732329552E-2</v>
      </c>
      <c r="AC67" s="5" t="s">
        <v>69</v>
      </c>
      <c r="AD67" s="5">
        <v>0.15917946956160572</v>
      </c>
      <c r="AE67" s="17">
        <f t="shared" si="7"/>
        <v>0.15917946956160572</v>
      </c>
      <c r="AF67" s="75">
        <v>6.6777963272120202E-3</v>
      </c>
      <c r="AG67" s="18">
        <f t="shared" si="6"/>
        <v>6.3576198425948971E-2</v>
      </c>
      <c r="AH67" s="100">
        <v>1.9434212505298278</v>
      </c>
      <c r="AI67" s="97" t="s">
        <v>69</v>
      </c>
      <c r="AJ67" s="97" t="s">
        <v>158</v>
      </c>
      <c r="AK67" s="97" t="s">
        <v>158</v>
      </c>
      <c r="AL67" s="97" t="s">
        <v>69</v>
      </c>
      <c r="AM67" s="97" t="s">
        <v>126</v>
      </c>
      <c r="AN67" s="97" t="s">
        <v>69</v>
      </c>
      <c r="AO67" s="99" t="s">
        <v>126</v>
      </c>
      <c r="AP67" s="16" t="s">
        <v>158</v>
      </c>
      <c r="AQ67" s="99" t="s">
        <v>69</v>
      </c>
      <c r="AR67" s="99" t="s">
        <v>65</v>
      </c>
      <c r="AS67" s="99" t="s">
        <v>131</v>
      </c>
      <c r="AT67" s="99" t="s">
        <v>131</v>
      </c>
      <c r="AU67" s="99" t="s">
        <v>131</v>
      </c>
      <c r="AV67" s="99">
        <v>0.21852140503438749</v>
      </c>
      <c r="AW67" s="97" t="s">
        <v>126</v>
      </c>
      <c r="AX67" s="97"/>
      <c r="AY67" s="97"/>
      <c r="AZ67" s="97"/>
      <c r="BA67" s="97"/>
      <c r="BB67" s="97"/>
      <c r="BC67" s="5" t="s">
        <v>158</v>
      </c>
      <c r="BD67" s="5" t="s">
        <v>158</v>
      </c>
      <c r="BE67" s="5" t="s">
        <v>158</v>
      </c>
      <c r="BF67" s="5" t="s">
        <v>158</v>
      </c>
      <c r="BG67" s="5" t="s">
        <v>158</v>
      </c>
      <c r="BH67" s="5" t="s">
        <v>158</v>
      </c>
      <c r="BI67" s="5" t="s">
        <v>158</v>
      </c>
      <c r="BJ67" s="5" t="s">
        <v>158</v>
      </c>
      <c r="BK67" s="5" t="s">
        <v>158</v>
      </c>
      <c r="BL67" s="5" t="s">
        <v>158</v>
      </c>
      <c r="BM67" s="5" t="s">
        <v>158</v>
      </c>
      <c r="BN67" s="5">
        <v>31</v>
      </c>
      <c r="BO67" s="64" t="s">
        <v>158</v>
      </c>
      <c r="BP67" s="64" t="s">
        <v>158</v>
      </c>
      <c r="BQ67" s="64" t="s">
        <v>158</v>
      </c>
      <c r="BR67" s="64" t="s">
        <v>158</v>
      </c>
      <c r="BS67" s="64" t="s">
        <v>158</v>
      </c>
      <c r="BT67" s="64" t="s">
        <v>158</v>
      </c>
      <c r="BU67" s="64" t="s">
        <v>158</v>
      </c>
      <c r="BV67" s="64" t="s">
        <v>158</v>
      </c>
      <c r="BW67" s="64" t="s">
        <v>158</v>
      </c>
      <c r="BX67" s="64" t="s">
        <v>158</v>
      </c>
      <c r="BY67" s="64" t="s">
        <v>158</v>
      </c>
      <c r="BZ67" s="64" t="s">
        <v>158</v>
      </c>
      <c r="CA67" s="64" t="s">
        <v>158</v>
      </c>
      <c r="CB67" s="64" t="s">
        <v>158</v>
      </c>
      <c r="CC67" s="64" t="s">
        <v>158</v>
      </c>
      <c r="CD67" s="64" t="s">
        <v>158</v>
      </c>
      <c r="CE67" s="64" t="s">
        <v>158</v>
      </c>
      <c r="CF67" s="64" t="s">
        <v>158</v>
      </c>
      <c r="CG67" s="64" t="s">
        <v>158</v>
      </c>
      <c r="CH67" s="64" t="s">
        <v>158</v>
      </c>
      <c r="CI67" s="64" t="s">
        <v>158</v>
      </c>
      <c r="CJ67" s="64" t="s">
        <v>158</v>
      </c>
      <c r="CK67" s="64" t="s">
        <v>158</v>
      </c>
      <c r="CL67" s="64" t="s">
        <v>158</v>
      </c>
      <c r="CM67" s="64" t="s">
        <v>158</v>
      </c>
      <c r="CN67" s="64" t="s">
        <v>158</v>
      </c>
      <c r="CO67" s="64" t="s">
        <v>158</v>
      </c>
      <c r="CP67" s="64" t="s">
        <v>158</v>
      </c>
      <c r="CQ67" s="64" t="s">
        <v>158</v>
      </c>
      <c r="CR67" s="64" t="s">
        <v>158</v>
      </c>
      <c r="CS67" s="64" t="s">
        <v>158</v>
      </c>
      <c r="CT67" s="64" t="s">
        <v>158</v>
      </c>
      <c r="CU67" s="64" t="s">
        <v>158</v>
      </c>
      <c r="CV67" s="64" t="s">
        <v>158</v>
      </c>
      <c r="CW67" s="64" t="s">
        <v>158</v>
      </c>
      <c r="CX67" s="64" t="s">
        <v>158</v>
      </c>
      <c r="CY67" s="66" t="s">
        <v>158</v>
      </c>
    </row>
    <row r="68" spans="1:103" x14ac:dyDescent="0.2">
      <c r="A68" s="71" t="s">
        <v>8</v>
      </c>
      <c r="B68" s="71" t="s">
        <v>8</v>
      </c>
      <c r="C68" s="14" t="s">
        <v>20</v>
      </c>
      <c r="G68" s="74">
        <v>44097</v>
      </c>
      <c r="H68" s="16">
        <v>2020</v>
      </c>
      <c r="I68" s="135" t="s">
        <v>33</v>
      </c>
      <c r="J68" s="135">
        <v>10</v>
      </c>
      <c r="K68" s="141">
        <v>0.52333562113932686</v>
      </c>
      <c r="L68" s="5" t="s">
        <v>159</v>
      </c>
      <c r="M68" s="5">
        <v>0.17406816822802471</v>
      </c>
      <c r="N68" s="5">
        <v>0.37479569463822998</v>
      </c>
      <c r="O68" s="5">
        <v>1.5110723539964122</v>
      </c>
      <c r="P68" s="5">
        <v>1.5094179788718356</v>
      </c>
      <c r="Q68" s="5">
        <v>4.9955949770779347</v>
      </c>
      <c r="R68" s="5">
        <v>4.0142515447478573</v>
      </c>
      <c r="S68" s="5">
        <v>1.9149093083516047</v>
      </c>
      <c r="T68" s="5">
        <v>14.494110025911899</v>
      </c>
      <c r="U68" s="17">
        <f t="shared" si="4"/>
        <v>124.0570250002452</v>
      </c>
      <c r="V68" s="5">
        <v>3.8571368420217238E-2</v>
      </c>
      <c r="W68" s="5">
        <v>0.19398858474323516</v>
      </c>
      <c r="X68" s="5">
        <v>5.1704846988411303E-2</v>
      </c>
      <c r="Y68" s="5">
        <v>8.1419671243904479E-2</v>
      </c>
      <c r="Z68" s="5">
        <v>8.9999999999999993E-3</v>
      </c>
      <c r="AA68" s="5">
        <v>3.0083298604099834E-2</v>
      </c>
      <c r="AB68" s="5">
        <v>3.4399712402063416E-2</v>
      </c>
      <c r="AC68" s="5" t="s">
        <v>69</v>
      </c>
      <c r="AD68" s="5">
        <v>0.43916748240193149</v>
      </c>
      <c r="AE68" s="17">
        <f t="shared" si="7"/>
        <v>0.43016748240193148</v>
      </c>
      <c r="AF68" s="75">
        <v>1.5547139724935219E-2</v>
      </c>
      <c r="AG68" s="18">
        <f t="shared" si="6"/>
        <v>0.14853890215888943</v>
      </c>
      <c r="AH68" s="100">
        <v>13.046184738955827</v>
      </c>
      <c r="AI68" s="97" t="s">
        <v>69</v>
      </c>
      <c r="AJ68" s="97" t="s">
        <v>158</v>
      </c>
      <c r="AK68" s="97" t="s">
        <v>158</v>
      </c>
      <c r="AL68" s="97" t="s">
        <v>69</v>
      </c>
      <c r="AM68" s="97" t="s">
        <v>126</v>
      </c>
      <c r="AN68" s="98">
        <v>1.7599717050018255</v>
      </c>
      <c r="AO68" s="99">
        <v>0.32309921504198613</v>
      </c>
      <c r="AP68" s="16" t="s">
        <v>158</v>
      </c>
      <c r="AQ68" s="99">
        <v>0.63620390653523184</v>
      </c>
      <c r="AR68" s="99" t="s">
        <v>65</v>
      </c>
      <c r="AS68" s="99" t="s">
        <v>131</v>
      </c>
      <c r="AT68" s="99" t="s">
        <v>131</v>
      </c>
      <c r="AU68" s="99" t="s">
        <v>131</v>
      </c>
      <c r="AV68" s="99">
        <v>0.27021723256663016</v>
      </c>
      <c r="AW68" s="97" t="s">
        <v>126</v>
      </c>
      <c r="AX68" s="97"/>
      <c r="AY68" s="97"/>
      <c r="AZ68" s="97"/>
      <c r="BA68" s="97"/>
      <c r="BB68" s="97"/>
      <c r="BC68" s="5" t="s">
        <v>158</v>
      </c>
      <c r="BD68" s="5" t="s">
        <v>158</v>
      </c>
      <c r="BE68" s="5" t="s">
        <v>158</v>
      </c>
      <c r="BF68" s="5" t="s">
        <v>158</v>
      </c>
      <c r="BG68" s="5" t="s">
        <v>158</v>
      </c>
      <c r="BH68" s="5" t="s">
        <v>158</v>
      </c>
      <c r="BI68" s="5" t="s">
        <v>158</v>
      </c>
      <c r="BJ68" s="5" t="s">
        <v>158</v>
      </c>
      <c r="BK68" s="5" t="s">
        <v>158</v>
      </c>
      <c r="BL68" s="5" t="s">
        <v>158</v>
      </c>
      <c r="BM68" s="5" t="s">
        <v>158</v>
      </c>
      <c r="BN68" s="5">
        <v>160</v>
      </c>
      <c r="BO68" s="64" t="s">
        <v>158</v>
      </c>
      <c r="BP68" s="64" t="s">
        <v>158</v>
      </c>
      <c r="BQ68" s="64" t="s">
        <v>158</v>
      </c>
      <c r="BR68" s="64" t="s">
        <v>158</v>
      </c>
      <c r="BS68" s="64" t="s">
        <v>158</v>
      </c>
      <c r="BT68" s="64" t="s">
        <v>158</v>
      </c>
      <c r="BU68" s="64" t="s">
        <v>158</v>
      </c>
      <c r="BV68" s="64" t="s">
        <v>158</v>
      </c>
      <c r="BW68" s="64" t="s">
        <v>158</v>
      </c>
      <c r="BX68" s="64" t="s">
        <v>158</v>
      </c>
      <c r="BY68" s="64" t="s">
        <v>158</v>
      </c>
      <c r="BZ68" s="64" t="s">
        <v>158</v>
      </c>
      <c r="CA68" s="64" t="s">
        <v>158</v>
      </c>
      <c r="CB68" s="64" t="s">
        <v>158</v>
      </c>
      <c r="CC68" s="64" t="s">
        <v>158</v>
      </c>
      <c r="CD68" s="64" t="s">
        <v>158</v>
      </c>
      <c r="CE68" s="64" t="s">
        <v>158</v>
      </c>
      <c r="CF68" s="64" t="s">
        <v>158</v>
      </c>
      <c r="CG68" s="64" t="s">
        <v>158</v>
      </c>
      <c r="CH68" s="64" t="s">
        <v>158</v>
      </c>
      <c r="CI68" s="64" t="s">
        <v>158</v>
      </c>
      <c r="CJ68" s="64" t="s">
        <v>158</v>
      </c>
      <c r="CK68" s="64" t="s">
        <v>158</v>
      </c>
      <c r="CL68" s="64" t="s">
        <v>158</v>
      </c>
      <c r="CM68" s="64" t="s">
        <v>158</v>
      </c>
      <c r="CN68" s="64" t="s">
        <v>158</v>
      </c>
      <c r="CO68" s="64" t="s">
        <v>158</v>
      </c>
      <c r="CP68" s="64" t="s">
        <v>158</v>
      </c>
      <c r="CQ68" s="64" t="s">
        <v>158</v>
      </c>
      <c r="CR68" s="64" t="s">
        <v>158</v>
      </c>
      <c r="CS68" s="64" t="s">
        <v>158</v>
      </c>
      <c r="CT68" s="64" t="s">
        <v>158</v>
      </c>
      <c r="CU68" s="64" t="s">
        <v>158</v>
      </c>
      <c r="CV68" s="64" t="s">
        <v>158</v>
      </c>
      <c r="CW68" s="64" t="s">
        <v>158</v>
      </c>
      <c r="CX68" s="64" t="s">
        <v>158</v>
      </c>
      <c r="CY68" s="66" t="s">
        <v>158</v>
      </c>
    </row>
    <row r="69" spans="1:103" x14ac:dyDescent="0.2">
      <c r="A69" s="71" t="s">
        <v>6</v>
      </c>
      <c r="B69" s="71" t="s">
        <v>6</v>
      </c>
      <c r="C69" s="14" t="s">
        <v>20</v>
      </c>
      <c r="G69" s="74">
        <v>44076</v>
      </c>
      <c r="H69" s="16">
        <v>2020</v>
      </c>
      <c r="I69" s="135" t="s">
        <v>33</v>
      </c>
      <c r="J69" s="135">
        <v>10</v>
      </c>
      <c r="K69" s="141">
        <v>0.47424214245862151</v>
      </c>
      <c r="L69" s="5" t="s">
        <v>159</v>
      </c>
      <c r="M69" s="5">
        <v>4.192823394048277E-2</v>
      </c>
      <c r="N69" s="5">
        <v>0.20180579148326977</v>
      </c>
      <c r="O69" s="5">
        <v>1.1352431503818072</v>
      </c>
      <c r="P69" s="5">
        <v>0.98619574324897774</v>
      </c>
      <c r="Q69" s="5">
        <v>2.8460301510541921</v>
      </c>
      <c r="R69" s="5">
        <v>2.2701489999932774</v>
      </c>
      <c r="S69" s="5">
        <v>0.8815410952932754</v>
      </c>
      <c r="T69" s="5">
        <v>8.3628931653952829</v>
      </c>
      <c r="U69" s="17">
        <f t="shared" si="4"/>
        <v>77.773533409569708</v>
      </c>
      <c r="V69" s="5">
        <v>8.9999999999999993E-3</v>
      </c>
      <c r="W69" s="5">
        <v>0.109100068376923</v>
      </c>
      <c r="X69" s="5">
        <v>3.0029546545661603E-2</v>
      </c>
      <c r="Y69" s="5">
        <v>8.7190345600406199E-2</v>
      </c>
      <c r="Z69" s="5" t="s">
        <v>76</v>
      </c>
      <c r="AA69" s="5">
        <v>1.6630687209891491E-2</v>
      </c>
      <c r="AB69" s="5">
        <v>1.7838309725132572E-2</v>
      </c>
      <c r="AC69" s="5" t="s">
        <v>128</v>
      </c>
      <c r="AD69" s="5">
        <v>0.26978895745801484</v>
      </c>
      <c r="AE69" s="17">
        <f t="shared" si="7"/>
        <v>0.26978895745801484</v>
      </c>
      <c r="AF69" s="75">
        <v>2.6104041916167664E-2</v>
      </c>
      <c r="AG69" s="18">
        <f t="shared" si="6"/>
        <v>0.27521849682986882</v>
      </c>
      <c r="AH69" s="100">
        <v>4.4276682550063837</v>
      </c>
      <c r="AI69" s="97" t="s">
        <v>69</v>
      </c>
      <c r="AJ69" s="97" t="s">
        <v>158</v>
      </c>
      <c r="AK69" s="97" t="s">
        <v>158</v>
      </c>
      <c r="AL69" s="97" t="s">
        <v>69</v>
      </c>
      <c r="AM69" s="97" t="s">
        <v>126</v>
      </c>
      <c r="AN69" s="97">
        <v>0.6124295368899686</v>
      </c>
      <c r="AO69" s="99" t="s">
        <v>126</v>
      </c>
      <c r="AP69" s="16" t="s">
        <v>158</v>
      </c>
      <c r="AQ69" s="99">
        <v>0.21646578840823447</v>
      </c>
      <c r="AR69" s="99" t="s">
        <v>65</v>
      </c>
      <c r="AS69" s="99" t="s">
        <v>131</v>
      </c>
      <c r="AT69" s="99" t="s">
        <v>131</v>
      </c>
      <c r="AU69" s="99" t="s">
        <v>131</v>
      </c>
      <c r="AV69" s="99">
        <v>0.22037434987075274</v>
      </c>
      <c r="AW69" s="97" t="s">
        <v>126</v>
      </c>
      <c r="AX69" s="97"/>
      <c r="AY69" s="97"/>
      <c r="AZ69" s="97"/>
      <c r="BA69" s="97"/>
      <c r="BB69" s="97"/>
      <c r="BC69" s="5" t="s">
        <v>158</v>
      </c>
      <c r="BD69" s="5" t="s">
        <v>158</v>
      </c>
      <c r="BE69" s="5" t="s">
        <v>158</v>
      </c>
      <c r="BF69" s="5" t="s">
        <v>158</v>
      </c>
      <c r="BG69" s="5" t="s">
        <v>158</v>
      </c>
      <c r="BH69" s="5" t="s">
        <v>158</v>
      </c>
      <c r="BI69" s="5" t="s">
        <v>158</v>
      </c>
      <c r="BJ69" s="5" t="s">
        <v>158</v>
      </c>
      <c r="BK69" s="5" t="s">
        <v>158</v>
      </c>
      <c r="BL69" s="5" t="s">
        <v>158</v>
      </c>
      <c r="BM69" s="5" t="s">
        <v>158</v>
      </c>
      <c r="BN69" s="5">
        <v>42</v>
      </c>
      <c r="BO69" s="64" t="s">
        <v>158</v>
      </c>
      <c r="BP69" s="64" t="s">
        <v>158</v>
      </c>
      <c r="BQ69" s="64" t="s">
        <v>158</v>
      </c>
      <c r="BR69" s="64" t="s">
        <v>158</v>
      </c>
      <c r="BS69" s="64" t="s">
        <v>158</v>
      </c>
      <c r="BT69" s="64" t="s">
        <v>158</v>
      </c>
      <c r="BU69" s="64" t="s">
        <v>158</v>
      </c>
      <c r="BV69" s="64" t="s">
        <v>158</v>
      </c>
      <c r="BW69" s="64" t="s">
        <v>158</v>
      </c>
      <c r="BX69" s="64" t="s">
        <v>158</v>
      </c>
      <c r="BY69" s="64" t="s">
        <v>158</v>
      </c>
      <c r="BZ69" s="64" t="s">
        <v>158</v>
      </c>
      <c r="CA69" s="64" t="s">
        <v>158</v>
      </c>
      <c r="CB69" s="64" t="s">
        <v>158</v>
      </c>
      <c r="CC69" s="64" t="s">
        <v>158</v>
      </c>
      <c r="CD69" s="64" t="s">
        <v>158</v>
      </c>
      <c r="CE69" s="64" t="s">
        <v>158</v>
      </c>
      <c r="CF69" s="64" t="s">
        <v>158</v>
      </c>
      <c r="CG69" s="64" t="s">
        <v>158</v>
      </c>
      <c r="CH69" s="64" t="s">
        <v>158</v>
      </c>
      <c r="CI69" s="64" t="s">
        <v>158</v>
      </c>
      <c r="CJ69" s="64" t="s">
        <v>158</v>
      </c>
      <c r="CK69" s="64" t="s">
        <v>158</v>
      </c>
      <c r="CL69" s="64" t="s">
        <v>158</v>
      </c>
      <c r="CM69" s="64" t="s">
        <v>158</v>
      </c>
      <c r="CN69" s="64" t="s">
        <v>158</v>
      </c>
      <c r="CO69" s="64" t="s">
        <v>158</v>
      </c>
      <c r="CP69" s="64" t="s">
        <v>158</v>
      </c>
      <c r="CQ69" s="64" t="s">
        <v>158</v>
      </c>
      <c r="CR69" s="64" t="s">
        <v>158</v>
      </c>
      <c r="CS69" s="64" t="s">
        <v>158</v>
      </c>
      <c r="CT69" s="64" t="s">
        <v>158</v>
      </c>
      <c r="CU69" s="64" t="s">
        <v>158</v>
      </c>
      <c r="CV69" s="64" t="s">
        <v>158</v>
      </c>
      <c r="CW69" s="64" t="s">
        <v>158</v>
      </c>
      <c r="CX69" s="64" t="s">
        <v>158</v>
      </c>
      <c r="CY69" s="66" t="s">
        <v>158</v>
      </c>
    </row>
    <row r="70" spans="1:103" x14ac:dyDescent="0.2">
      <c r="A70" s="71" t="s">
        <v>22</v>
      </c>
      <c r="B70" s="71" t="s">
        <v>22</v>
      </c>
      <c r="C70" s="14" t="s">
        <v>20</v>
      </c>
      <c r="G70" s="74">
        <v>44103</v>
      </c>
      <c r="H70" s="16">
        <v>2020</v>
      </c>
      <c r="I70" s="135" t="s">
        <v>33</v>
      </c>
      <c r="J70" s="135">
        <v>10</v>
      </c>
      <c r="K70" s="141">
        <v>0.65979754157628701</v>
      </c>
      <c r="L70" s="5" t="s">
        <v>159</v>
      </c>
      <c r="M70" s="5">
        <v>0.45874618902439024</v>
      </c>
      <c r="N70" s="5">
        <v>0.93237423780487794</v>
      </c>
      <c r="O70" s="5">
        <v>3.1314119664634146</v>
      </c>
      <c r="P70" s="5">
        <v>3.0152629573170735</v>
      </c>
      <c r="Q70" s="5">
        <v>7.9381442316852437</v>
      </c>
      <c r="R70" s="5">
        <v>6.8494808040392492</v>
      </c>
      <c r="S70" s="5">
        <v>2.7946169969512193</v>
      </c>
      <c r="T70" s="5">
        <v>25.120037383285471</v>
      </c>
      <c r="U70" s="17">
        <f t="shared" si="4"/>
        <v>167.51179743076233</v>
      </c>
      <c r="V70" s="5">
        <v>1.4133504577920449E-2</v>
      </c>
      <c r="W70" s="5">
        <v>0.37347665254112311</v>
      </c>
      <c r="X70" s="5">
        <v>8.7080235970276074E-2</v>
      </c>
      <c r="Y70" s="5">
        <v>0.14503725218314784</v>
      </c>
      <c r="Z70" s="5">
        <v>1.0949848256614138E-2</v>
      </c>
      <c r="AA70" s="5">
        <v>4.171313339166112E-2</v>
      </c>
      <c r="AB70" s="5">
        <v>5.8813226814435189E-2</v>
      </c>
      <c r="AC70" s="5" t="s">
        <v>128</v>
      </c>
      <c r="AD70" s="5">
        <v>0.73120385373517804</v>
      </c>
      <c r="AE70" s="17">
        <f t="shared" si="7"/>
        <v>0.72025400547856377</v>
      </c>
      <c r="AF70" s="75">
        <v>1.5053353658536585E-2</v>
      </c>
      <c r="AG70" s="18">
        <f t="shared" si="6"/>
        <v>0.11407555128633416</v>
      </c>
      <c r="AH70" s="100">
        <v>10.870383897410928</v>
      </c>
      <c r="AI70" s="97" t="s">
        <v>69</v>
      </c>
      <c r="AJ70" s="97" t="s">
        <v>158</v>
      </c>
      <c r="AK70" s="97" t="s">
        <v>158</v>
      </c>
      <c r="AL70" s="97" t="s">
        <v>69</v>
      </c>
      <c r="AM70" s="97" t="s">
        <v>126</v>
      </c>
      <c r="AN70" s="97">
        <v>0.73104861618375161</v>
      </c>
      <c r="AO70" s="99" t="s">
        <v>126</v>
      </c>
      <c r="AP70" s="16" t="s">
        <v>158</v>
      </c>
      <c r="AQ70" s="99">
        <v>0.57972161350539753</v>
      </c>
      <c r="AR70" s="99">
        <v>0.17805170034899773</v>
      </c>
      <c r="AS70" s="99">
        <v>0.80959337716094493</v>
      </c>
      <c r="AT70" s="99">
        <v>0.52775748721694682</v>
      </c>
      <c r="AU70" s="99" t="s">
        <v>131</v>
      </c>
      <c r="AV70" s="99">
        <v>0.11062413765116472</v>
      </c>
      <c r="AW70" s="97" t="s">
        <v>126</v>
      </c>
      <c r="AX70" s="97"/>
      <c r="AY70" s="97"/>
      <c r="AZ70" s="97"/>
      <c r="BA70" s="97"/>
      <c r="BB70" s="97"/>
      <c r="BC70" s="5" t="s">
        <v>158</v>
      </c>
      <c r="BD70" s="5" t="s">
        <v>158</v>
      </c>
      <c r="BE70" s="5" t="s">
        <v>158</v>
      </c>
      <c r="BF70" s="5" t="s">
        <v>158</v>
      </c>
      <c r="BG70" s="5" t="s">
        <v>158</v>
      </c>
      <c r="BH70" s="5" t="s">
        <v>158</v>
      </c>
      <c r="BI70" s="5" t="s">
        <v>158</v>
      </c>
      <c r="BJ70" s="5" t="s">
        <v>158</v>
      </c>
      <c r="BK70" s="5" t="s">
        <v>158</v>
      </c>
      <c r="BL70" s="5" t="s">
        <v>158</v>
      </c>
      <c r="BM70" s="5" t="s">
        <v>158</v>
      </c>
      <c r="BN70" s="5">
        <v>150</v>
      </c>
      <c r="BO70" s="64" t="s">
        <v>158</v>
      </c>
      <c r="BP70" s="64" t="s">
        <v>158</v>
      </c>
      <c r="BQ70" s="64" t="s">
        <v>158</v>
      </c>
      <c r="BR70" s="64" t="s">
        <v>158</v>
      </c>
      <c r="BS70" s="64" t="s">
        <v>158</v>
      </c>
      <c r="BT70" s="64" t="s">
        <v>158</v>
      </c>
      <c r="BU70" s="64" t="s">
        <v>158</v>
      </c>
      <c r="BV70" s="64" t="s">
        <v>158</v>
      </c>
      <c r="BW70" s="64" t="s">
        <v>158</v>
      </c>
      <c r="BX70" s="64" t="s">
        <v>158</v>
      </c>
      <c r="BY70" s="64" t="s">
        <v>158</v>
      </c>
      <c r="BZ70" s="64" t="s">
        <v>158</v>
      </c>
      <c r="CA70" s="64" t="s">
        <v>158</v>
      </c>
      <c r="CB70" s="64" t="s">
        <v>158</v>
      </c>
      <c r="CC70" s="64" t="s">
        <v>158</v>
      </c>
      <c r="CD70" s="64" t="s">
        <v>158</v>
      </c>
      <c r="CE70" s="64" t="s">
        <v>158</v>
      </c>
      <c r="CF70" s="64" t="s">
        <v>158</v>
      </c>
      <c r="CG70" s="64" t="s">
        <v>158</v>
      </c>
      <c r="CH70" s="64" t="s">
        <v>158</v>
      </c>
      <c r="CI70" s="64" t="s">
        <v>158</v>
      </c>
      <c r="CJ70" s="64" t="s">
        <v>158</v>
      </c>
      <c r="CK70" s="64" t="s">
        <v>158</v>
      </c>
      <c r="CL70" s="64" t="s">
        <v>158</v>
      </c>
      <c r="CM70" s="64" t="s">
        <v>158</v>
      </c>
      <c r="CN70" s="64" t="s">
        <v>158</v>
      </c>
      <c r="CO70" s="64" t="s">
        <v>158</v>
      </c>
      <c r="CP70" s="64" t="s">
        <v>158</v>
      </c>
      <c r="CQ70" s="64" t="s">
        <v>158</v>
      </c>
      <c r="CR70" s="64" t="s">
        <v>158</v>
      </c>
      <c r="CS70" s="64" t="s">
        <v>158</v>
      </c>
      <c r="CT70" s="64" t="s">
        <v>158</v>
      </c>
      <c r="CU70" s="64" t="s">
        <v>158</v>
      </c>
      <c r="CV70" s="64" t="s">
        <v>158</v>
      </c>
      <c r="CW70" s="64" t="s">
        <v>158</v>
      </c>
      <c r="CX70" s="64" t="s">
        <v>158</v>
      </c>
      <c r="CY70" s="66" t="s">
        <v>158</v>
      </c>
    </row>
    <row r="71" spans="1:103" x14ac:dyDescent="0.2">
      <c r="A71" s="71" t="s">
        <v>81</v>
      </c>
      <c r="B71" s="71" t="s">
        <v>81</v>
      </c>
      <c r="C71" s="14" t="s">
        <v>20</v>
      </c>
      <c r="G71" s="74">
        <v>44049</v>
      </c>
      <c r="H71" s="16">
        <v>2020</v>
      </c>
      <c r="I71" s="135" t="s">
        <v>33</v>
      </c>
      <c r="J71" s="135">
        <v>10</v>
      </c>
      <c r="K71" s="141">
        <v>0.64485081809432299</v>
      </c>
      <c r="L71" s="5" t="s">
        <v>159</v>
      </c>
      <c r="M71" s="5">
        <v>3.3809662681053752E-2</v>
      </c>
      <c r="N71" s="5">
        <v>5.7135219208710016E-2</v>
      </c>
      <c r="O71" s="5">
        <v>0.21169437153689122</v>
      </c>
      <c r="P71" s="5">
        <v>0.14997569748225914</v>
      </c>
      <c r="Q71" s="5">
        <v>0.44368620589093022</v>
      </c>
      <c r="R71" s="5">
        <v>0.42281520365509861</v>
      </c>
      <c r="S71" s="5">
        <v>0.178973461650627</v>
      </c>
      <c r="T71" s="5">
        <v>1.4980898221055701</v>
      </c>
      <c r="U71" s="17">
        <f t="shared" si="4"/>
        <v>10.45291474241505</v>
      </c>
      <c r="V71" s="5" t="s">
        <v>76</v>
      </c>
      <c r="W71" s="5">
        <v>4.5224689706991783E-2</v>
      </c>
      <c r="X71" s="5">
        <v>2.2460421010083532E-2</v>
      </c>
      <c r="Y71" s="5">
        <v>4.6513003899128609E-2</v>
      </c>
      <c r="Z71" s="5" t="s">
        <v>76</v>
      </c>
      <c r="AA71" s="5">
        <v>1.5982388326980436E-2</v>
      </c>
      <c r="AB71" s="5">
        <v>1.4572535060113722E-2</v>
      </c>
      <c r="AC71" s="5">
        <v>0.33111939123632167</v>
      </c>
      <c r="AD71" s="5">
        <v>0.4758724292396197</v>
      </c>
      <c r="AE71" s="17">
        <f t="shared" si="7"/>
        <v>0.14475303800329806</v>
      </c>
      <c r="AF71" s="75">
        <v>5.084826988476808E-2</v>
      </c>
      <c r="AG71" s="18">
        <f t="shared" si="6"/>
        <v>0.39426382395726794</v>
      </c>
      <c r="AH71" s="100">
        <v>4.3348077743252302</v>
      </c>
      <c r="AI71" s="97" t="s">
        <v>69</v>
      </c>
      <c r="AJ71" s="97" t="s">
        <v>158</v>
      </c>
      <c r="AK71" s="97" t="s">
        <v>158</v>
      </c>
      <c r="AL71" s="97" t="s">
        <v>69</v>
      </c>
      <c r="AM71" s="97" t="s">
        <v>126</v>
      </c>
      <c r="AN71" s="97">
        <v>0.4682751477487358</v>
      </c>
      <c r="AO71" s="99">
        <v>0.80752452324377033</v>
      </c>
      <c r="AP71" s="16" t="s">
        <v>158</v>
      </c>
      <c r="AQ71" s="99">
        <v>0.75027112654603045</v>
      </c>
      <c r="AR71" s="99" t="s">
        <v>65</v>
      </c>
      <c r="AS71" s="101">
        <v>1.6304149150063973</v>
      </c>
      <c r="AT71" s="99">
        <v>0.55200146225552915</v>
      </c>
      <c r="AU71" s="99">
        <v>0.71650520928532258</v>
      </c>
      <c r="AV71" s="99" t="s">
        <v>65</v>
      </c>
      <c r="AW71" s="97" t="s">
        <v>126</v>
      </c>
      <c r="AX71" s="97"/>
      <c r="AY71" s="97"/>
      <c r="AZ71" s="97"/>
      <c r="BA71" s="97"/>
      <c r="BB71" s="97"/>
      <c r="BC71" s="5" t="s">
        <v>158</v>
      </c>
      <c r="BD71" s="5" t="s">
        <v>158</v>
      </c>
      <c r="BE71" s="5" t="s">
        <v>158</v>
      </c>
      <c r="BF71" s="5" t="s">
        <v>158</v>
      </c>
      <c r="BG71" s="5" t="s">
        <v>158</v>
      </c>
      <c r="BH71" s="5" t="s">
        <v>158</v>
      </c>
      <c r="BI71" s="5" t="s">
        <v>158</v>
      </c>
      <c r="BJ71" s="5" t="s">
        <v>158</v>
      </c>
      <c r="BK71" s="5" t="s">
        <v>158</v>
      </c>
      <c r="BL71" s="5" t="s">
        <v>158</v>
      </c>
      <c r="BM71" s="5" t="s">
        <v>158</v>
      </c>
      <c r="BN71" s="5">
        <v>29</v>
      </c>
      <c r="BO71" s="64" t="s">
        <v>158</v>
      </c>
      <c r="BP71" s="64" t="s">
        <v>158</v>
      </c>
      <c r="BQ71" s="64" t="s">
        <v>158</v>
      </c>
      <c r="BR71" s="64" t="s">
        <v>158</v>
      </c>
      <c r="BS71" s="64" t="s">
        <v>158</v>
      </c>
      <c r="BT71" s="64" t="s">
        <v>158</v>
      </c>
      <c r="BU71" s="64" t="s">
        <v>158</v>
      </c>
      <c r="BV71" s="64" t="s">
        <v>158</v>
      </c>
      <c r="BW71" s="64" t="s">
        <v>158</v>
      </c>
      <c r="BX71" s="64" t="s">
        <v>158</v>
      </c>
      <c r="BY71" s="64" t="s">
        <v>158</v>
      </c>
      <c r="BZ71" s="64" t="s">
        <v>158</v>
      </c>
      <c r="CA71" s="64" t="s">
        <v>158</v>
      </c>
      <c r="CB71" s="64" t="s">
        <v>158</v>
      </c>
      <c r="CC71" s="64" t="s">
        <v>158</v>
      </c>
      <c r="CD71" s="64" t="s">
        <v>158</v>
      </c>
      <c r="CE71" s="64" t="s">
        <v>158</v>
      </c>
      <c r="CF71" s="64" t="s">
        <v>158</v>
      </c>
      <c r="CG71" s="64" t="s">
        <v>158</v>
      </c>
      <c r="CH71" s="64" t="s">
        <v>158</v>
      </c>
      <c r="CI71" s="64" t="s">
        <v>158</v>
      </c>
      <c r="CJ71" s="64" t="s">
        <v>158</v>
      </c>
      <c r="CK71" s="64" t="s">
        <v>158</v>
      </c>
      <c r="CL71" s="64" t="s">
        <v>158</v>
      </c>
      <c r="CM71" s="64" t="s">
        <v>158</v>
      </c>
      <c r="CN71" s="64" t="s">
        <v>158</v>
      </c>
      <c r="CO71" s="64" t="s">
        <v>158</v>
      </c>
      <c r="CP71" s="64" t="s">
        <v>158</v>
      </c>
      <c r="CQ71" s="64" t="s">
        <v>158</v>
      </c>
      <c r="CR71" s="64" t="s">
        <v>158</v>
      </c>
      <c r="CS71" s="64" t="s">
        <v>158</v>
      </c>
      <c r="CT71" s="64" t="s">
        <v>158</v>
      </c>
      <c r="CU71" s="64" t="s">
        <v>158</v>
      </c>
      <c r="CV71" s="64" t="s">
        <v>158</v>
      </c>
      <c r="CW71" s="64" t="s">
        <v>158</v>
      </c>
      <c r="CX71" s="64" t="s">
        <v>158</v>
      </c>
      <c r="CY71" s="66" t="s">
        <v>158</v>
      </c>
    </row>
    <row r="72" spans="1:103" x14ac:dyDescent="0.2">
      <c r="A72" s="71" t="s">
        <v>26</v>
      </c>
      <c r="B72" s="71" t="s">
        <v>26</v>
      </c>
      <c r="C72" s="14" t="s">
        <v>20</v>
      </c>
      <c r="G72" s="74">
        <v>44047</v>
      </c>
      <c r="H72" s="16">
        <v>2020</v>
      </c>
      <c r="I72" s="135" t="s">
        <v>33</v>
      </c>
      <c r="J72" s="135">
        <v>10</v>
      </c>
      <c r="K72" s="141">
        <v>0.62780269058296567</v>
      </c>
      <c r="L72" s="5" t="s">
        <v>159</v>
      </c>
      <c r="M72" s="5">
        <v>1.6077537058152794E-2</v>
      </c>
      <c r="N72" s="5" t="s">
        <v>56</v>
      </c>
      <c r="O72" s="5">
        <v>9.5819080197643486E-2</v>
      </c>
      <c r="P72" s="5">
        <v>9.879323451159254E-2</v>
      </c>
      <c r="Q72" s="5">
        <v>0.26313188901558349</v>
      </c>
      <c r="R72" s="5">
        <v>0.25109274040288865</v>
      </c>
      <c r="S72" s="5">
        <v>9.771949828962373E-2</v>
      </c>
      <c r="T72" s="5">
        <v>0.82263397947548467</v>
      </c>
      <c r="U72" s="17">
        <f t="shared" si="4"/>
        <v>5.7648745045338003</v>
      </c>
      <c r="V72" s="5" t="s">
        <v>76</v>
      </c>
      <c r="W72" s="5">
        <v>7.0000000000000001E-3</v>
      </c>
      <c r="X72" s="5" t="s">
        <v>66</v>
      </c>
      <c r="Y72" s="5">
        <v>8.0000000000000002E-3</v>
      </c>
      <c r="Z72" s="5" t="s">
        <v>76</v>
      </c>
      <c r="AA72" s="5" t="s">
        <v>76</v>
      </c>
      <c r="AB72" s="5" t="s">
        <v>76</v>
      </c>
      <c r="AC72" s="5" t="s">
        <v>128</v>
      </c>
      <c r="AD72" s="5">
        <v>1.5085729940355272E-2</v>
      </c>
      <c r="AE72" s="17">
        <f t="shared" si="7"/>
        <v>1.4999999999999999E-2</v>
      </c>
      <c r="AF72" s="75" t="s">
        <v>130</v>
      </c>
      <c r="AG72" s="18" t="s">
        <v>158</v>
      </c>
      <c r="AH72" s="100">
        <v>2.0705039652084936</v>
      </c>
      <c r="AI72" s="97" t="s">
        <v>69</v>
      </c>
      <c r="AJ72" s="97" t="s">
        <v>158</v>
      </c>
      <c r="AK72" s="97" t="s">
        <v>158</v>
      </c>
      <c r="AL72" s="97" t="s">
        <v>69</v>
      </c>
      <c r="AM72" s="97" t="s">
        <v>126</v>
      </c>
      <c r="AN72" s="97">
        <v>0.26244563827065748</v>
      </c>
      <c r="AO72" s="99" t="s">
        <v>126</v>
      </c>
      <c r="AP72" s="16" t="s">
        <v>158</v>
      </c>
      <c r="AQ72" s="99" t="s">
        <v>69</v>
      </c>
      <c r="AR72" s="99" t="s">
        <v>65</v>
      </c>
      <c r="AS72" s="99" t="s">
        <v>131</v>
      </c>
      <c r="AT72" s="99" t="s">
        <v>131</v>
      </c>
      <c r="AU72" s="99" t="s">
        <v>131</v>
      </c>
      <c r="AV72" s="99" t="s">
        <v>65</v>
      </c>
      <c r="AW72" s="97" t="s">
        <v>126</v>
      </c>
      <c r="AX72" s="97"/>
      <c r="AY72" s="97"/>
      <c r="AZ72" s="97"/>
      <c r="BA72" s="97"/>
      <c r="BB72" s="97"/>
      <c r="BC72" s="5" t="s">
        <v>158</v>
      </c>
      <c r="BD72" s="5" t="s">
        <v>158</v>
      </c>
      <c r="BE72" s="5" t="s">
        <v>158</v>
      </c>
      <c r="BF72" s="5" t="s">
        <v>158</v>
      </c>
      <c r="BG72" s="5" t="s">
        <v>158</v>
      </c>
      <c r="BH72" s="5" t="s">
        <v>158</v>
      </c>
      <c r="BI72" s="5" t="s">
        <v>158</v>
      </c>
      <c r="BJ72" s="5" t="s">
        <v>158</v>
      </c>
      <c r="BK72" s="5" t="s">
        <v>158</v>
      </c>
      <c r="BL72" s="5" t="s">
        <v>158</v>
      </c>
      <c r="BM72" s="5" t="s">
        <v>158</v>
      </c>
      <c r="BN72" s="5">
        <v>45</v>
      </c>
      <c r="BO72" s="64" t="s">
        <v>158</v>
      </c>
      <c r="BP72" s="64" t="s">
        <v>158</v>
      </c>
      <c r="BQ72" s="64" t="s">
        <v>158</v>
      </c>
      <c r="BR72" s="64" t="s">
        <v>158</v>
      </c>
      <c r="BS72" s="64" t="s">
        <v>158</v>
      </c>
      <c r="BT72" s="64" t="s">
        <v>158</v>
      </c>
      <c r="BU72" s="64" t="s">
        <v>158</v>
      </c>
      <c r="BV72" s="64" t="s">
        <v>158</v>
      </c>
      <c r="BW72" s="64" t="s">
        <v>158</v>
      </c>
      <c r="BX72" s="64" t="s">
        <v>158</v>
      </c>
      <c r="BY72" s="64" t="s">
        <v>158</v>
      </c>
      <c r="BZ72" s="64" t="s">
        <v>158</v>
      </c>
      <c r="CA72" s="64" t="s">
        <v>158</v>
      </c>
      <c r="CB72" s="64" t="s">
        <v>158</v>
      </c>
      <c r="CC72" s="64" t="s">
        <v>158</v>
      </c>
      <c r="CD72" s="64" t="s">
        <v>158</v>
      </c>
      <c r="CE72" s="64" t="s">
        <v>158</v>
      </c>
      <c r="CF72" s="64" t="s">
        <v>158</v>
      </c>
      <c r="CG72" s="64" t="s">
        <v>158</v>
      </c>
      <c r="CH72" s="64" t="s">
        <v>158</v>
      </c>
      <c r="CI72" s="64" t="s">
        <v>158</v>
      </c>
      <c r="CJ72" s="64" t="s">
        <v>158</v>
      </c>
      <c r="CK72" s="64" t="s">
        <v>158</v>
      </c>
      <c r="CL72" s="64" t="s">
        <v>158</v>
      </c>
      <c r="CM72" s="64" t="s">
        <v>158</v>
      </c>
      <c r="CN72" s="64" t="s">
        <v>158</v>
      </c>
      <c r="CO72" s="64" t="s">
        <v>158</v>
      </c>
      <c r="CP72" s="64" t="s">
        <v>158</v>
      </c>
      <c r="CQ72" s="64" t="s">
        <v>158</v>
      </c>
      <c r="CR72" s="64" t="s">
        <v>158</v>
      </c>
      <c r="CS72" s="64" t="s">
        <v>158</v>
      </c>
      <c r="CT72" s="64" t="s">
        <v>158</v>
      </c>
      <c r="CU72" s="64" t="s">
        <v>158</v>
      </c>
      <c r="CV72" s="64" t="s">
        <v>158</v>
      </c>
      <c r="CW72" s="64" t="s">
        <v>158</v>
      </c>
      <c r="CX72" s="64" t="s">
        <v>158</v>
      </c>
      <c r="CY72" s="66" t="s">
        <v>158</v>
      </c>
    </row>
    <row r="73" spans="1:103" x14ac:dyDescent="0.2">
      <c r="A73" s="72" t="s">
        <v>4</v>
      </c>
      <c r="B73" s="72" t="s">
        <v>4</v>
      </c>
      <c r="C73" s="14" t="s">
        <v>20</v>
      </c>
      <c r="G73" s="74">
        <v>44102</v>
      </c>
      <c r="H73" s="16">
        <v>2020</v>
      </c>
      <c r="I73" s="135" t="s">
        <v>33</v>
      </c>
      <c r="J73" s="135">
        <v>10</v>
      </c>
      <c r="K73" s="141">
        <v>0.71698864767975456</v>
      </c>
      <c r="L73" s="5" t="s">
        <v>159</v>
      </c>
      <c r="M73" s="5">
        <v>0.24733352832212149</v>
      </c>
      <c r="N73" s="5">
        <v>0.512513405479185</v>
      </c>
      <c r="O73" s="5">
        <v>1.2569172272594327</v>
      </c>
      <c r="P73" s="5">
        <v>1.0798089109876181</v>
      </c>
      <c r="Q73" s="5">
        <v>2.3114068441064641</v>
      </c>
      <c r="R73" s="5">
        <v>2.2461245978356246</v>
      </c>
      <c r="S73" s="5">
        <v>0.63068148581456562</v>
      </c>
      <c r="T73" s="5">
        <v>8.2847859998050115</v>
      </c>
      <c r="U73" s="17">
        <f t="shared" si="4"/>
        <v>50.244708281877294</v>
      </c>
      <c r="V73" s="5">
        <v>8.9999999999999993E-3</v>
      </c>
      <c r="W73" s="5">
        <v>6.0955815946042491E-2</v>
      </c>
      <c r="X73" s="5">
        <v>1.881897450017796E-2</v>
      </c>
      <c r="Y73" s="5">
        <v>3.7590215393507022E-2</v>
      </c>
      <c r="Z73" s="5" t="s">
        <v>76</v>
      </c>
      <c r="AA73" s="5">
        <v>1.0047924241692987E-2</v>
      </c>
      <c r="AB73" s="5">
        <v>1.5501488824179559E-2</v>
      </c>
      <c r="AC73" s="5" t="s">
        <v>128</v>
      </c>
      <c r="AD73" s="5">
        <v>0.15150646813840163</v>
      </c>
      <c r="AE73" s="17">
        <f t="shared" si="7"/>
        <v>0.15191441890560003</v>
      </c>
      <c r="AF73" s="75">
        <v>2.0473822755191579E-2</v>
      </c>
      <c r="AG73" s="18">
        <f t="shared" si="6"/>
        <v>0.14277647785252162</v>
      </c>
      <c r="AH73" s="98">
        <v>10.3680036829162</v>
      </c>
      <c r="AI73" s="97" t="s">
        <v>69</v>
      </c>
      <c r="AJ73" s="97" t="s">
        <v>158</v>
      </c>
      <c r="AK73" s="97" t="s">
        <v>158</v>
      </c>
      <c r="AL73" s="97" t="s">
        <v>69</v>
      </c>
      <c r="AM73" s="97" t="s">
        <v>126</v>
      </c>
      <c r="AN73" s="97">
        <v>0.65612384359481168</v>
      </c>
      <c r="AO73" s="99" t="s">
        <v>126</v>
      </c>
      <c r="AP73" s="16" t="s">
        <v>158</v>
      </c>
      <c r="AQ73" s="99">
        <v>0.6652210221206496</v>
      </c>
      <c r="AR73" s="99">
        <v>0.13098934915972257</v>
      </c>
      <c r="AS73" s="99">
        <v>0.87687052395961151</v>
      </c>
      <c r="AT73" s="99">
        <v>0.52935511149704451</v>
      </c>
      <c r="AU73" s="99" t="s">
        <v>131</v>
      </c>
      <c r="AV73" s="99" t="s">
        <v>65</v>
      </c>
      <c r="AW73" s="97" t="s">
        <v>126</v>
      </c>
      <c r="AX73" s="97"/>
      <c r="AY73" s="97"/>
      <c r="AZ73" s="97"/>
      <c r="BA73" s="97"/>
      <c r="BB73" s="97"/>
      <c r="BC73" s="5" t="s">
        <v>158</v>
      </c>
      <c r="BD73" s="5" t="s">
        <v>158</v>
      </c>
      <c r="BE73" s="5" t="s">
        <v>158</v>
      </c>
      <c r="BF73" s="5" t="s">
        <v>158</v>
      </c>
      <c r="BG73" s="5" t="s">
        <v>158</v>
      </c>
      <c r="BH73" s="5" t="s">
        <v>158</v>
      </c>
      <c r="BI73" s="5" t="s">
        <v>158</v>
      </c>
      <c r="BJ73" s="5" t="s">
        <v>158</v>
      </c>
      <c r="BK73" s="5" t="s">
        <v>158</v>
      </c>
      <c r="BL73" s="5" t="s">
        <v>158</v>
      </c>
      <c r="BM73" s="5" t="s">
        <v>158</v>
      </c>
      <c r="BN73" s="5">
        <v>87</v>
      </c>
      <c r="BO73" s="64" t="s">
        <v>158</v>
      </c>
      <c r="BP73" s="64" t="s">
        <v>158</v>
      </c>
      <c r="BQ73" s="64" t="s">
        <v>158</v>
      </c>
      <c r="BR73" s="64" t="s">
        <v>158</v>
      </c>
      <c r="BS73" s="64" t="s">
        <v>158</v>
      </c>
      <c r="BT73" s="64" t="s">
        <v>158</v>
      </c>
      <c r="BU73" s="64" t="s">
        <v>158</v>
      </c>
      <c r="BV73" s="64" t="s">
        <v>158</v>
      </c>
      <c r="BW73" s="64" t="s">
        <v>158</v>
      </c>
      <c r="BX73" s="64" t="s">
        <v>158</v>
      </c>
      <c r="BY73" s="64" t="s">
        <v>158</v>
      </c>
      <c r="BZ73" s="64" t="s">
        <v>158</v>
      </c>
      <c r="CA73" s="64" t="s">
        <v>158</v>
      </c>
      <c r="CB73" s="64" t="s">
        <v>158</v>
      </c>
      <c r="CC73" s="64" t="s">
        <v>158</v>
      </c>
      <c r="CD73" s="64" t="s">
        <v>158</v>
      </c>
      <c r="CE73" s="64" t="s">
        <v>158</v>
      </c>
      <c r="CF73" s="64" t="s">
        <v>158</v>
      </c>
      <c r="CG73" s="64" t="s">
        <v>158</v>
      </c>
      <c r="CH73" s="64" t="s">
        <v>158</v>
      </c>
      <c r="CI73" s="64" t="s">
        <v>158</v>
      </c>
      <c r="CJ73" s="64" t="s">
        <v>158</v>
      </c>
      <c r="CK73" s="64" t="s">
        <v>158</v>
      </c>
      <c r="CL73" s="64" t="s">
        <v>158</v>
      </c>
      <c r="CM73" s="64" t="s">
        <v>158</v>
      </c>
      <c r="CN73" s="64" t="s">
        <v>158</v>
      </c>
      <c r="CO73" s="64" t="s">
        <v>158</v>
      </c>
      <c r="CP73" s="64" t="s">
        <v>158</v>
      </c>
      <c r="CQ73" s="64" t="s">
        <v>158</v>
      </c>
      <c r="CR73" s="64" t="s">
        <v>158</v>
      </c>
      <c r="CS73" s="64" t="s">
        <v>158</v>
      </c>
      <c r="CT73" s="64" t="s">
        <v>158</v>
      </c>
      <c r="CU73" s="64" t="s">
        <v>158</v>
      </c>
      <c r="CV73" s="64" t="s">
        <v>158</v>
      </c>
      <c r="CW73" s="64" t="s">
        <v>158</v>
      </c>
      <c r="CX73" s="64" t="s">
        <v>158</v>
      </c>
      <c r="CY73" s="66" t="s">
        <v>158</v>
      </c>
    </row>
    <row r="74" spans="1:103" x14ac:dyDescent="0.2">
      <c r="A74" s="72" t="s">
        <v>112</v>
      </c>
      <c r="B74" s="72" t="s">
        <v>24</v>
      </c>
      <c r="C74" s="14" t="s">
        <v>20</v>
      </c>
      <c r="G74" s="74">
        <v>44074</v>
      </c>
      <c r="H74" s="16">
        <v>2020</v>
      </c>
      <c r="I74" s="135" t="s">
        <v>33</v>
      </c>
      <c r="J74" s="135">
        <v>10</v>
      </c>
      <c r="K74" s="141">
        <v>0.75224697147323127</v>
      </c>
      <c r="L74" s="5" t="s">
        <v>159</v>
      </c>
      <c r="M74" s="5">
        <v>0.4051540399147453</v>
      </c>
      <c r="N74" s="5">
        <v>1.0740602596396047</v>
      </c>
      <c r="O74" s="5">
        <v>4.8238325905832209</v>
      </c>
      <c r="P74" s="5">
        <v>4.1870567719434213</v>
      </c>
      <c r="Q74" s="5">
        <v>9.8106665374927342</v>
      </c>
      <c r="R74" s="5">
        <v>8.7509688044952529</v>
      </c>
      <c r="S74" s="5">
        <v>3.4272718465413683</v>
      </c>
      <c r="T74" s="5">
        <v>32.479010850610344</v>
      </c>
      <c r="U74" s="17">
        <f t="shared" si="4"/>
        <v>188.04963762937331</v>
      </c>
      <c r="V74" s="5">
        <v>5.7587019219389739E-2</v>
      </c>
      <c r="W74" s="5">
        <v>0.15397039633290222</v>
      </c>
      <c r="X74" s="5">
        <v>4.563446321850561E-2</v>
      </c>
      <c r="Y74" s="5">
        <v>6.417081484162615E-2</v>
      </c>
      <c r="Z74" s="5">
        <v>1.1669989665165831E-2</v>
      </c>
      <c r="AA74" s="5">
        <v>2.2280355571388032E-2</v>
      </c>
      <c r="AB74" s="5">
        <v>5.9211775649769968E-2</v>
      </c>
      <c r="AC74" s="5" t="s">
        <v>128</v>
      </c>
      <c r="AD74" s="5">
        <v>0.41452481449874762</v>
      </c>
      <c r="AE74" s="17">
        <f t="shared" si="7"/>
        <v>0.40285482483358176</v>
      </c>
      <c r="AF74" s="75">
        <v>3.5264483627204031E-2</v>
      </c>
      <c r="AG74" s="18">
        <f t="shared" si="6"/>
        <v>0.23439432104419525</v>
      </c>
      <c r="AH74" s="100">
        <v>6.2167265304520178</v>
      </c>
      <c r="AI74" s="97" t="s">
        <v>69</v>
      </c>
      <c r="AJ74" s="97" t="s">
        <v>158</v>
      </c>
      <c r="AK74" s="97" t="s">
        <v>158</v>
      </c>
      <c r="AL74" s="97" t="s">
        <v>69</v>
      </c>
      <c r="AM74" s="97" t="s">
        <v>126</v>
      </c>
      <c r="AN74" s="97">
        <v>0.2331547233508017</v>
      </c>
      <c r="AO74" s="99" t="s">
        <v>126</v>
      </c>
      <c r="AP74" s="16" t="s">
        <v>158</v>
      </c>
      <c r="AQ74" s="99">
        <v>0.34173389075349847</v>
      </c>
      <c r="AR74" s="99" t="s">
        <v>65</v>
      </c>
      <c r="AS74" s="99" t="s">
        <v>131</v>
      </c>
      <c r="AT74" s="99" t="s">
        <v>131</v>
      </c>
      <c r="AU74" s="99" t="s">
        <v>131</v>
      </c>
      <c r="AV74" s="99">
        <v>0.28718914993424788</v>
      </c>
      <c r="AW74" s="97" t="s">
        <v>126</v>
      </c>
      <c r="AX74" s="97"/>
      <c r="AY74" s="97"/>
      <c r="AZ74" s="97"/>
      <c r="BA74" s="97"/>
      <c r="BB74" s="97"/>
      <c r="BC74" s="5" t="s">
        <v>158</v>
      </c>
      <c r="BD74" s="5" t="s">
        <v>158</v>
      </c>
      <c r="BE74" s="5" t="s">
        <v>158</v>
      </c>
      <c r="BF74" s="5" t="s">
        <v>158</v>
      </c>
      <c r="BG74" s="5" t="s">
        <v>158</v>
      </c>
      <c r="BH74" s="5" t="s">
        <v>158</v>
      </c>
      <c r="BI74" s="5" t="s">
        <v>158</v>
      </c>
      <c r="BJ74" s="5" t="s">
        <v>158</v>
      </c>
      <c r="BK74" s="5" t="s">
        <v>158</v>
      </c>
      <c r="BL74" s="5" t="s">
        <v>158</v>
      </c>
      <c r="BM74" s="5" t="s">
        <v>158</v>
      </c>
      <c r="BN74" s="5">
        <v>260</v>
      </c>
      <c r="BO74" s="64" t="s">
        <v>158</v>
      </c>
      <c r="BP74" s="64" t="s">
        <v>158</v>
      </c>
      <c r="BQ74" s="64" t="s">
        <v>158</v>
      </c>
      <c r="BR74" s="64" t="s">
        <v>158</v>
      </c>
      <c r="BS74" s="64" t="s">
        <v>158</v>
      </c>
      <c r="BT74" s="64" t="s">
        <v>158</v>
      </c>
      <c r="BU74" s="64" t="s">
        <v>158</v>
      </c>
      <c r="BV74" s="64" t="s">
        <v>158</v>
      </c>
      <c r="BW74" s="64" t="s">
        <v>158</v>
      </c>
      <c r="BX74" s="64" t="s">
        <v>158</v>
      </c>
      <c r="BY74" s="64" t="s">
        <v>158</v>
      </c>
      <c r="BZ74" s="64" t="s">
        <v>158</v>
      </c>
      <c r="CA74" s="64" t="s">
        <v>158</v>
      </c>
      <c r="CB74" s="64" t="s">
        <v>158</v>
      </c>
      <c r="CC74" s="64" t="s">
        <v>158</v>
      </c>
      <c r="CD74" s="64" t="s">
        <v>158</v>
      </c>
      <c r="CE74" s="64" t="s">
        <v>158</v>
      </c>
      <c r="CF74" s="64" t="s">
        <v>158</v>
      </c>
      <c r="CG74" s="64" t="s">
        <v>158</v>
      </c>
      <c r="CH74" s="16" t="s">
        <v>158</v>
      </c>
      <c r="CI74" s="16" t="s">
        <v>158</v>
      </c>
      <c r="CJ74" s="16" t="s">
        <v>158</v>
      </c>
      <c r="CK74" s="16" t="s">
        <v>158</v>
      </c>
      <c r="CL74" s="16" t="s">
        <v>158</v>
      </c>
      <c r="CM74" s="16" t="s">
        <v>158</v>
      </c>
      <c r="CN74" s="16" t="s">
        <v>158</v>
      </c>
      <c r="CO74" s="16" t="s">
        <v>158</v>
      </c>
      <c r="CP74" s="16" t="s">
        <v>158</v>
      </c>
      <c r="CQ74" s="16" t="s">
        <v>158</v>
      </c>
      <c r="CR74" s="16" t="s">
        <v>158</v>
      </c>
      <c r="CS74" s="16" t="s">
        <v>158</v>
      </c>
      <c r="CT74" s="16" t="s">
        <v>158</v>
      </c>
      <c r="CU74" s="16" t="s">
        <v>158</v>
      </c>
      <c r="CV74" s="16" t="s">
        <v>158</v>
      </c>
      <c r="CW74" s="16" t="s">
        <v>158</v>
      </c>
      <c r="CX74" s="16" t="s">
        <v>158</v>
      </c>
      <c r="CY74" s="110" t="s">
        <v>158</v>
      </c>
    </row>
    <row r="75" spans="1:103" x14ac:dyDescent="0.2">
      <c r="A75" s="72" t="s">
        <v>23</v>
      </c>
      <c r="B75" s="72" t="s">
        <v>23</v>
      </c>
      <c r="C75" s="14" t="s">
        <v>20</v>
      </c>
      <c r="G75" s="74">
        <v>44075</v>
      </c>
      <c r="H75" s="16">
        <v>2020</v>
      </c>
      <c r="I75" s="135" t="s">
        <v>33</v>
      </c>
      <c r="J75" s="135">
        <v>10</v>
      </c>
      <c r="K75" s="141">
        <v>0.74007400740073848</v>
      </c>
      <c r="L75" s="5" t="s">
        <v>159</v>
      </c>
      <c r="M75" s="5">
        <v>0.12027608517499169</v>
      </c>
      <c r="N75" s="5">
        <v>0.71962922551022945</v>
      </c>
      <c r="O75" s="5">
        <v>2.7601247041799404</v>
      </c>
      <c r="P75" s="5">
        <v>2.1810097672893844</v>
      </c>
      <c r="Q75" s="5">
        <v>4.5397986577181211</v>
      </c>
      <c r="R75" s="5">
        <v>4.2994726749760304</v>
      </c>
      <c r="S75" s="5">
        <v>1.4090816119284386</v>
      </c>
      <c r="T75" s="5">
        <v>16.029392726777136</v>
      </c>
      <c r="U75" s="17">
        <f t="shared" si="4"/>
        <v>93.560798116161038</v>
      </c>
      <c r="V75" s="5">
        <v>3.1367494810090484E-2</v>
      </c>
      <c r="W75" s="5">
        <v>4.419965177785478E-2</v>
      </c>
      <c r="X75" s="5">
        <v>1.3319303667466453E-2</v>
      </c>
      <c r="Y75" s="5">
        <v>2.9145630594375742E-2</v>
      </c>
      <c r="Z75" s="5">
        <v>9.6122360990012132E-3</v>
      </c>
      <c r="AA75" s="5">
        <v>1.0907333422599599E-2</v>
      </c>
      <c r="AB75" s="5">
        <v>1.2653932565434229E-2</v>
      </c>
      <c r="AC75" s="5" t="s">
        <v>128</v>
      </c>
      <c r="AD75" s="5">
        <v>0.15120558293682251</v>
      </c>
      <c r="AE75" s="17">
        <f t="shared" si="7"/>
        <v>0.14159334683782127</v>
      </c>
      <c r="AF75" s="75">
        <v>1.8603759110088224E-2</v>
      </c>
      <c r="AG75" s="18">
        <f t="shared" si="6"/>
        <v>0.12568850496065714</v>
      </c>
      <c r="AH75" s="100">
        <v>31.004514573745347</v>
      </c>
      <c r="AI75" s="97" t="s">
        <v>69</v>
      </c>
      <c r="AJ75" s="97" t="s">
        <v>158</v>
      </c>
      <c r="AK75" s="97" t="s">
        <v>158</v>
      </c>
      <c r="AL75" s="97" t="s">
        <v>69</v>
      </c>
      <c r="AM75" s="97" t="s">
        <v>126</v>
      </c>
      <c r="AN75" s="98">
        <v>1.3287091825553365</v>
      </c>
      <c r="AO75" s="99">
        <v>0.31820074512382207</v>
      </c>
      <c r="AP75" s="16" t="s">
        <v>158</v>
      </c>
      <c r="AQ75" s="101">
        <v>1.5597413982029369</v>
      </c>
      <c r="AR75" s="99" t="s">
        <v>65</v>
      </c>
      <c r="AS75" s="101">
        <v>2.1564760026298488</v>
      </c>
      <c r="AT75" s="101">
        <v>1.4464168310322156</v>
      </c>
      <c r="AU75" s="101">
        <v>1.3412228796844183</v>
      </c>
      <c r="AV75" s="99">
        <v>0.19574841113302655</v>
      </c>
      <c r="AW75" s="97" t="s">
        <v>126</v>
      </c>
      <c r="AX75" s="97"/>
      <c r="AY75" s="97"/>
      <c r="AZ75" s="97"/>
      <c r="BA75" s="97"/>
      <c r="BB75" s="97"/>
      <c r="BC75" s="5" t="s">
        <v>158</v>
      </c>
      <c r="BD75" s="5" t="s">
        <v>158</v>
      </c>
      <c r="BE75" s="5" t="s">
        <v>158</v>
      </c>
      <c r="BF75" s="5" t="s">
        <v>158</v>
      </c>
      <c r="BG75" s="5" t="s">
        <v>158</v>
      </c>
      <c r="BH75" s="5" t="s">
        <v>158</v>
      </c>
      <c r="BI75" s="5" t="s">
        <v>158</v>
      </c>
      <c r="BJ75" s="5" t="s">
        <v>158</v>
      </c>
      <c r="BK75" s="5" t="s">
        <v>158</v>
      </c>
      <c r="BL75" s="5" t="s">
        <v>158</v>
      </c>
      <c r="BM75" s="5" t="s">
        <v>158</v>
      </c>
      <c r="BN75" s="5">
        <v>590</v>
      </c>
      <c r="BO75" s="64" t="s">
        <v>158</v>
      </c>
      <c r="BP75" s="64" t="s">
        <v>158</v>
      </c>
      <c r="BQ75" s="64" t="s">
        <v>158</v>
      </c>
      <c r="BR75" s="64" t="s">
        <v>158</v>
      </c>
      <c r="BS75" s="64" t="s">
        <v>158</v>
      </c>
      <c r="BT75" s="64" t="s">
        <v>158</v>
      </c>
      <c r="BU75" s="64" t="s">
        <v>158</v>
      </c>
      <c r="BV75" s="64" t="s">
        <v>158</v>
      </c>
      <c r="BW75" s="64" t="s">
        <v>158</v>
      </c>
      <c r="BX75" s="64" t="s">
        <v>158</v>
      </c>
      <c r="BY75" s="64" t="s">
        <v>158</v>
      </c>
      <c r="BZ75" s="64" t="s">
        <v>158</v>
      </c>
      <c r="CA75" s="64" t="s">
        <v>158</v>
      </c>
      <c r="CB75" s="64" t="s">
        <v>158</v>
      </c>
      <c r="CC75" s="64" t="s">
        <v>158</v>
      </c>
      <c r="CD75" s="64" t="s">
        <v>158</v>
      </c>
      <c r="CE75" s="64" t="s">
        <v>158</v>
      </c>
      <c r="CF75" s="64" t="s">
        <v>158</v>
      </c>
      <c r="CG75" s="64" t="s">
        <v>158</v>
      </c>
      <c r="CH75" s="16" t="s">
        <v>158</v>
      </c>
      <c r="CI75" s="16" t="s">
        <v>158</v>
      </c>
      <c r="CJ75" s="16" t="s">
        <v>158</v>
      </c>
      <c r="CK75" s="16" t="s">
        <v>158</v>
      </c>
      <c r="CL75" s="16" t="s">
        <v>158</v>
      </c>
      <c r="CM75" s="16" t="s">
        <v>158</v>
      </c>
      <c r="CN75" s="16" t="s">
        <v>158</v>
      </c>
      <c r="CO75" s="16" t="s">
        <v>158</v>
      </c>
      <c r="CP75" s="16" t="s">
        <v>158</v>
      </c>
      <c r="CQ75" s="16" t="s">
        <v>158</v>
      </c>
      <c r="CR75" s="16" t="s">
        <v>158</v>
      </c>
      <c r="CS75" s="16" t="s">
        <v>158</v>
      </c>
      <c r="CT75" s="16" t="s">
        <v>158</v>
      </c>
      <c r="CU75" s="16" t="s">
        <v>158</v>
      </c>
      <c r="CV75" s="16" t="s">
        <v>158</v>
      </c>
      <c r="CW75" s="16" t="s">
        <v>158</v>
      </c>
      <c r="CX75" s="16" t="s">
        <v>158</v>
      </c>
      <c r="CY75" s="110" t="s">
        <v>158</v>
      </c>
    </row>
    <row r="76" spans="1:103" x14ac:dyDescent="0.2">
      <c r="A76" s="72" t="s">
        <v>32</v>
      </c>
      <c r="B76" s="72" t="s">
        <v>32</v>
      </c>
      <c r="C76" s="14" t="s">
        <v>127</v>
      </c>
      <c r="G76" s="74" t="s">
        <v>127</v>
      </c>
      <c r="H76" s="16">
        <v>2020</v>
      </c>
      <c r="I76" s="135" t="s">
        <v>3</v>
      </c>
      <c r="J76" s="135" t="s">
        <v>159</v>
      </c>
      <c r="K76" s="136" t="s">
        <v>158</v>
      </c>
      <c r="L76" s="5" t="s">
        <v>158</v>
      </c>
      <c r="M76" s="5" t="s">
        <v>158</v>
      </c>
      <c r="N76" s="5" t="s">
        <v>158</v>
      </c>
      <c r="O76" s="5" t="s">
        <v>158</v>
      </c>
      <c r="P76" s="5" t="s">
        <v>158</v>
      </c>
      <c r="Q76" s="5" t="s">
        <v>158</v>
      </c>
      <c r="R76" s="5" t="s">
        <v>158</v>
      </c>
      <c r="S76" s="5" t="s">
        <v>158</v>
      </c>
      <c r="T76" s="5" t="s">
        <v>159</v>
      </c>
      <c r="U76" s="17" t="s">
        <v>158</v>
      </c>
      <c r="V76" s="5" t="s">
        <v>76</v>
      </c>
      <c r="X76" s="5" t="s">
        <v>66</v>
      </c>
      <c r="Z76" s="5" t="s">
        <v>76</v>
      </c>
      <c r="AA76" s="5" t="s">
        <v>76</v>
      </c>
      <c r="AB76" s="5" t="s">
        <v>76</v>
      </c>
      <c r="AC76" s="5" t="s">
        <v>128</v>
      </c>
      <c r="AD76" s="5" t="s">
        <v>159</v>
      </c>
      <c r="AE76" s="17" t="s">
        <v>159</v>
      </c>
      <c r="AF76" s="5" t="s">
        <v>158</v>
      </c>
      <c r="AG76" s="18" t="s">
        <v>158</v>
      </c>
      <c r="AH76" s="100"/>
      <c r="AI76" s="97" t="s">
        <v>69</v>
      </c>
      <c r="AJ76" s="97" t="s">
        <v>158</v>
      </c>
      <c r="AK76" s="97" t="s">
        <v>158</v>
      </c>
      <c r="AL76" s="97" t="s">
        <v>69</v>
      </c>
      <c r="AM76" s="97" t="s">
        <v>126</v>
      </c>
      <c r="AN76" s="97" t="s">
        <v>69</v>
      </c>
      <c r="AO76" s="99" t="s">
        <v>126</v>
      </c>
      <c r="AP76" s="16" t="s">
        <v>158</v>
      </c>
      <c r="AQ76" s="99" t="s">
        <v>69</v>
      </c>
      <c r="AR76" s="99" t="s">
        <v>65</v>
      </c>
      <c r="AS76" s="99" t="s">
        <v>131</v>
      </c>
      <c r="AT76" s="99" t="s">
        <v>131</v>
      </c>
      <c r="AU76" s="99" t="s">
        <v>131</v>
      </c>
      <c r="AV76" s="99" t="s">
        <v>65</v>
      </c>
      <c r="AW76" s="97" t="s">
        <v>126</v>
      </c>
      <c r="AX76" s="97"/>
      <c r="AY76" s="97"/>
      <c r="AZ76" s="97"/>
      <c r="BA76" s="97"/>
      <c r="BB76" s="97"/>
      <c r="BC76" s="5" t="s">
        <v>158</v>
      </c>
      <c r="BD76" s="5" t="s">
        <v>158</v>
      </c>
      <c r="BE76" s="5" t="s">
        <v>158</v>
      </c>
      <c r="BF76" s="5" t="s">
        <v>158</v>
      </c>
      <c r="BG76" s="5" t="s">
        <v>158</v>
      </c>
      <c r="BH76" s="5" t="s">
        <v>158</v>
      </c>
      <c r="BI76" s="5" t="s">
        <v>158</v>
      </c>
      <c r="BJ76" s="5" t="s">
        <v>158</v>
      </c>
      <c r="BK76" s="5" t="s">
        <v>158</v>
      </c>
      <c r="BL76" s="5" t="s">
        <v>158</v>
      </c>
      <c r="BM76" s="5" t="s">
        <v>158</v>
      </c>
      <c r="BO76" s="64" t="s">
        <v>158</v>
      </c>
      <c r="BP76" s="64" t="s">
        <v>158</v>
      </c>
      <c r="BQ76" s="64" t="s">
        <v>158</v>
      </c>
      <c r="BR76" s="64" t="s">
        <v>158</v>
      </c>
      <c r="BS76" s="64" t="s">
        <v>158</v>
      </c>
      <c r="BT76" s="64" t="s">
        <v>158</v>
      </c>
      <c r="BU76" s="64" t="s">
        <v>158</v>
      </c>
      <c r="BV76" s="64" t="s">
        <v>158</v>
      </c>
      <c r="BW76" s="64" t="s">
        <v>158</v>
      </c>
      <c r="BX76" s="64" t="s">
        <v>158</v>
      </c>
      <c r="BY76" s="64" t="s">
        <v>158</v>
      </c>
      <c r="BZ76" s="64" t="s">
        <v>158</v>
      </c>
      <c r="CA76" s="64" t="s">
        <v>158</v>
      </c>
      <c r="CB76" s="64" t="s">
        <v>158</v>
      </c>
      <c r="CC76" s="64" t="s">
        <v>158</v>
      </c>
      <c r="CD76" s="64" t="s">
        <v>158</v>
      </c>
      <c r="CE76" s="64" t="s">
        <v>158</v>
      </c>
      <c r="CF76" s="64" t="s">
        <v>158</v>
      </c>
      <c r="CG76" s="64" t="s">
        <v>158</v>
      </c>
      <c r="CH76" s="16" t="s">
        <v>158</v>
      </c>
      <c r="CI76" s="16" t="s">
        <v>158</v>
      </c>
      <c r="CJ76" s="16" t="s">
        <v>158</v>
      </c>
      <c r="CK76" s="16" t="s">
        <v>158</v>
      </c>
      <c r="CL76" s="16" t="s">
        <v>158</v>
      </c>
      <c r="CM76" s="16" t="s">
        <v>158</v>
      </c>
      <c r="CN76" s="16" t="s">
        <v>158</v>
      </c>
      <c r="CO76" s="16" t="s">
        <v>158</v>
      </c>
      <c r="CP76" s="16" t="s">
        <v>158</v>
      </c>
      <c r="CQ76" s="16" t="s">
        <v>158</v>
      </c>
      <c r="CR76" s="16" t="s">
        <v>158</v>
      </c>
      <c r="CS76" s="16" t="s">
        <v>158</v>
      </c>
      <c r="CT76" s="16" t="s">
        <v>158</v>
      </c>
      <c r="CU76" s="16" t="s">
        <v>158</v>
      </c>
      <c r="CV76" s="16" t="s">
        <v>158</v>
      </c>
      <c r="CW76" s="16" t="s">
        <v>158</v>
      </c>
      <c r="CX76" s="16" t="s">
        <v>158</v>
      </c>
      <c r="CY76" s="110" t="s">
        <v>158</v>
      </c>
    </row>
    <row r="77" spans="1:103" x14ac:dyDescent="0.2">
      <c r="A77" s="32" t="s">
        <v>32</v>
      </c>
      <c r="B77" s="14" t="s">
        <v>32</v>
      </c>
      <c r="C77" s="14" t="s">
        <v>31</v>
      </c>
      <c r="G77" s="16" t="s">
        <v>31</v>
      </c>
      <c r="H77" s="16">
        <v>2019</v>
      </c>
      <c r="I77" s="135" t="s">
        <v>3</v>
      </c>
      <c r="J77" s="135" t="s">
        <v>159</v>
      </c>
      <c r="K77" s="136" t="s">
        <v>158</v>
      </c>
      <c r="L77" s="5" t="s">
        <v>158</v>
      </c>
      <c r="M77" s="5">
        <v>1.4999999999999999E-2</v>
      </c>
      <c r="N77" s="5">
        <v>2.3E-2</v>
      </c>
      <c r="O77" s="5">
        <v>0.01</v>
      </c>
      <c r="P77" s="5">
        <v>0.01</v>
      </c>
      <c r="Q77" s="5">
        <v>5.0000000000000001E-3</v>
      </c>
      <c r="R77" s="5">
        <v>0.01</v>
      </c>
      <c r="S77" s="5">
        <v>5.0000000000000001E-3</v>
      </c>
      <c r="T77" s="5" t="s">
        <v>158</v>
      </c>
      <c r="U77" s="17" t="s">
        <v>158</v>
      </c>
      <c r="V77" s="5">
        <v>1.2999999999999999E-2</v>
      </c>
      <c r="W77" s="5">
        <v>0.01</v>
      </c>
      <c r="X77" s="5">
        <v>1.2999999999999999E-2</v>
      </c>
      <c r="Y77" s="5">
        <v>1.4999999999999999E-2</v>
      </c>
      <c r="Z77" s="5">
        <v>0.01</v>
      </c>
      <c r="AA77" s="5">
        <v>0.02</v>
      </c>
      <c r="AB77" s="5">
        <v>1.2999999999999999E-2</v>
      </c>
      <c r="AC77" s="5">
        <v>0.1</v>
      </c>
      <c r="AD77" s="5" t="s">
        <v>159</v>
      </c>
      <c r="AE77" s="17" t="s">
        <v>158</v>
      </c>
      <c r="AF77" s="5">
        <v>0.01</v>
      </c>
      <c r="AG77" s="18" t="s">
        <v>158</v>
      </c>
      <c r="AH77" s="18">
        <v>0.2</v>
      </c>
      <c r="AI77" s="5">
        <v>0.2</v>
      </c>
      <c r="AJ77" s="5">
        <v>0.2</v>
      </c>
      <c r="AK77" s="5">
        <v>0.02</v>
      </c>
      <c r="AL77" s="5">
        <v>0.1</v>
      </c>
      <c r="AM77" s="5">
        <v>0.1</v>
      </c>
      <c r="AN77" s="5">
        <v>0.1</v>
      </c>
      <c r="AO77" s="5">
        <v>0.02</v>
      </c>
      <c r="AP77" s="5">
        <v>0.05</v>
      </c>
      <c r="AQ77" s="5">
        <v>0.1</v>
      </c>
      <c r="AR77" s="5">
        <v>0.05</v>
      </c>
      <c r="AS77" s="5" t="s">
        <v>158</v>
      </c>
      <c r="AT77" s="5" t="s">
        <v>158</v>
      </c>
      <c r="AU77" s="5" t="s">
        <v>158</v>
      </c>
      <c r="AV77" s="5" t="s">
        <v>158</v>
      </c>
      <c r="AW77" s="5" t="s">
        <v>158</v>
      </c>
      <c r="BC77" s="5">
        <v>0.2</v>
      </c>
      <c r="BD77" s="5">
        <v>0.2</v>
      </c>
      <c r="BE77" s="5">
        <v>0.21</v>
      </c>
      <c r="BF77" s="5">
        <v>0.02</v>
      </c>
      <c r="BG77" s="5">
        <v>0.2</v>
      </c>
      <c r="BH77" s="5">
        <v>0.05</v>
      </c>
      <c r="BI77" s="5">
        <v>0.1</v>
      </c>
      <c r="BJ77" s="5">
        <v>0.1</v>
      </c>
      <c r="BK77" s="5">
        <v>0.05</v>
      </c>
      <c r="BL77" s="5">
        <v>0.1</v>
      </c>
      <c r="BM77" s="5">
        <v>0.05</v>
      </c>
      <c r="BN77" s="17">
        <v>0.03</v>
      </c>
      <c r="BO77" s="5">
        <v>0.04</v>
      </c>
      <c r="BP77" s="5">
        <v>0.4</v>
      </c>
      <c r="BQ77" s="5">
        <v>0.1</v>
      </c>
      <c r="BR77" s="5">
        <v>2.2999999999999998</v>
      </c>
      <c r="BS77" s="5">
        <v>0.2</v>
      </c>
      <c r="BT77" s="5">
        <v>1.7</v>
      </c>
      <c r="BU77" s="5">
        <v>2.5</v>
      </c>
      <c r="BV77" s="5">
        <v>0.2</v>
      </c>
      <c r="BW77" s="5">
        <v>0.2</v>
      </c>
      <c r="BX77" s="5">
        <v>0.2</v>
      </c>
      <c r="BY77" s="5">
        <v>0.2</v>
      </c>
      <c r="BZ77" s="5">
        <v>0.2</v>
      </c>
      <c r="CA77" s="5">
        <v>0.2</v>
      </c>
      <c r="CB77" s="5">
        <v>0.2</v>
      </c>
      <c r="CC77" s="5">
        <v>0.2</v>
      </c>
      <c r="CD77" s="5">
        <v>0.5</v>
      </c>
      <c r="CE77" s="5">
        <v>0.2</v>
      </c>
      <c r="CF77" s="5">
        <v>0.2</v>
      </c>
      <c r="CG77" s="5">
        <v>0.2</v>
      </c>
      <c r="CH77" s="5">
        <v>0.2</v>
      </c>
      <c r="CI77" s="16" t="s">
        <v>158</v>
      </c>
      <c r="CJ77" s="16" t="s">
        <v>158</v>
      </c>
      <c r="CK77" s="16" t="s">
        <v>158</v>
      </c>
      <c r="CL77" s="16" t="s">
        <v>158</v>
      </c>
      <c r="CM77" s="16" t="s">
        <v>158</v>
      </c>
      <c r="CN77" s="16" t="s">
        <v>158</v>
      </c>
      <c r="CO77" s="16" t="s">
        <v>158</v>
      </c>
      <c r="CP77" s="16" t="s">
        <v>158</v>
      </c>
      <c r="CQ77" s="16" t="s">
        <v>158</v>
      </c>
      <c r="CR77" s="16" t="s">
        <v>158</v>
      </c>
      <c r="CS77" s="16" t="s">
        <v>158</v>
      </c>
      <c r="CT77" s="16" t="s">
        <v>158</v>
      </c>
      <c r="CU77" s="16" t="s">
        <v>158</v>
      </c>
      <c r="CV77" s="16" t="s">
        <v>158</v>
      </c>
      <c r="CW77" s="16" t="s">
        <v>158</v>
      </c>
      <c r="CX77" s="16" t="s">
        <v>158</v>
      </c>
      <c r="CY77" s="110" t="s">
        <v>158</v>
      </c>
    </row>
    <row r="78" spans="1:103" x14ac:dyDescent="0.2">
      <c r="A78" s="32" t="s">
        <v>4</v>
      </c>
      <c r="B78" s="14" t="s">
        <v>4</v>
      </c>
      <c r="C78" s="14" t="s">
        <v>20</v>
      </c>
      <c r="G78" s="28">
        <v>43686</v>
      </c>
      <c r="H78" s="16">
        <v>2019</v>
      </c>
      <c r="I78" s="135" t="s">
        <v>33</v>
      </c>
      <c r="J78" s="135">
        <v>10</v>
      </c>
      <c r="K78" s="136">
        <v>0.83021199366720599</v>
      </c>
      <c r="L78" s="5" t="s">
        <v>158</v>
      </c>
      <c r="M78" s="5">
        <v>0.22497125335377538</v>
      </c>
      <c r="N78" s="5">
        <v>0.60348792640858562</v>
      </c>
      <c r="O78" s="5">
        <v>2.3395362207742432</v>
      </c>
      <c r="P78" s="5">
        <v>2.2395458029896513</v>
      </c>
      <c r="Q78" s="5">
        <v>4.890216558068226</v>
      </c>
      <c r="R78" s="5">
        <v>4.691452663855884</v>
      </c>
      <c r="S78" s="5">
        <v>1.4649961671138367</v>
      </c>
      <c r="T78" s="5">
        <v>16.454206592564201</v>
      </c>
      <c r="U78" s="17">
        <f t="shared" si="4"/>
        <v>85.608621038981028</v>
      </c>
      <c r="V78" s="5" t="s">
        <v>60</v>
      </c>
      <c r="W78" s="5">
        <v>0.18322506491193266</v>
      </c>
      <c r="X78" s="5">
        <v>4.4396591060852995E-2</v>
      </c>
      <c r="Y78" s="5">
        <v>0.14642286984086617</v>
      </c>
      <c r="Z78" s="5" t="s">
        <v>72</v>
      </c>
      <c r="AA78" s="5" t="s">
        <v>56</v>
      </c>
      <c r="AB78" s="5">
        <v>2.6063594316000794E-2</v>
      </c>
      <c r="AC78" s="5" t="s">
        <v>65</v>
      </c>
      <c r="AD78" s="5">
        <v>0.40010812012965263</v>
      </c>
      <c r="AE78" s="17">
        <f>SUM(V78,W78,Y78,X78,AB78,AA78)</f>
        <v>0.40010812012965263</v>
      </c>
      <c r="AF78" s="5" t="s">
        <v>72</v>
      </c>
      <c r="AG78" s="18" t="s">
        <v>158</v>
      </c>
      <c r="AH78" s="18">
        <v>10.804367457515804</v>
      </c>
      <c r="AI78" s="5" t="s">
        <v>69</v>
      </c>
      <c r="AJ78" s="5" t="s">
        <v>65</v>
      </c>
      <c r="AK78" s="5" t="s">
        <v>69</v>
      </c>
      <c r="AL78" s="5" t="s">
        <v>69</v>
      </c>
      <c r="AM78" s="5" t="s">
        <v>126</v>
      </c>
      <c r="AN78" s="5">
        <v>0.95706428043674574</v>
      </c>
      <c r="AO78" s="5" t="s">
        <v>126</v>
      </c>
      <c r="AP78" s="5" t="s">
        <v>69</v>
      </c>
      <c r="AQ78" s="5">
        <v>0.59111184084503188</v>
      </c>
      <c r="AR78" s="5" t="s">
        <v>65</v>
      </c>
      <c r="AS78" s="5" t="s">
        <v>158</v>
      </c>
      <c r="AT78" s="5" t="s">
        <v>158</v>
      </c>
      <c r="AU78" s="5" t="s">
        <v>158</v>
      </c>
      <c r="AV78" s="5" t="s">
        <v>158</v>
      </c>
      <c r="AW78" s="5" t="s">
        <v>158</v>
      </c>
      <c r="BC78" s="17" t="s">
        <v>158</v>
      </c>
      <c r="BD78" s="17" t="s">
        <v>158</v>
      </c>
      <c r="BE78" s="17" t="s">
        <v>158</v>
      </c>
      <c r="BF78" s="17" t="s">
        <v>158</v>
      </c>
      <c r="BG78" s="17" t="s">
        <v>158</v>
      </c>
      <c r="BH78" s="17" t="s">
        <v>158</v>
      </c>
      <c r="BI78" s="17" t="s">
        <v>158</v>
      </c>
      <c r="BJ78" s="17" t="s">
        <v>158</v>
      </c>
      <c r="BK78" s="17" t="s">
        <v>158</v>
      </c>
      <c r="BL78" s="17" t="s">
        <v>158</v>
      </c>
      <c r="BM78" s="17" t="s">
        <v>158</v>
      </c>
      <c r="BN78" s="17">
        <v>130</v>
      </c>
      <c r="BO78" s="17" t="s">
        <v>158</v>
      </c>
      <c r="BP78" s="17" t="s">
        <v>158</v>
      </c>
      <c r="BQ78" s="17" t="s">
        <v>158</v>
      </c>
      <c r="BR78" s="17" t="s">
        <v>158</v>
      </c>
      <c r="BS78" s="17" t="s">
        <v>158</v>
      </c>
      <c r="BT78" s="17" t="s">
        <v>158</v>
      </c>
      <c r="BU78" s="17" t="s">
        <v>158</v>
      </c>
      <c r="BV78" s="17" t="s">
        <v>158</v>
      </c>
      <c r="BW78" s="17" t="s">
        <v>158</v>
      </c>
      <c r="BX78" s="17" t="s">
        <v>158</v>
      </c>
      <c r="BY78" s="17" t="s">
        <v>158</v>
      </c>
      <c r="BZ78" s="17" t="s">
        <v>158</v>
      </c>
      <c r="CA78" s="17" t="s">
        <v>158</v>
      </c>
      <c r="CB78" s="17" t="s">
        <v>158</v>
      </c>
      <c r="CC78" s="17" t="s">
        <v>158</v>
      </c>
      <c r="CD78" s="17" t="s">
        <v>158</v>
      </c>
      <c r="CE78" s="17" t="s">
        <v>158</v>
      </c>
      <c r="CF78" s="17" t="s">
        <v>158</v>
      </c>
      <c r="CG78" s="17" t="s">
        <v>158</v>
      </c>
      <c r="CH78" s="17" t="s">
        <v>158</v>
      </c>
      <c r="CI78" s="16" t="s">
        <v>158</v>
      </c>
      <c r="CJ78" s="16" t="s">
        <v>158</v>
      </c>
      <c r="CK78" s="16" t="s">
        <v>158</v>
      </c>
      <c r="CL78" s="16" t="s">
        <v>158</v>
      </c>
      <c r="CM78" s="16" t="s">
        <v>158</v>
      </c>
      <c r="CN78" s="16" t="s">
        <v>158</v>
      </c>
      <c r="CO78" s="16" t="s">
        <v>158</v>
      </c>
      <c r="CP78" s="16" t="s">
        <v>158</v>
      </c>
      <c r="CQ78" s="16" t="s">
        <v>158</v>
      </c>
      <c r="CR78" s="16" t="s">
        <v>158</v>
      </c>
      <c r="CS78" s="16" t="s">
        <v>158</v>
      </c>
      <c r="CT78" s="16" t="s">
        <v>158</v>
      </c>
      <c r="CU78" s="16" t="s">
        <v>158</v>
      </c>
      <c r="CV78" s="16" t="s">
        <v>158</v>
      </c>
      <c r="CW78" s="16" t="s">
        <v>158</v>
      </c>
      <c r="CX78" s="16" t="s">
        <v>158</v>
      </c>
      <c r="CY78" s="110" t="s">
        <v>158</v>
      </c>
    </row>
    <row r="79" spans="1:103" x14ac:dyDescent="0.2">
      <c r="A79" s="32" t="s">
        <v>79</v>
      </c>
      <c r="B79" s="14" t="s">
        <v>79</v>
      </c>
      <c r="C79" s="14" t="s">
        <v>20</v>
      </c>
      <c r="G79" s="28">
        <v>43686</v>
      </c>
      <c r="H79" s="16">
        <v>2019</v>
      </c>
      <c r="I79" s="135" t="s">
        <v>33</v>
      </c>
      <c r="J79" s="135">
        <v>10</v>
      </c>
      <c r="K79" s="136">
        <v>0.39822331138003603</v>
      </c>
      <c r="L79" s="5" t="s">
        <v>158</v>
      </c>
      <c r="M79" s="5">
        <v>0.29939006099390064</v>
      </c>
      <c r="N79" s="5">
        <v>0.81861813818618134</v>
      </c>
      <c r="O79" s="5">
        <v>3.2868413158684131</v>
      </c>
      <c r="P79" s="5">
        <v>2.5366363363663633</v>
      </c>
      <c r="Q79" s="5">
        <v>5.7010198980101991</v>
      </c>
      <c r="R79" s="5">
        <v>5.0114988501149886</v>
      </c>
      <c r="S79" s="5">
        <v>1.8338466153384663</v>
      </c>
      <c r="T79" s="5">
        <v>19.487851214878514</v>
      </c>
      <c r="U79" s="17">
        <f t="shared" si="4"/>
        <v>212.83554219575956</v>
      </c>
      <c r="V79" s="5" t="s">
        <v>60</v>
      </c>
      <c r="W79" s="5">
        <v>0.11255435827323754</v>
      </c>
      <c r="X79" s="5" t="s">
        <v>60</v>
      </c>
      <c r="Y79" s="5">
        <v>2.1196652857728832E-2</v>
      </c>
      <c r="Z79" s="5" t="s">
        <v>72</v>
      </c>
      <c r="AA79" s="5" t="s">
        <v>56</v>
      </c>
      <c r="AB79" s="5">
        <v>4.5162868376585445E-2</v>
      </c>
      <c r="AC79" s="5" t="s">
        <v>65</v>
      </c>
      <c r="AD79" s="5">
        <v>0.17891387950755183</v>
      </c>
      <c r="AE79" s="17">
        <f t="shared" ref="AE79:AE100" si="8">SUM(V79,W79,Y79,X79,AB79,AA79)</f>
        <v>0.17891387950755183</v>
      </c>
      <c r="AF79" s="5" t="s">
        <v>72</v>
      </c>
      <c r="AG79" s="18" t="s">
        <v>158</v>
      </c>
      <c r="AH79" s="18">
        <v>5.7153647386205524</v>
      </c>
      <c r="AI79" s="5" t="s">
        <v>69</v>
      </c>
      <c r="AJ79" s="5" t="s">
        <v>65</v>
      </c>
      <c r="AK79" s="5" t="s">
        <v>69</v>
      </c>
      <c r="AL79" s="5" t="s">
        <v>69</v>
      </c>
      <c r="AM79" s="5" t="s">
        <v>126</v>
      </c>
      <c r="AN79" s="5">
        <v>0.44404690916318829</v>
      </c>
      <c r="AO79" s="5" t="s">
        <v>126</v>
      </c>
      <c r="AP79" s="5" t="s">
        <v>69</v>
      </c>
      <c r="AQ79" s="5">
        <v>0.30116610349168493</v>
      </c>
      <c r="AR79" s="5" t="s">
        <v>65</v>
      </c>
      <c r="AS79" s="5" t="s">
        <v>158</v>
      </c>
      <c r="AT79" s="5" t="s">
        <v>158</v>
      </c>
      <c r="AU79" s="5" t="s">
        <v>158</v>
      </c>
      <c r="AV79" s="5" t="s">
        <v>158</v>
      </c>
      <c r="AW79" s="5" t="s">
        <v>158</v>
      </c>
      <c r="BC79" s="17" t="s">
        <v>158</v>
      </c>
      <c r="BD79" s="17" t="s">
        <v>158</v>
      </c>
      <c r="BE79" s="17" t="s">
        <v>158</v>
      </c>
      <c r="BF79" s="17" t="s">
        <v>158</v>
      </c>
      <c r="BG79" s="17" t="s">
        <v>158</v>
      </c>
      <c r="BH79" s="17" t="s">
        <v>158</v>
      </c>
      <c r="BI79" s="17" t="s">
        <v>158</v>
      </c>
      <c r="BJ79" s="17" t="s">
        <v>158</v>
      </c>
      <c r="BK79" s="17" t="s">
        <v>158</v>
      </c>
      <c r="BL79" s="17" t="s">
        <v>158</v>
      </c>
      <c r="BM79" s="17" t="s">
        <v>158</v>
      </c>
      <c r="BN79" s="17">
        <v>100</v>
      </c>
      <c r="BO79" s="17" t="s">
        <v>158</v>
      </c>
      <c r="BP79" s="17" t="s">
        <v>158</v>
      </c>
      <c r="BQ79" s="17" t="s">
        <v>158</v>
      </c>
      <c r="BR79" s="17" t="s">
        <v>158</v>
      </c>
      <c r="BS79" s="17" t="s">
        <v>158</v>
      </c>
      <c r="BT79" s="17" t="s">
        <v>158</v>
      </c>
      <c r="BU79" s="17" t="s">
        <v>158</v>
      </c>
      <c r="BV79" s="17" t="s">
        <v>158</v>
      </c>
      <c r="BW79" s="17" t="s">
        <v>158</v>
      </c>
      <c r="BX79" s="17" t="s">
        <v>158</v>
      </c>
      <c r="BY79" s="17" t="s">
        <v>158</v>
      </c>
      <c r="BZ79" s="17" t="s">
        <v>158</v>
      </c>
      <c r="CA79" s="17" t="s">
        <v>158</v>
      </c>
      <c r="CB79" s="17" t="s">
        <v>158</v>
      </c>
      <c r="CC79" s="17" t="s">
        <v>158</v>
      </c>
      <c r="CD79" s="17" t="s">
        <v>158</v>
      </c>
      <c r="CE79" s="17" t="s">
        <v>158</v>
      </c>
      <c r="CF79" s="17" t="s">
        <v>158</v>
      </c>
      <c r="CG79" s="17" t="s">
        <v>158</v>
      </c>
      <c r="CH79" s="17" t="s">
        <v>158</v>
      </c>
      <c r="CI79" s="17" t="s">
        <v>158</v>
      </c>
      <c r="CJ79" s="17" t="s">
        <v>158</v>
      </c>
      <c r="CK79" s="17" t="s">
        <v>158</v>
      </c>
      <c r="CL79" s="17" t="s">
        <v>158</v>
      </c>
      <c r="CM79" s="17" t="s">
        <v>158</v>
      </c>
      <c r="CN79" s="17" t="s">
        <v>158</v>
      </c>
      <c r="CO79" s="17" t="s">
        <v>158</v>
      </c>
      <c r="CP79" s="17" t="s">
        <v>158</v>
      </c>
      <c r="CQ79" s="17" t="s">
        <v>158</v>
      </c>
      <c r="CR79" s="17" t="s">
        <v>158</v>
      </c>
      <c r="CS79" s="17" t="s">
        <v>158</v>
      </c>
      <c r="CT79" s="17" t="s">
        <v>158</v>
      </c>
      <c r="CU79" s="17" t="s">
        <v>158</v>
      </c>
      <c r="CV79" s="17" t="s">
        <v>158</v>
      </c>
      <c r="CW79" s="17" t="s">
        <v>158</v>
      </c>
      <c r="CX79" s="17" t="s">
        <v>158</v>
      </c>
      <c r="CY79" s="67" t="s">
        <v>158</v>
      </c>
    </row>
    <row r="80" spans="1:103" x14ac:dyDescent="0.2">
      <c r="A80" s="32" t="s">
        <v>112</v>
      </c>
      <c r="B80" s="14" t="s">
        <v>24</v>
      </c>
      <c r="C80" s="14" t="s">
        <v>20</v>
      </c>
      <c r="G80" s="28">
        <v>43685</v>
      </c>
      <c r="H80" s="16">
        <v>2019</v>
      </c>
      <c r="I80" s="135" t="s">
        <v>33</v>
      </c>
      <c r="J80" s="135">
        <v>10</v>
      </c>
      <c r="K80" s="136">
        <v>0.44901881074688993</v>
      </c>
      <c r="L80" s="5" t="s">
        <v>158</v>
      </c>
      <c r="M80" s="5">
        <v>0.10026748184944594</v>
      </c>
      <c r="N80" s="5">
        <v>0.79701948796331668</v>
      </c>
      <c r="O80" s="5">
        <v>2.4854508979747805</v>
      </c>
      <c r="P80" s="5">
        <v>1.0611004967520061</v>
      </c>
      <c r="Q80" s="5">
        <v>4.2180550248376001</v>
      </c>
      <c r="R80" s="5">
        <v>2.264807030951471</v>
      </c>
      <c r="S80" s="5">
        <v>1.3653515475735576</v>
      </c>
      <c r="T80" s="5">
        <v>12.292051967902175</v>
      </c>
      <c r="U80" s="17">
        <f t="shared" si="4"/>
        <v>125.0610353324486</v>
      </c>
      <c r="V80" s="5" t="s">
        <v>60</v>
      </c>
      <c r="W80" s="5">
        <v>7.3880672388570948E-2</v>
      </c>
      <c r="X80" s="5" t="s">
        <v>60</v>
      </c>
      <c r="Y80" s="5">
        <v>2.7128343796613136E-2</v>
      </c>
      <c r="Z80" s="5" t="s">
        <v>72</v>
      </c>
      <c r="AA80" s="5" t="s">
        <v>56</v>
      </c>
      <c r="AB80" s="5" t="s">
        <v>60</v>
      </c>
      <c r="AC80" s="5" t="s">
        <v>65</v>
      </c>
      <c r="AD80" s="5">
        <v>0.10100901618518408</v>
      </c>
      <c r="AE80" s="17">
        <f t="shared" si="8"/>
        <v>0.10100901618518408</v>
      </c>
      <c r="AF80" s="5">
        <v>9.6484524264424925E-3</v>
      </c>
      <c r="AG80" s="18">
        <f>AF80*(5/K80)</f>
        <v>0.1074392897971627</v>
      </c>
      <c r="AH80" s="18">
        <v>3.3044948136765266</v>
      </c>
      <c r="AI80" s="5" t="s">
        <v>69</v>
      </c>
      <c r="AJ80" s="5" t="s">
        <v>65</v>
      </c>
      <c r="AK80" s="5" t="s">
        <v>69</v>
      </c>
      <c r="AL80" s="5" t="s">
        <v>69</v>
      </c>
      <c r="AM80" s="5" t="s">
        <v>126</v>
      </c>
      <c r="AN80" s="5">
        <v>0.34560122935074916</v>
      </c>
      <c r="AO80" s="5" t="s">
        <v>126</v>
      </c>
      <c r="AP80" s="5" t="s">
        <v>69</v>
      </c>
      <c r="AQ80" s="5">
        <v>0.22130874631835062</v>
      </c>
      <c r="AR80" s="5" t="s">
        <v>65</v>
      </c>
      <c r="AS80" s="5" t="s">
        <v>158</v>
      </c>
      <c r="AT80" s="5" t="s">
        <v>158</v>
      </c>
      <c r="AU80" s="5" t="s">
        <v>158</v>
      </c>
      <c r="AV80" s="5" t="s">
        <v>158</v>
      </c>
      <c r="AW80" s="5" t="s">
        <v>158</v>
      </c>
      <c r="BC80" s="17" t="s">
        <v>158</v>
      </c>
      <c r="BD80" s="17" t="s">
        <v>158</v>
      </c>
      <c r="BE80" s="17" t="s">
        <v>158</v>
      </c>
      <c r="BF80" s="17" t="s">
        <v>158</v>
      </c>
      <c r="BG80" s="17" t="s">
        <v>158</v>
      </c>
      <c r="BH80" s="17" t="s">
        <v>158</v>
      </c>
      <c r="BI80" s="17" t="s">
        <v>158</v>
      </c>
      <c r="BJ80" s="17" t="s">
        <v>158</v>
      </c>
      <c r="BK80" s="17" t="s">
        <v>158</v>
      </c>
      <c r="BL80" s="17" t="s">
        <v>158</v>
      </c>
      <c r="BM80" s="17" t="s">
        <v>158</v>
      </c>
      <c r="BN80" s="17">
        <v>190</v>
      </c>
      <c r="BO80" s="17" t="s">
        <v>158</v>
      </c>
      <c r="BP80" s="17" t="s">
        <v>158</v>
      </c>
      <c r="BQ80" s="17" t="s">
        <v>158</v>
      </c>
      <c r="BR80" s="17" t="s">
        <v>158</v>
      </c>
      <c r="BS80" s="17" t="s">
        <v>158</v>
      </c>
      <c r="BT80" s="17" t="s">
        <v>158</v>
      </c>
      <c r="BU80" s="17" t="s">
        <v>158</v>
      </c>
      <c r="BV80" s="17" t="s">
        <v>158</v>
      </c>
      <c r="BW80" s="17" t="s">
        <v>158</v>
      </c>
      <c r="BX80" s="17" t="s">
        <v>158</v>
      </c>
      <c r="BY80" s="17" t="s">
        <v>158</v>
      </c>
      <c r="BZ80" s="17" t="s">
        <v>158</v>
      </c>
      <c r="CA80" s="17" t="s">
        <v>158</v>
      </c>
      <c r="CB80" s="17" t="s">
        <v>158</v>
      </c>
      <c r="CC80" s="17" t="s">
        <v>158</v>
      </c>
      <c r="CD80" s="17" t="s">
        <v>158</v>
      </c>
      <c r="CE80" s="17" t="s">
        <v>158</v>
      </c>
      <c r="CF80" s="17" t="s">
        <v>158</v>
      </c>
      <c r="CG80" s="17" t="s">
        <v>158</v>
      </c>
      <c r="CH80" s="17" t="s">
        <v>158</v>
      </c>
      <c r="CI80" s="17" t="s">
        <v>158</v>
      </c>
      <c r="CJ80" s="17" t="s">
        <v>158</v>
      </c>
      <c r="CK80" s="17" t="s">
        <v>158</v>
      </c>
      <c r="CL80" s="17" t="s">
        <v>158</v>
      </c>
      <c r="CM80" s="17" t="s">
        <v>158</v>
      </c>
      <c r="CN80" s="17" t="s">
        <v>158</v>
      </c>
      <c r="CO80" s="17" t="s">
        <v>158</v>
      </c>
      <c r="CP80" s="17" t="s">
        <v>158</v>
      </c>
      <c r="CQ80" s="17" t="s">
        <v>158</v>
      </c>
      <c r="CR80" s="17" t="s">
        <v>158</v>
      </c>
      <c r="CS80" s="17" t="s">
        <v>158</v>
      </c>
      <c r="CT80" s="17" t="s">
        <v>158</v>
      </c>
      <c r="CU80" s="17" t="s">
        <v>158</v>
      </c>
      <c r="CV80" s="17" t="s">
        <v>158</v>
      </c>
      <c r="CW80" s="17" t="s">
        <v>158</v>
      </c>
      <c r="CX80" s="17" t="s">
        <v>158</v>
      </c>
      <c r="CY80" s="67" t="s">
        <v>158</v>
      </c>
    </row>
    <row r="81" spans="1:103" x14ac:dyDescent="0.2">
      <c r="A81" s="32" t="s">
        <v>21</v>
      </c>
      <c r="B81" s="14" t="s">
        <v>21</v>
      </c>
      <c r="C81" s="14" t="s">
        <v>20</v>
      </c>
      <c r="G81" s="28">
        <v>43683</v>
      </c>
      <c r="H81" s="16">
        <v>2019</v>
      </c>
      <c r="I81" s="135" t="s">
        <v>33</v>
      </c>
      <c r="J81" s="135">
        <v>10</v>
      </c>
      <c r="K81" s="136">
        <v>0.42139323137124202</v>
      </c>
      <c r="L81" s="5" t="s">
        <v>158</v>
      </c>
      <c r="M81" s="5" t="s">
        <v>62</v>
      </c>
      <c r="N81" s="5">
        <v>5.2946111330438216E-2</v>
      </c>
      <c r="O81" s="5">
        <v>0.34262238452427951</v>
      </c>
      <c r="P81" s="5">
        <v>0.28961705487564149</v>
      </c>
      <c r="Q81" s="5">
        <v>1.2236971969996053</v>
      </c>
      <c r="R81" s="5">
        <v>1.0693347808922229</v>
      </c>
      <c r="S81" s="5">
        <v>0.4278819581523885</v>
      </c>
      <c r="T81" s="5">
        <v>3.4060994867745764</v>
      </c>
      <c r="U81" s="17">
        <f t="shared" si="4"/>
        <v>36.978316212598983</v>
      </c>
      <c r="V81" s="5" t="s">
        <v>60</v>
      </c>
      <c r="W81" s="5">
        <v>7.6371243932805144E-2</v>
      </c>
      <c r="X81" s="5" t="s">
        <v>60</v>
      </c>
      <c r="Y81" s="5">
        <v>3.8112142408476872E-2</v>
      </c>
      <c r="Z81" s="5" t="s">
        <v>72</v>
      </c>
      <c r="AA81" s="5" t="s">
        <v>56</v>
      </c>
      <c r="AB81" s="5" t="s">
        <v>60</v>
      </c>
      <c r="AC81" s="5" t="s">
        <v>65</v>
      </c>
      <c r="AD81" s="5">
        <v>0.11448338634128202</v>
      </c>
      <c r="AE81" s="17">
        <f t="shared" si="8"/>
        <v>0.11448338634128202</v>
      </c>
      <c r="AF81" s="5" t="s">
        <v>72</v>
      </c>
      <c r="AG81" s="18" t="s">
        <v>158</v>
      </c>
      <c r="AH81" s="18">
        <v>18.356820163271774</v>
      </c>
      <c r="AI81" s="5" t="s">
        <v>69</v>
      </c>
      <c r="AJ81" s="5" t="s">
        <v>65</v>
      </c>
      <c r="AK81" s="5" t="s">
        <v>69</v>
      </c>
      <c r="AL81" s="5" t="s">
        <v>69</v>
      </c>
      <c r="AM81" s="5" t="s">
        <v>126</v>
      </c>
      <c r="AN81" s="5">
        <v>0.93191725449789964</v>
      </c>
      <c r="AO81" s="5">
        <v>0.41272885789014818</v>
      </c>
      <c r="AP81" s="5" t="s">
        <v>69</v>
      </c>
      <c r="AQ81" s="5">
        <v>0.4708197934004385</v>
      </c>
      <c r="AR81" s="5" t="s">
        <v>65</v>
      </c>
      <c r="AS81" s="5" t="s">
        <v>158</v>
      </c>
      <c r="AT81" s="5" t="s">
        <v>158</v>
      </c>
      <c r="AU81" s="5" t="s">
        <v>158</v>
      </c>
      <c r="AV81" s="5" t="s">
        <v>158</v>
      </c>
      <c r="AW81" s="5" t="s">
        <v>158</v>
      </c>
      <c r="BC81" s="17" t="s">
        <v>158</v>
      </c>
      <c r="BD81" s="17" t="s">
        <v>158</v>
      </c>
      <c r="BE81" s="17" t="s">
        <v>158</v>
      </c>
      <c r="BF81" s="17" t="s">
        <v>158</v>
      </c>
      <c r="BG81" s="17" t="s">
        <v>158</v>
      </c>
      <c r="BH81" s="17" t="s">
        <v>158</v>
      </c>
      <c r="BI81" s="17" t="s">
        <v>158</v>
      </c>
      <c r="BJ81" s="17" t="s">
        <v>158</v>
      </c>
      <c r="BK81" s="17" t="s">
        <v>158</v>
      </c>
      <c r="BL81" s="17" t="s">
        <v>158</v>
      </c>
      <c r="BM81" s="17" t="s">
        <v>158</v>
      </c>
      <c r="BN81" s="17">
        <v>120</v>
      </c>
      <c r="BO81" s="17" t="s">
        <v>158</v>
      </c>
      <c r="BP81" s="17" t="s">
        <v>158</v>
      </c>
      <c r="BQ81" s="17" t="s">
        <v>158</v>
      </c>
      <c r="BR81" s="17" t="s">
        <v>158</v>
      </c>
      <c r="BS81" s="17" t="s">
        <v>158</v>
      </c>
      <c r="BT81" s="17" t="s">
        <v>158</v>
      </c>
      <c r="BU81" s="17" t="s">
        <v>158</v>
      </c>
      <c r="BV81" s="17" t="s">
        <v>158</v>
      </c>
      <c r="BW81" s="17" t="s">
        <v>158</v>
      </c>
      <c r="BX81" s="17" t="s">
        <v>158</v>
      </c>
      <c r="BY81" s="17" t="s">
        <v>158</v>
      </c>
      <c r="BZ81" s="17" t="s">
        <v>158</v>
      </c>
      <c r="CA81" s="17" t="s">
        <v>158</v>
      </c>
      <c r="CB81" s="17" t="s">
        <v>158</v>
      </c>
      <c r="CC81" s="17" t="s">
        <v>158</v>
      </c>
      <c r="CD81" s="17" t="s">
        <v>158</v>
      </c>
      <c r="CE81" s="17" t="s">
        <v>158</v>
      </c>
      <c r="CF81" s="17" t="s">
        <v>158</v>
      </c>
      <c r="CG81" s="17" t="s">
        <v>158</v>
      </c>
      <c r="CH81" s="17" t="s">
        <v>158</v>
      </c>
      <c r="CI81" s="17" t="s">
        <v>158</v>
      </c>
      <c r="CJ81" s="17" t="s">
        <v>158</v>
      </c>
      <c r="CK81" s="17" t="s">
        <v>158</v>
      </c>
      <c r="CL81" s="17" t="s">
        <v>158</v>
      </c>
      <c r="CM81" s="17" t="s">
        <v>158</v>
      </c>
      <c r="CN81" s="17" t="s">
        <v>158</v>
      </c>
      <c r="CO81" s="17" t="s">
        <v>158</v>
      </c>
      <c r="CP81" s="17" t="s">
        <v>158</v>
      </c>
      <c r="CQ81" s="17" t="s">
        <v>158</v>
      </c>
      <c r="CR81" s="17" t="s">
        <v>158</v>
      </c>
      <c r="CS81" s="17" t="s">
        <v>158</v>
      </c>
      <c r="CT81" s="17" t="s">
        <v>158</v>
      </c>
      <c r="CU81" s="17" t="s">
        <v>158</v>
      </c>
      <c r="CV81" s="17" t="s">
        <v>158</v>
      </c>
      <c r="CW81" s="17" t="s">
        <v>158</v>
      </c>
      <c r="CX81" s="17" t="s">
        <v>158</v>
      </c>
      <c r="CY81" s="67" t="s">
        <v>158</v>
      </c>
    </row>
    <row r="82" spans="1:103" x14ac:dyDescent="0.2">
      <c r="A82" s="32" t="s">
        <v>22</v>
      </c>
      <c r="B82" s="14" t="s">
        <v>22</v>
      </c>
      <c r="C82" s="14" t="s">
        <v>20</v>
      </c>
      <c r="G82" s="28">
        <v>43682</v>
      </c>
      <c r="H82" s="16">
        <v>2019</v>
      </c>
      <c r="I82" s="135" t="s">
        <v>33</v>
      </c>
      <c r="J82" s="135">
        <v>10</v>
      </c>
      <c r="K82" s="136">
        <v>0.42921450256481003</v>
      </c>
      <c r="L82" s="5" t="s">
        <v>158</v>
      </c>
      <c r="M82" s="5">
        <v>0.5265076414704668</v>
      </c>
      <c r="N82" s="5">
        <v>1.4337773647253202</v>
      </c>
      <c r="O82" s="5">
        <v>4.7160161090458494</v>
      </c>
      <c r="P82" s="5">
        <v>3.8272614622057004</v>
      </c>
      <c r="Q82" s="5">
        <v>9.4286555142503108</v>
      </c>
      <c r="R82" s="5">
        <v>8.7030152829409335</v>
      </c>
      <c r="S82" s="5">
        <v>3.287691036761669</v>
      </c>
      <c r="T82" s="5">
        <v>31.922924411400249</v>
      </c>
      <c r="U82" s="17">
        <f t="shared" si="4"/>
        <v>327.2916313557252</v>
      </c>
      <c r="V82" s="5" t="s">
        <v>60</v>
      </c>
      <c r="W82" s="5">
        <v>0.23090447638088935</v>
      </c>
      <c r="X82" s="5">
        <v>5.892150149744016E-2</v>
      </c>
      <c r="Y82" s="5">
        <v>0.20270318682371069</v>
      </c>
      <c r="Z82" s="5" t="s">
        <v>72</v>
      </c>
      <c r="AA82" s="5" t="s">
        <v>56</v>
      </c>
      <c r="AB82" s="5">
        <v>3.752608816913406E-2</v>
      </c>
      <c r="AC82" s="5" t="s">
        <v>65</v>
      </c>
      <c r="AD82" s="5">
        <v>0.53005525287117428</v>
      </c>
      <c r="AE82" s="17">
        <f t="shared" si="8"/>
        <v>0.53005525287117428</v>
      </c>
      <c r="AF82" s="5" t="s">
        <v>72</v>
      </c>
      <c r="AG82" s="18" t="s">
        <v>158</v>
      </c>
      <c r="AH82" s="18">
        <v>11.539823008849558</v>
      </c>
      <c r="AI82" s="5" t="s">
        <v>69</v>
      </c>
      <c r="AJ82" s="5" t="s">
        <v>65</v>
      </c>
      <c r="AK82" s="5" t="s">
        <v>69</v>
      </c>
      <c r="AL82" s="5" t="s">
        <v>69</v>
      </c>
      <c r="AM82" s="5" t="s">
        <v>126</v>
      </c>
      <c r="AN82" s="5">
        <v>0.61305832346177958</v>
      </c>
      <c r="AO82" s="5" t="s">
        <v>126</v>
      </c>
      <c r="AP82" s="5" t="s">
        <v>69</v>
      </c>
      <c r="AQ82" s="5">
        <v>0.48012914314914168</v>
      </c>
      <c r="AR82" s="5" t="s">
        <v>65</v>
      </c>
      <c r="AS82" s="5" t="s">
        <v>158</v>
      </c>
      <c r="AT82" s="5" t="s">
        <v>158</v>
      </c>
      <c r="AU82" s="5" t="s">
        <v>158</v>
      </c>
      <c r="AV82" s="5" t="s">
        <v>158</v>
      </c>
      <c r="AW82" s="5" t="s">
        <v>158</v>
      </c>
      <c r="BC82" s="17" t="s">
        <v>158</v>
      </c>
      <c r="BD82" s="17" t="s">
        <v>158</v>
      </c>
      <c r="BE82" s="17" t="s">
        <v>158</v>
      </c>
      <c r="BF82" s="17" t="s">
        <v>158</v>
      </c>
      <c r="BG82" s="17" t="s">
        <v>158</v>
      </c>
      <c r="BH82" s="17" t="s">
        <v>158</v>
      </c>
      <c r="BI82" s="17" t="s">
        <v>158</v>
      </c>
      <c r="BJ82" s="17" t="s">
        <v>158</v>
      </c>
      <c r="BK82" s="17" t="s">
        <v>158</v>
      </c>
      <c r="BL82" s="17" t="s">
        <v>158</v>
      </c>
      <c r="BM82" s="17" t="s">
        <v>158</v>
      </c>
      <c r="BN82" s="17">
        <v>99</v>
      </c>
      <c r="BO82" s="17" t="s">
        <v>158</v>
      </c>
      <c r="BP82" s="17" t="s">
        <v>158</v>
      </c>
      <c r="BQ82" s="17" t="s">
        <v>158</v>
      </c>
      <c r="BR82" s="17" t="s">
        <v>158</v>
      </c>
      <c r="BS82" s="17" t="s">
        <v>158</v>
      </c>
      <c r="BT82" s="17" t="s">
        <v>158</v>
      </c>
      <c r="BU82" s="17" t="s">
        <v>158</v>
      </c>
      <c r="BV82" s="17" t="s">
        <v>158</v>
      </c>
      <c r="BW82" s="17" t="s">
        <v>158</v>
      </c>
      <c r="BX82" s="17" t="s">
        <v>158</v>
      </c>
      <c r="BY82" s="17" t="s">
        <v>158</v>
      </c>
      <c r="BZ82" s="17" t="s">
        <v>158</v>
      </c>
      <c r="CA82" s="17" t="s">
        <v>158</v>
      </c>
      <c r="CB82" s="17" t="s">
        <v>158</v>
      </c>
      <c r="CC82" s="17" t="s">
        <v>158</v>
      </c>
      <c r="CD82" s="17" t="s">
        <v>158</v>
      </c>
      <c r="CE82" s="17" t="s">
        <v>158</v>
      </c>
      <c r="CF82" s="17" t="s">
        <v>158</v>
      </c>
      <c r="CG82" s="17" t="s">
        <v>158</v>
      </c>
      <c r="CH82" s="17" t="s">
        <v>158</v>
      </c>
      <c r="CI82" s="17" t="s">
        <v>158</v>
      </c>
      <c r="CJ82" s="17" t="s">
        <v>158</v>
      </c>
      <c r="CK82" s="17" t="s">
        <v>158</v>
      </c>
      <c r="CL82" s="17" t="s">
        <v>158</v>
      </c>
      <c r="CM82" s="17" t="s">
        <v>158</v>
      </c>
      <c r="CN82" s="17" t="s">
        <v>158</v>
      </c>
      <c r="CO82" s="17" t="s">
        <v>158</v>
      </c>
      <c r="CP82" s="17" t="s">
        <v>158</v>
      </c>
      <c r="CQ82" s="17" t="s">
        <v>158</v>
      </c>
      <c r="CR82" s="17" t="s">
        <v>158</v>
      </c>
      <c r="CS82" s="17" t="s">
        <v>158</v>
      </c>
      <c r="CT82" s="17" t="s">
        <v>158</v>
      </c>
      <c r="CU82" s="17" t="s">
        <v>158</v>
      </c>
      <c r="CV82" s="17" t="s">
        <v>158</v>
      </c>
      <c r="CW82" s="17" t="s">
        <v>158</v>
      </c>
      <c r="CX82" s="17" t="s">
        <v>158</v>
      </c>
      <c r="CY82" s="67" t="s">
        <v>158</v>
      </c>
    </row>
    <row r="83" spans="1:103" x14ac:dyDescent="0.2">
      <c r="A83" s="32" t="s">
        <v>25</v>
      </c>
      <c r="B83" s="14" t="s">
        <v>25</v>
      </c>
      <c r="C83" s="14" t="s">
        <v>20</v>
      </c>
      <c r="G83" s="28">
        <v>43689</v>
      </c>
      <c r="H83" s="16">
        <v>2019</v>
      </c>
      <c r="I83" s="135" t="s">
        <v>33</v>
      </c>
      <c r="J83" s="135">
        <v>10</v>
      </c>
      <c r="K83" s="136">
        <v>0.50511247443761298</v>
      </c>
      <c r="L83" s="5" t="s">
        <v>158</v>
      </c>
      <c r="M83" s="5">
        <v>3.566775244299674E-2</v>
      </c>
      <c r="N83" s="5">
        <v>0.19841205211726384</v>
      </c>
      <c r="O83" s="5">
        <v>0.39800488599348538</v>
      </c>
      <c r="P83" s="5">
        <v>0.15790920195439739</v>
      </c>
      <c r="Q83" s="5">
        <v>1.2810769543973941</v>
      </c>
      <c r="R83" s="5">
        <v>0.598941368078176</v>
      </c>
      <c r="S83" s="5">
        <v>0.48549470684039087</v>
      </c>
      <c r="T83" s="5">
        <v>3.1555069218241041</v>
      </c>
      <c r="U83" s="17">
        <f t="shared" si="4"/>
        <v>29.672576619763756</v>
      </c>
      <c r="V83" s="5" t="s">
        <v>60</v>
      </c>
      <c r="W83" s="5">
        <v>7.3744422439835769E-2</v>
      </c>
      <c r="X83" s="5" t="s">
        <v>60</v>
      </c>
      <c r="Y83" s="5">
        <v>3.6014941627662521E-2</v>
      </c>
      <c r="Z83" s="5" t="s">
        <v>72</v>
      </c>
      <c r="AA83" s="5" t="s">
        <v>56</v>
      </c>
      <c r="AB83" s="5">
        <v>1.3835271693699887E-2</v>
      </c>
      <c r="AC83" s="5" t="s">
        <v>65</v>
      </c>
      <c r="AD83" s="5">
        <v>0.12359463576119817</v>
      </c>
      <c r="AE83" s="17">
        <f t="shared" si="8"/>
        <v>0.12359463576119817</v>
      </c>
      <c r="AF83" s="5" t="s">
        <v>72</v>
      </c>
      <c r="AG83" s="18" t="s">
        <v>158</v>
      </c>
      <c r="AH83" s="18">
        <v>72.154009048031583</v>
      </c>
      <c r="AI83" s="5" t="s">
        <v>69</v>
      </c>
      <c r="AJ83" s="5" t="s">
        <v>65</v>
      </c>
      <c r="AK83" s="5" t="s">
        <v>69</v>
      </c>
      <c r="AL83" s="5" t="s">
        <v>69</v>
      </c>
      <c r="AM83" s="5" t="s">
        <v>126</v>
      </c>
      <c r="AN83" s="5">
        <v>3.5285398017133511</v>
      </c>
      <c r="AO83" s="5">
        <v>0.98348252959861404</v>
      </c>
      <c r="AP83" s="5" t="s">
        <v>69</v>
      </c>
      <c r="AQ83" s="5">
        <v>0.88077132864889141</v>
      </c>
      <c r="AR83" s="5" t="s">
        <v>65</v>
      </c>
      <c r="AS83" s="5" t="s">
        <v>158</v>
      </c>
      <c r="AT83" s="5" t="s">
        <v>158</v>
      </c>
      <c r="AU83" s="5" t="s">
        <v>158</v>
      </c>
      <c r="AV83" s="5" t="s">
        <v>158</v>
      </c>
      <c r="AW83" s="5" t="s">
        <v>158</v>
      </c>
      <c r="BC83" s="17" t="s">
        <v>158</v>
      </c>
      <c r="BD83" s="17" t="s">
        <v>158</v>
      </c>
      <c r="BE83" s="17" t="s">
        <v>158</v>
      </c>
      <c r="BF83" s="17" t="s">
        <v>158</v>
      </c>
      <c r="BG83" s="17" t="s">
        <v>158</v>
      </c>
      <c r="BH83" s="17" t="s">
        <v>158</v>
      </c>
      <c r="BI83" s="17" t="s">
        <v>158</v>
      </c>
      <c r="BJ83" s="17" t="s">
        <v>158</v>
      </c>
      <c r="BK83" s="17" t="s">
        <v>158</v>
      </c>
      <c r="BL83" s="17" t="s">
        <v>158</v>
      </c>
      <c r="BM83" s="17" t="s">
        <v>158</v>
      </c>
      <c r="BN83" s="17">
        <v>120</v>
      </c>
      <c r="BO83" s="17" t="s">
        <v>158</v>
      </c>
      <c r="BP83" s="17" t="s">
        <v>158</v>
      </c>
      <c r="BQ83" s="17" t="s">
        <v>158</v>
      </c>
      <c r="BR83" s="17" t="s">
        <v>158</v>
      </c>
      <c r="BS83" s="17" t="s">
        <v>158</v>
      </c>
      <c r="BT83" s="17" t="s">
        <v>158</v>
      </c>
      <c r="BU83" s="17" t="s">
        <v>158</v>
      </c>
      <c r="BV83" s="17" t="s">
        <v>158</v>
      </c>
      <c r="BW83" s="17" t="s">
        <v>158</v>
      </c>
      <c r="BX83" s="17" t="s">
        <v>158</v>
      </c>
      <c r="BY83" s="17" t="s">
        <v>158</v>
      </c>
      <c r="BZ83" s="17" t="s">
        <v>158</v>
      </c>
      <c r="CA83" s="17" t="s">
        <v>158</v>
      </c>
      <c r="CB83" s="17" t="s">
        <v>158</v>
      </c>
      <c r="CC83" s="17" t="s">
        <v>158</v>
      </c>
      <c r="CD83" s="17" t="s">
        <v>158</v>
      </c>
      <c r="CE83" s="17" t="s">
        <v>158</v>
      </c>
      <c r="CF83" s="17" t="s">
        <v>158</v>
      </c>
      <c r="CG83" s="17" t="s">
        <v>158</v>
      </c>
      <c r="CH83" s="17" t="s">
        <v>158</v>
      </c>
      <c r="CI83" s="17" t="s">
        <v>158</v>
      </c>
      <c r="CJ83" s="17" t="s">
        <v>158</v>
      </c>
      <c r="CK83" s="17" t="s">
        <v>158</v>
      </c>
      <c r="CL83" s="17" t="s">
        <v>158</v>
      </c>
      <c r="CM83" s="17" t="s">
        <v>158</v>
      </c>
      <c r="CN83" s="17" t="s">
        <v>158</v>
      </c>
      <c r="CO83" s="17" t="s">
        <v>158</v>
      </c>
      <c r="CP83" s="17" t="s">
        <v>158</v>
      </c>
      <c r="CQ83" s="17" t="s">
        <v>158</v>
      </c>
      <c r="CR83" s="17" t="s">
        <v>158</v>
      </c>
      <c r="CS83" s="17" t="s">
        <v>158</v>
      </c>
      <c r="CT83" s="17" t="s">
        <v>158</v>
      </c>
      <c r="CU83" s="17" t="s">
        <v>158</v>
      </c>
      <c r="CV83" s="17" t="s">
        <v>158</v>
      </c>
      <c r="CW83" s="17" t="s">
        <v>158</v>
      </c>
      <c r="CX83" s="17" t="s">
        <v>158</v>
      </c>
      <c r="CY83" s="67" t="s">
        <v>158</v>
      </c>
    </row>
    <row r="84" spans="1:103" x14ac:dyDescent="0.2">
      <c r="A84" s="32" t="s">
        <v>5</v>
      </c>
      <c r="B84" s="14" t="s">
        <v>5</v>
      </c>
      <c r="C84" s="14" t="s">
        <v>20</v>
      </c>
      <c r="G84" s="28">
        <v>43679</v>
      </c>
      <c r="H84" s="16">
        <v>2019</v>
      </c>
      <c r="I84" s="135" t="s">
        <v>33</v>
      </c>
      <c r="J84" s="135">
        <v>10</v>
      </c>
      <c r="K84" s="136">
        <v>0.45077533357372096</v>
      </c>
      <c r="L84" s="5" t="s">
        <v>158</v>
      </c>
      <c r="M84" s="5">
        <v>0.62387479541734869</v>
      </c>
      <c r="N84" s="5">
        <v>1.460464402618658</v>
      </c>
      <c r="O84" s="5">
        <v>4.8424713584288055</v>
      </c>
      <c r="P84" s="5">
        <v>4.4062909165302777</v>
      </c>
      <c r="Q84" s="5">
        <v>7.4108428805237327</v>
      </c>
      <c r="R84" s="5">
        <v>7.3866612111292964</v>
      </c>
      <c r="S84" s="5">
        <v>2.0762888707037641</v>
      </c>
      <c r="T84" s="5">
        <v>28.206894435351881</v>
      </c>
      <c r="U84" s="17">
        <f t="shared" si="4"/>
        <v>263.99629423078437</v>
      </c>
      <c r="V84" s="5" t="s">
        <v>60</v>
      </c>
      <c r="W84" s="5">
        <v>0.15482420007269895</v>
      </c>
      <c r="X84" s="5">
        <v>5.8237615584640981E-2</v>
      </c>
      <c r="Y84" s="5">
        <v>0.14996252521865158</v>
      </c>
      <c r="Z84" s="5" t="s">
        <v>72</v>
      </c>
      <c r="AA84" s="5" t="s">
        <v>56</v>
      </c>
      <c r="AB84" s="5">
        <v>3.4858472450930454E-2</v>
      </c>
      <c r="AC84" s="5" t="s">
        <v>65</v>
      </c>
      <c r="AD84" s="5">
        <v>0.39788281332692199</v>
      </c>
      <c r="AE84" s="17">
        <f t="shared" si="8"/>
        <v>0.39788281332692194</v>
      </c>
      <c r="AF84" s="5" t="s">
        <v>72</v>
      </c>
      <c r="AG84" s="18" t="s">
        <v>158</v>
      </c>
      <c r="AH84" s="18">
        <v>15.728358208955221</v>
      </c>
      <c r="AI84" s="5" t="s">
        <v>69</v>
      </c>
      <c r="AJ84" s="5" t="s">
        <v>65</v>
      </c>
      <c r="AK84" s="5" t="s">
        <v>69</v>
      </c>
      <c r="AL84" s="5" t="s">
        <v>69</v>
      </c>
      <c r="AM84" s="5" t="s">
        <v>126</v>
      </c>
      <c r="AN84" s="5">
        <v>0.77686567164179099</v>
      </c>
      <c r="AO84" s="5" t="s">
        <v>126</v>
      </c>
      <c r="AP84" s="5" t="s">
        <v>69</v>
      </c>
      <c r="AQ84" s="5">
        <v>0.45338930348258705</v>
      </c>
      <c r="AR84" s="5" t="s">
        <v>65</v>
      </c>
      <c r="AS84" s="5" t="s">
        <v>158</v>
      </c>
      <c r="AT84" s="5" t="s">
        <v>158</v>
      </c>
      <c r="AU84" s="5" t="s">
        <v>158</v>
      </c>
      <c r="AV84" s="5" t="s">
        <v>158</v>
      </c>
      <c r="AW84" s="5" t="s">
        <v>158</v>
      </c>
      <c r="BC84" s="17" t="s">
        <v>158</v>
      </c>
      <c r="BD84" s="17" t="s">
        <v>158</v>
      </c>
      <c r="BE84" s="17" t="s">
        <v>158</v>
      </c>
      <c r="BF84" s="17" t="s">
        <v>158</v>
      </c>
      <c r="BG84" s="17" t="s">
        <v>158</v>
      </c>
      <c r="BH84" s="17" t="s">
        <v>158</v>
      </c>
      <c r="BI84" s="17" t="s">
        <v>158</v>
      </c>
      <c r="BJ84" s="17" t="s">
        <v>158</v>
      </c>
      <c r="BK84" s="17" t="s">
        <v>158</v>
      </c>
      <c r="BL84" s="17" t="s">
        <v>158</v>
      </c>
      <c r="BM84" s="17" t="s">
        <v>158</v>
      </c>
      <c r="BN84" s="17">
        <v>100</v>
      </c>
      <c r="BO84" s="17" t="s">
        <v>158</v>
      </c>
      <c r="BP84" s="17" t="s">
        <v>158</v>
      </c>
      <c r="BQ84" s="17" t="s">
        <v>158</v>
      </c>
      <c r="BR84" s="17" t="s">
        <v>158</v>
      </c>
      <c r="BS84" s="17" t="s">
        <v>158</v>
      </c>
      <c r="BT84" s="17" t="s">
        <v>158</v>
      </c>
      <c r="BU84" s="17" t="s">
        <v>158</v>
      </c>
      <c r="BV84" s="17" t="s">
        <v>158</v>
      </c>
      <c r="BW84" s="17" t="s">
        <v>158</v>
      </c>
      <c r="BX84" s="17" t="s">
        <v>158</v>
      </c>
      <c r="BY84" s="17" t="s">
        <v>158</v>
      </c>
      <c r="BZ84" s="17" t="s">
        <v>158</v>
      </c>
      <c r="CA84" s="17" t="s">
        <v>158</v>
      </c>
      <c r="CB84" s="17" t="s">
        <v>158</v>
      </c>
      <c r="CC84" s="17" t="s">
        <v>158</v>
      </c>
      <c r="CD84" s="17" t="s">
        <v>158</v>
      </c>
      <c r="CE84" s="17" t="s">
        <v>158</v>
      </c>
      <c r="CF84" s="17" t="s">
        <v>158</v>
      </c>
      <c r="CG84" s="17" t="s">
        <v>158</v>
      </c>
      <c r="CH84" s="17" t="s">
        <v>158</v>
      </c>
      <c r="CI84" s="17" t="s">
        <v>158</v>
      </c>
      <c r="CJ84" s="17" t="s">
        <v>158</v>
      </c>
      <c r="CK84" s="17" t="s">
        <v>158</v>
      </c>
      <c r="CL84" s="17" t="s">
        <v>158</v>
      </c>
      <c r="CM84" s="17" t="s">
        <v>158</v>
      </c>
      <c r="CN84" s="17" t="s">
        <v>158</v>
      </c>
      <c r="CO84" s="17" t="s">
        <v>158</v>
      </c>
      <c r="CP84" s="17" t="s">
        <v>158</v>
      </c>
      <c r="CQ84" s="17" t="s">
        <v>158</v>
      </c>
      <c r="CR84" s="17" t="s">
        <v>158</v>
      </c>
      <c r="CS84" s="17" t="s">
        <v>158</v>
      </c>
      <c r="CT84" s="17" t="s">
        <v>158</v>
      </c>
      <c r="CU84" s="17" t="s">
        <v>158</v>
      </c>
      <c r="CV84" s="17" t="s">
        <v>158</v>
      </c>
      <c r="CW84" s="17" t="s">
        <v>158</v>
      </c>
      <c r="CX84" s="17" t="s">
        <v>158</v>
      </c>
      <c r="CY84" s="67" t="s">
        <v>158</v>
      </c>
    </row>
    <row r="85" spans="1:103" x14ac:dyDescent="0.2">
      <c r="A85" s="32" t="s">
        <v>23</v>
      </c>
      <c r="B85" s="14" t="s">
        <v>23</v>
      </c>
      <c r="C85" s="14" t="s">
        <v>20</v>
      </c>
      <c r="G85" s="28">
        <v>43678</v>
      </c>
      <c r="H85" s="16">
        <v>2019</v>
      </c>
      <c r="I85" s="135" t="s">
        <v>33</v>
      </c>
      <c r="J85" s="135">
        <v>10</v>
      </c>
      <c r="K85" s="136">
        <v>0.46467104082329602</v>
      </c>
      <c r="L85" s="5" t="s">
        <v>158</v>
      </c>
      <c r="M85" s="5">
        <v>0.31191842590694818</v>
      </c>
      <c r="N85" s="5">
        <v>1.9880610780897727</v>
      </c>
      <c r="O85" s="5">
        <v>8.9203217872514866</v>
      </c>
      <c r="P85" s="5">
        <v>7.0067021930723508</v>
      </c>
      <c r="Q85" s="5">
        <v>14.893195326911254</v>
      </c>
      <c r="R85" s="5">
        <v>13.510043041606886</v>
      </c>
      <c r="S85" s="5">
        <v>4.9397417503586807</v>
      </c>
      <c r="T85" s="5">
        <v>51.569983603197379</v>
      </c>
      <c r="U85" s="17">
        <f t="shared" si="4"/>
        <v>479.51429608318801</v>
      </c>
      <c r="V85" s="5" t="s">
        <v>60</v>
      </c>
      <c r="W85" s="5">
        <v>0.15767696190726829</v>
      </c>
      <c r="X85" s="5">
        <v>2.1890892758594325E-2</v>
      </c>
      <c r="Y85" s="5">
        <v>4.8405398615509541E-2</v>
      </c>
      <c r="Z85" s="5" t="s">
        <v>72</v>
      </c>
      <c r="AA85" s="5">
        <v>2.0825950649652775E-2</v>
      </c>
      <c r="AB85" s="5">
        <v>3.2412519504941152E-2</v>
      </c>
      <c r="AC85" s="5" t="s">
        <v>65</v>
      </c>
      <c r="AD85" s="5">
        <v>0.28121172343596612</v>
      </c>
      <c r="AE85" s="17">
        <f t="shared" si="8"/>
        <v>0.28121172343596607</v>
      </c>
      <c r="AF85" s="5" t="s">
        <v>72</v>
      </c>
      <c r="AG85" s="18" t="s">
        <v>158</v>
      </c>
      <c r="AH85" s="18">
        <v>6.9633767846058339</v>
      </c>
      <c r="AI85" s="5" t="s">
        <v>69</v>
      </c>
      <c r="AJ85" s="5" t="s">
        <v>65</v>
      </c>
      <c r="AK85" s="5" t="s">
        <v>69</v>
      </c>
      <c r="AL85" s="5" t="s">
        <v>69</v>
      </c>
      <c r="AM85" s="5" t="s">
        <v>126</v>
      </c>
      <c r="AN85" s="5">
        <v>0.48396441133871304</v>
      </c>
      <c r="AO85" s="5" t="s">
        <v>126</v>
      </c>
      <c r="AP85" s="5" t="s">
        <v>69</v>
      </c>
      <c r="AQ85" s="5">
        <v>0.34143734050624175</v>
      </c>
      <c r="AR85" s="5" t="s">
        <v>65</v>
      </c>
      <c r="AS85" s="5" t="s">
        <v>158</v>
      </c>
      <c r="AT85" s="5" t="s">
        <v>158</v>
      </c>
      <c r="AU85" s="5" t="s">
        <v>158</v>
      </c>
      <c r="AV85" s="5" t="s">
        <v>158</v>
      </c>
      <c r="AW85" s="5" t="s">
        <v>158</v>
      </c>
      <c r="BC85" s="17" t="s">
        <v>158</v>
      </c>
      <c r="BD85" s="17" t="s">
        <v>158</v>
      </c>
      <c r="BE85" s="17" t="s">
        <v>158</v>
      </c>
      <c r="BF85" s="17" t="s">
        <v>158</v>
      </c>
      <c r="BG85" s="17" t="s">
        <v>158</v>
      </c>
      <c r="BH85" s="17" t="s">
        <v>158</v>
      </c>
      <c r="BI85" s="17" t="s">
        <v>158</v>
      </c>
      <c r="BJ85" s="17" t="s">
        <v>158</v>
      </c>
      <c r="BK85" s="17" t="s">
        <v>158</v>
      </c>
      <c r="BL85" s="17" t="s">
        <v>158</v>
      </c>
      <c r="BM85" s="17" t="s">
        <v>158</v>
      </c>
      <c r="BN85" s="17">
        <v>300</v>
      </c>
      <c r="BO85" s="17" t="s">
        <v>158</v>
      </c>
      <c r="BP85" s="17" t="s">
        <v>158</v>
      </c>
      <c r="BQ85" s="17" t="s">
        <v>158</v>
      </c>
      <c r="BR85" s="17" t="s">
        <v>158</v>
      </c>
      <c r="BS85" s="17" t="s">
        <v>158</v>
      </c>
      <c r="BT85" s="17" t="s">
        <v>158</v>
      </c>
      <c r="BU85" s="17" t="s">
        <v>158</v>
      </c>
      <c r="BV85" s="17" t="s">
        <v>158</v>
      </c>
      <c r="BW85" s="17" t="s">
        <v>158</v>
      </c>
      <c r="BX85" s="17" t="s">
        <v>158</v>
      </c>
      <c r="BY85" s="17" t="s">
        <v>158</v>
      </c>
      <c r="BZ85" s="17" t="s">
        <v>158</v>
      </c>
      <c r="CA85" s="17" t="s">
        <v>158</v>
      </c>
      <c r="CB85" s="17" t="s">
        <v>158</v>
      </c>
      <c r="CC85" s="17" t="s">
        <v>158</v>
      </c>
      <c r="CD85" s="17" t="s">
        <v>158</v>
      </c>
      <c r="CE85" s="17" t="s">
        <v>158</v>
      </c>
      <c r="CF85" s="17" t="s">
        <v>158</v>
      </c>
      <c r="CG85" s="17" t="s">
        <v>158</v>
      </c>
      <c r="CH85" s="17" t="s">
        <v>158</v>
      </c>
      <c r="CI85" s="17" t="s">
        <v>158</v>
      </c>
      <c r="CJ85" s="17" t="s">
        <v>158</v>
      </c>
      <c r="CK85" s="17" t="s">
        <v>158</v>
      </c>
      <c r="CL85" s="17" t="s">
        <v>158</v>
      </c>
      <c r="CM85" s="17" t="s">
        <v>158</v>
      </c>
      <c r="CN85" s="17" t="s">
        <v>158</v>
      </c>
      <c r="CO85" s="17" t="s">
        <v>158</v>
      </c>
      <c r="CP85" s="17" t="s">
        <v>158</v>
      </c>
      <c r="CQ85" s="17" t="s">
        <v>158</v>
      </c>
      <c r="CR85" s="17" t="s">
        <v>158</v>
      </c>
      <c r="CS85" s="17" t="s">
        <v>158</v>
      </c>
      <c r="CT85" s="17" t="s">
        <v>158</v>
      </c>
      <c r="CU85" s="17" t="s">
        <v>158</v>
      </c>
      <c r="CV85" s="17" t="s">
        <v>158</v>
      </c>
      <c r="CW85" s="17" t="s">
        <v>158</v>
      </c>
      <c r="CX85" s="17" t="s">
        <v>158</v>
      </c>
      <c r="CY85" s="67" t="s">
        <v>158</v>
      </c>
    </row>
    <row r="86" spans="1:103" x14ac:dyDescent="0.2">
      <c r="A86" s="32" t="s">
        <v>6</v>
      </c>
      <c r="B86" s="14" t="s">
        <v>6</v>
      </c>
      <c r="C86" s="14" t="s">
        <v>20</v>
      </c>
      <c r="G86" s="28">
        <v>43686</v>
      </c>
      <c r="H86" s="16">
        <v>2019</v>
      </c>
      <c r="I86" s="135" t="s">
        <v>33</v>
      </c>
      <c r="J86" s="135">
        <v>10</v>
      </c>
      <c r="K86" s="136">
        <v>0.36286225748701401</v>
      </c>
      <c r="L86" s="5" t="s">
        <v>158</v>
      </c>
      <c r="M86" s="5">
        <v>5.2229475039073277E-2</v>
      </c>
      <c r="N86" s="5">
        <v>0.25123655419692925</v>
      </c>
      <c r="O86" s="5">
        <v>1.1696331709110968</v>
      </c>
      <c r="P86" s="5">
        <v>0.86850234439643281</v>
      </c>
      <c r="Q86" s="5">
        <v>2.5151696239771995</v>
      </c>
      <c r="R86" s="5">
        <v>2.1407557230854093</v>
      </c>
      <c r="S86" s="5">
        <v>0.84689712236830006</v>
      </c>
      <c r="T86" s="5">
        <v>7.8444240139744403</v>
      </c>
      <c r="U86" s="17">
        <f t="shared" si="4"/>
        <v>96.123549992350192</v>
      </c>
      <c r="V86" s="5" t="s">
        <v>60</v>
      </c>
      <c r="W86" s="5">
        <v>8.4790038995946462E-2</v>
      </c>
      <c r="X86" s="5">
        <v>2.3180954800777261E-2</v>
      </c>
      <c r="Y86" s="5">
        <v>6.2134026043462673E-2</v>
      </c>
      <c r="Z86" s="5" t="s">
        <v>72</v>
      </c>
      <c r="AA86" s="5" t="s">
        <v>56</v>
      </c>
      <c r="AB86" s="5" t="s">
        <v>60</v>
      </c>
      <c r="AC86" s="5" t="s">
        <v>65</v>
      </c>
      <c r="AD86" s="5">
        <v>0.17010501984018639</v>
      </c>
      <c r="AE86" s="17">
        <f t="shared" si="8"/>
        <v>0.17010501984018639</v>
      </c>
      <c r="AF86" s="5">
        <v>1.5077686862186265E-2</v>
      </c>
      <c r="AG86" s="18">
        <f>AF86*(5/K86)</f>
        <v>0.20776047316971041</v>
      </c>
      <c r="AH86" s="18">
        <v>9.2348142868456495</v>
      </c>
      <c r="AI86" s="5" t="s">
        <v>69</v>
      </c>
      <c r="AJ86" s="5" t="s">
        <v>65</v>
      </c>
      <c r="AK86" s="5" t="s">
        <v>69</v>
      </c>
      <c r="AL86" s="5" t="s">
        <v>69</v>
      </c>
      <c r="AM86" s="5" t="s">
        <v>126</v>
      </c>
      <c r="AN86" s="5">
        <v>0.85198384414350192</v>
      </c>
      <c r="AO86" s="5" t="s">
        <v>126</v>
      </c>
      <c r="AP86" s="5" t="s">
        <v>69</v>
      </c>
      <c r="AQ86" s="5">
        <v>0.3896676434096249</v>
      </c>
      <c r="AR86" s="5" t="s">
        <v>65</v>
      </c>
      <c r="AS86" s="5" t="s">
        <v>158</v>
      </c>
      <c r="AT86" s="5" t="s">
        <v>158</v>
      </c>
      <c r="AU86" s="5" t="s">
        <v>158</v>
      </c>
      <c r="AV86" s="5" t="s">
        <v>158</v>
      </c>
      <c r="AW86" s="5" t="s">
        <v>158</v>
      </c>
      <c r="BC86" s="17" t="s">
        <v>158</v>
      </c>
      <c r="BD86" s="17" t="s">
        <v>158</v>
      </c>
      <c r="BE86" s="17" t="s">
        <v>158</v>
      </c>
      <c r="BF86" s="17" t="s">
        <v>158</v>
      </c>
      <c r="BG86" s="17" t="s">
        <v>158</v>
      </c>
      <c r="BH86" s="17" t="s">
        <v>158</v>
      </c>
      <c r="BI86" s="17" t="s">
        <v>158</v>
      </c>
      <c r="BJ86" s="17" t="s">
        <v>158</v>
      </c>
      <c r="BK86" s="17" t="s">
        <v>158</v>
      </c>
      <c r="BL86" s="17" t="s">
        <v>158</v>
      </c>
      <c r="BM86" s="17" t="s">
        <v>158</v>
      </c>
      <c r="BN86" s="17">
        <v>42</v>
      </c>
      <c r="BO86" s="17" t="s">
        <v>158</v>
      </c>
      <c r="BP86" s="17" t="s">
        <v>158</v>
      </c>
      <c r="BQ86" s="17" t="s">
        <v>158</v>
      </c>
      <c r="BR86" s="17" t="s">
        <v>158</v>
      </c>
      <c r="BS86" s="17" t="s">
        <v>158</v>
      </c>
      <c r="BT86" s="17" t="s">
        <v>158</v>
      </c>
      <c r="BU86" s="17" t="s">
        <v>158</v>
      </c>
      <c r="BV86" s="17" t="s">
        <v>158</v>
      </c>
      <c r="BW86" s="17" t="s">
        <v>158</v>
      </c>
      <c r="BX86" s="17" t="s">
        <v>158</v>
      </c>
      <c r="BY86" s="17" t="s">
        <v>158</v>
      </c>
      <c r="BZ86" s="17" t="s">
        <v>158</v>
      </c>
      <c r="CA86" s="17" t="s">
        <v>158</v>
      </c>
      <c r="CB86" s="17" t="s">
        <v>158</v>
      </c>
      <c r="CC86" s="17" t="s">
        <v>158</v>
      </c>
      <c r="CD86" s="17" t="s">
        <v>158</v>
      </c>
      <c r="CE86" s="17" t="s">
        <v>158</v>
      </c>
      <c r="CF86" s="17" t="s">
        <v>158</v>
      </c>
      <c r="CG86" s="17" t="s">
        <v>158</v>
      </c>
      <c r="CH86" s="17" t="s">
        <v>158</v>
      </c>
      <c r="CI86" s="17" t="s">
        <v>158</v>
      </c>
      <c r="CJ86" s="17" t="s">
        <v>158</v>
      </c>
      <c r="CK86" s="17" t="s">
        <v>158</v>
      </c>
      <c r="CL86" s="17" t="s">
        <v>158</v>
      </c>
      <c r="CM86" s="17" t="s">
        <v>158</v>
      </c>
      <c r="CN86" s="17" t="s">
        <v>158</v>
      </c>
      <c r="CO86" s="17" t="s">
        <v>158</v>
      </c>
      <c r="CP86" s="17" t="s">
        <v>158</v>
      </c>
      <c r="CQ86" s="17" t="s">
        <v>158</v>
      </c>
      <c r="CR86" s="17" t="s">
        <v>158</v>
      </c>
      <c r="CS86" s="17" t="s">
        <v>158</v>
      </c>
      <c r="CT86" s="17" t="s">
        <v>158</v>
      </c>
      <c r="CU86" s="17" t="s">
        <v>158</v>
      </c>
      <c r="CV86" s="17" t="s">
        <v>158</v>
      </c>
      <c r="CW86" s="17" t="s">
        <v>158</v>
      </c>
      <c r="CX86" s="17" t="s">
        <v>158</v>
      </c>
      <c r="CY86" s="67" t="s">
        <v>158</v>
      </c>
    </row>
    <row r="87" spans="1:103" x14ac:dyDescent="0.2">
      <c r="A87" s="32" t="s">
        <v>81</v>
      </c>
      <c r="B87" s="14" t="s">
        <v>81</v>
      </c>
      <c r="C87" s="14" t="s">
        <v>20</v>
      </c>
      <c r="G87" s="28">
        <v>43692</v>
      </c>
      <c r="H87" s="16">
        <v>2019</v>
      </c>
      <c r="I87" s="135" t="s">
        <v>33</v>
      </c>
      <c r="J87" s="135">
        <v>10</v>
      </c>
      <c r="K87" s="136">
        <v>0.48309178743959896</v>
      </c>
      <c r="L87" s="5" t="s">
        <v>158</v>
      </c>
      <c r="M87" s="5">
        <v>3.4749022432137462E-2</v>
      </c>
      <c r="N87" s="5">
        <v>9.8759325314898644E-2</v>
      </c>
      <c r="O87" s="5">
        <v>0.28674506619572965</v>
      </c>
      <c r="P87" s="5">
        <v>0.22383029048924669</v>
      </c>
      <c r="Q87" s="5">
        <v>0.55442585086243878</v>
      </c>
      <c r="R87" s="5">
        <v>0.53012666363741601</v>
      </c>
      <c r="S87" s="5">
        <v>0.23471806766413206</v>
      </c>
      <c r="T87" s="5">
        <v>1.9633542865959994</v>
      </c>
      <c r="U87" s="17">
        <f t="shared" si="4"/>
        <v>18.004073359705433</v>
      </c>
      <c r="V87" s="5" t="s">
        <v>60</v>
      </c>
      <c r="W87" s="5">
        <v>4.8472958549214989E-2</v>
      </c>
      <c r="X87" s="5">
        <v>1.4226669877088073E-2</v>
      </c>
      <c r="Y87" s="5">
        <v>5.1943418290425321E-2</v>
      </c>
      <c r="Z87" s="5">
        <v>1.7209770388279467E-2</v>
      </c>
      <c r="AA87" s="5" t="s">
        <v>56</v>
      </c>
      <c r="AB87" s="5" t="s">
        <v>60</v>
      </c>
      <c r="AC87" s="5" t="s">
        <v>65</v>
      </c>
      <c r="AD87" s="5">
        <v>0.13185281710500785</v>
      </c>
      <c r="AE87" s="17">
        <f t="shared" si="8"/>
        <v>0.11464304671672837</v>
      </c>
      <c r="AF87" s="5" t="s">
        <v>72</v>
      </c>
      <c r="AG87" s="18" t="s">
        <v>158</v>
      </c>
      <c r="AH87" s="18">
        <v>8.5221736414740796</v>
      </c>
      <c r="AI87" s="5" t="s">
        <v>69</v>
      </c>
      <c r="AJ87" s="5" t="s">
        <v>65</v>
      </c>
      <c r="AK87" s="5" t="s">
        <v>69</v>
      </c>
      <c r="AL87" s="5" t="s">
        <v>69</v>
      </c>
      <c r="AM87" s="5" t="s">
        <v>126</v>
      </c>
      <c r="AN87" s="5">
        <v>1.1651646292495761</v>
      </c>
      <c r="AO87" s="5">
        <v>1.6701525832069242</v>
      </c>
      <c r="AP87" s="5" t="s">
        <v>69</v>
      </c>
      <c r="AQ87" s="5">
        <v>1.2679872698610988</v>
      </c>
      <c r="AR87" s="5">
        <v>0.36716932869337615</v>
      </c>
      <c r="AS87" s="5" t="s">
        <v>158</v>
      </c>
      <c r="AT87" s="5" t="s">
        <v>158</v>
      </c>
      <c r="AU87" s="5" t="s">
        <v>158</v>
      </c>
      <c r="AV87" s="5" t="s">
        <v>158</v>
      </c>
      <c r="AW87" s="5" t="s">
        <v>158</v>
      </c>
      <c r="BC87" s="17" t="s">
        <v>158</v>
      </c>
      <c r="BD87" s="17" t="s">
        <v>158</v>
      </c>
      <c r="BE87" s="17" t="s">
        <v>158</v>
      </c>
      <c r="BF87" s="17" t="s">
        <v>158</v>
      </c>
      <c r="BG87" s="17" t="s">
        <v>158</v>
      </c>
      <c r="BH87" s="17" t="s">
        <v>158</v>
      </c>
      <c r="BI87" s="17" t="s">
        <v>158</v>
      </c>
      <c r="BJ87" s="17" t="s">
        <v>158</v>
      </c>
      <c r="BK87" s="17" t="s">
        <v>158</v>
      </c>
      <c r="BL87" s="17" t="s">
        <v>158</v>
      </c>
      <c r="BM87" s="17" t="s">
        <v>158</v>
      </c>
      <c r="BN87" s="17">
        <v>16</v>
      </c>
      <c r="BO87" s="17" t="s">
        <v>158</v>
      </c>
      <c r="BP87" s="17" t="s">
        <v>158</v>
      </c>
      <c r="BQ87" s="17" t="s">
        <v>158</v>
      </c>
      <c r="BR87" s="17" t="s">
        <v>158</v>
      </c>
      <c r="BS87" s="17" t="s">
        <v>158</v>
      </c>
      <c r="BT87" s="17" t="s">
        <v>158</v>
      </c>
      <c r="BU87" s="17" t="s">
        <v>158</v>
      </c>
      <c r="BV87" s="17" t="s">
        <v>158</v>
      </c>
      <c r="BW87" s="17" t="s">
        <v>158</v>
      </c>
      <c r="BX87" s="17" t="s">
        <v>158</v>
      </c>
      <c r="BY87" s="17" t="s">
        <v>158</v>
      </c>
      <c r="BZ87" s="17" t="s">
        <v>158</v>
      </c>
      <c r="CA87" s="17" t="s">
        <v>158</v>
      </c>
      <c r="CB87" s="17" t="s">
        <v>158</v>
      </c>
      <c r="CC87" s="17" t="s">
        <v>158</v>
      </c>
      <c r="CD87" s="17" t="s">
        <v>158</v>
      </c>
      <c r="CE87" s="17" t="s">
        <v>158</v>
      </c>
      <c r="CF87" s="17" t="s">
        <v>158</v>
      </c>
      <c r="CG87" s="17" t="s">
        <v>158</v>
      </c>
      <c r="CH87" s="17" t="s">
        <v>158</v>
      </c>
      <c r="CI87" s="17" t="s">
        <v>158</v>
      </c>
      <c r="CJ87" s="17" t="s">
        <v>158</v>
      </c>
      <c r="CK87" s="17" t="s">
        <v>158</v>
      </c>
      <c r="CL87" s="17" t="s">
        <v>158</v>
      </c>
      <c r="CM87" s="17" t="s">
        <v>158</v>
      </c>
      <c r="CN87" s="17" t="s">
        <v>158</v>
      </c>
      <c r="CO87" s="17" t="s">
        <v>158</v>
      </c>
      <c r="CP87" s="17" t="s">
        <v>158</v>
      </c>
      <c r="CQ87" s="17" t="s">
        <v>158</v>
      </c>
      <c r="CR87" s="17" t="s">
        <v>158</v>
      </c>
      <c r="CS87" s="17" t="s">
        <v>158</v>
      </c>
      <c r="CT87" s="17" t="s">
        <v>158</v>
      </c>
      <c r="CU87" s="17" t="s">
        <v>158</v>
      </c>
      <c r="CV87" s="17" t="s">
        <v>158</v>
      </c>
      <c r="CW87" s="17" t="s">
        <v>158</v>
      </c>
      <c r="CX87" s="17" t="s">
        <v>158</v>
      </c>
      <c r="CY87" s="67" t="s">
        <v>158</v>
      </c>
    </row>
    <row r="88" spans="1:103" x14ac:dyDescent="0.2">
      <c r="A88" s="32" t="s">
        <v>26</v>
      </c>
      <c r="B88" s="14" t="s">
        <v>26</v>
      </c>
      <c r="C88" s="14" t="s">
        <v>20</v>
      </c>
      <c r="G88" s="28">
        <v>43692</v>
      </c>
      <c r="H88" s="16">
        <v>2019</v>
      </c>
      <c r="I88" s="135" t="s">
        <v>33</v>
      </c>
      <c r="J88" s="135">
        <v>10</v>
      </c>
      <c r="K88" s="136">
        <v>0.39299937120102102</v>
      </c>
      <c r="L88" s="5" t="s">
        <v>158</v>
      </c>
      <c r="M88" s="5">
        <v>2.7408847836655328E-2</v>
      </c>
      <c r="N88" s="5">
        <v>2.8522119591638306E-2</v>
      </c>
      <c r="O88" s="5">
        <v>0.14955760816723385</v>
      </c>
      <c r="P88" s="5">
        <v>0.16347107438016528</v>
      </c>
      <c r="Q88" s="5">
        <v>0.41700534759358288</v>
      </c>
      <c r="R88" s="5">
        <v>0.40359747204666985</v>
      </c>
      <c r="S88" s="5">
        <v>0.15572192513368982</v>
      </c>
      <c r="T88" s="5">
        <v>1.3452843947496353</v>
      </c>
      <c r="U88" s="17">
        <f t="shared" si="4"/>
        <v>15.035816937286741</v>
      </c>
      <c r="V88" s="5" t="s">
        <v>60</v>
      </c>
      <c r="W88" s="5" t="s">
        <v>72</v>
      </c>
      <c r="X88" s="5" t="s">
        <v>60</v>
      </c>
      <c r="Y88" s="5" t="s">
        <v>62</v>
      </c>
      <c r="Z88" s="5">
        <v>1.8104621981435177E-2</v>
      </c>
      <c r="AA88" s="5" t="s">
        <v>56</v>
      </c>
      <c r="AB88" s="5" t="s">
        <v>60</v>
      </c>
      <c r="AC88" s="5" t="s">
        <v>65</v>
      </c>
      <c r="AD88" s="5">
        <v>1.8104621981435177E-2</v>
      </c>
      <c r="AE88" s="17">
        <f t="shared" si="8"/>
        <v>0</v>
      </c>
      <c r="AF88" s="5" t="s">
        <v>72</v>
      </c>
      <c r="AG88" s="18" t="s">
        <v>158</v>
      </c>
      <c r="AH88" s="18">
        <v>1.9319727891156462</v>
      </c>
      <c r="AI88" s="5" t="s">
        <v>69</v>
      </c>
      <c r="AJ88" s="5" t="s">
        <v>65</v>
      </c>
      <c r="AK88" s="5" t="s">
        <v>69</v>
      </c>
      <c r="AL88" s="5" t="s">
        <v>69</v>
      </c>
      <c r="AM88" s="5" t="s">
        <v>126</v>
      </c>
      <c r="AN88" s="5">
        <v>0.24526239067055391</v>
      </c>
      <c r="AO88" s="5" t="s">
        <v>126</v>
      </c>
      <c r="AP88" s="5" t="s">
        <v>69</v>
      </c>
      <c r="AQ88" s="5" t="s">
        <v>69</v>
      </c>
      <c r="AR88" s="5" t="s">
        <v>65</v>
      </c>
      <c r="AS88" s="5" t="s">
        <v>158</v>
      </c>
      <c r="AT88" s="5" t="s">
        <v>158</v>
      </c>
      <c r="AU88" s="5" t="s">
        <v>158</v>
      </c>
      <c r="AV88" s="5" t="s">
        <v>158</v>
      </c>
      <c r="AW88" s="5" t="s">
        <v>158</v>
      </c>
      <c r="BC88" s="17" t="s">
        <v>158</v>
      </c>
      <c r="BD88" s="17" t="s">
        <v>158</v>
      </c>
      <c r="BE88" s="17" t="s">
        <v>158</v>
      </c>
      <c r="BF88" s="17" t="s">
        <v>158</v>
      </c>
      <c r="BG88" s="17" t="s">
        <v>158</v>
      </c>
      <c r="BH88" s="17" t="s">
        <v>158</v>
      </c>
      <c r="BI88" s="17" t="s">
        <v>158</v>
      </c>
      <c r="BJ88" s="17" t="s">
        <v>158</v>
      </c>
      <c r="BK88" s="17" t="s">
        <v>158</v>
      </c>
      <c r="BL88" s="17" t="s">
        <v>158</v>
      </c>
      <c r="BM88" s="17" t="s">
        <v>158</v>
      </c>
      <c r="BN88" s="17">
        <v>37</v>
      </c>
      <c r="BO88" s="17" t="s">
        <v>158</v>
      </c>
      <c r="BP88" s="17" t="s">
        <v>158</v>
      </c>
      <c r="BQ88" s="17" t="s">
        <v>158</v>
      </c>
      <c r="BR88" s="17" t="s">
        <v>158</v>
      </c>
      <c r="BS88" s="17" t="s">
        <v>158</v>
      </c>
      <c r="BT88" s="17" t="s">
        <v>158</v>
      </c>
      <c r="BU88" s="17" t="s">
        <v>158</v>
      </c>
      <c r="BV88" s="17" t="s">
        <v>158</v>
      </c>
      <c r="BW88" s="17" t="s">
        <v>158</v>
      </c>
      <c r="BX88" s="17" t="s">
        <v>158</v>
      </c>
      <c r="BY88" s="17" t="s">
        <v>158</v>
      </c>
      <c r="BZ88" s="17" t="s">
        <v>158</v>
      </c>
      <c r="CA88" s="17" t="s">
        <v>158</v>
      </c>
      <c r="CB88" s="17" t="s">
        <v>158</v>
      </c>
      <c r="CC88" s="17" t="s">
        <v>158</v>
      </c>
      <c r="CD88" s="17" t="s">
        <v>158</v>
      </c>
      <c r="CE88" s="17" t="s">
        <v>158</v>
      </c>
      <c r="CF88" s="17" t="s">
        <v>158</v>
      </c>
      <c r="CG88" s="17" t="s">
        <v>158</v>
      </c>
      <c r="CH88" s="17" t="s">
        <v>158</v>
      </c>
      <c r="CI88" s="17" t="s">
        <v>158</v>
      </c>
      <c r="CJ88" s="17" t="s">
        <v>158</v>
      </c>
      <c r="CK88" s="17" t="s">
        <v>158</v>
      </c>
      <c r="CL88" s="17" t="s">
        <v>158</v>
      </c>
      <c r="CM88" s="17" t="s">
        <v>158</v>
      </c>
      <c r="CN88" s="17" t="s">
        <v>158</v>
      </c>
      <c r="CO88" s="17" t="s">
        <v>158</v>
      </c>
      <c r="CP88" s="17" t="s">
        <v>158</v>
      </c>
      <c r="CQ88" s="17" t="s">
        <v>158</v>
      </c>
      <c r="CR88" s="17" t="s">
        <v>158</v>
      </c>
      <c r="CS88" s="17" t="s">
        <v>158</v>
      </c>
      <c r="CT88" s="17" t="s">
        <v>158</v>
      </c>
      <c r="CU88" s="17" t="s">
        <v>158</v>
      </c>
      <c r="CV88" s="17" t="s">
        <v>158</v>
      </c>
      <c r="CW88" s="17" t="s">
        <v>158</v>
      </c>
      <c r="CX88" s="17" t="s">
        <v>158</v>
      </c>
      <c r="CY88" s="67" t="s">
        <v>158</v>
      </c>
    </row>
    <row r="89" spans="1:103" x14ac:dyDescent="0.2">
      <c r="A89" s="32" t="s">
        <v>7</v>
      </c>
      <c r="B89" s="14" t="s">
        <v>7</v>
      </c>
      <c r="C89" s="14" t="s">
        <v>20</v>
      </c>
      <c r="G89" s="28">
        <v>43691</v>
      </c>
      <c r="H89" s="16">
        <v>2019</v>
      </c>
      <c r="I89" s="135" t="s">
        <v>33</v>
      </c>
      <c r="J89" s="135">
        <v>10</v>
      </c>
      <c r="K89" s="136">
        <v>0.41477587729210202</v>
      </c>
      <c r="L89" s="5" t="s">
        <v>158</v>
      </c>
      <c r="M89" s="5">
        <v>3.9912120102526552E-2</v>
      </c>
      <c r="N89" s="5">
        <v>0.21645917246429877</v>
      </c>
      <c r="O89" s="5">
        <v>0.91005126327352626</v>
      </c>
      <c r="P89" s="5">
        <v>0.90675576711827177</v>
      </c>
      <c r="Q89" s="5">
        <v>2.3846759428780668</v>
      </c>
      <c r="R89" s="5">
        <v>2.0504393994873675</v>
      </c>
      <c r="S89" s="5">
        <v>0.86931526913218604</v>
      </c>
      <c r="T89" s="5">
        <v>7.3776089344562443</v>
      </c>
      <c r="U89" s="17">
        <f t="shared" si="4"/>
        <v>78.004212896654707</v>
      </c>
      <c r="V89" s="5" t="s">
        <v>60</v>
      </c>
      <c r="W89" s="5">
        <v>6.9075613465190408E-2</v>
      </c>
      <c r="X89" s="5">
        <v>2.1512760275296073E-2</v>
      </c>
      <c r="Y89" s="5">
        <v>2.9993879133061476E-2</v>
      </c>
      <c r="Z89" s="5">
        <v>2.6511740130806316E-2</v>
      </c>
      <c r="AA89" s="5" t="s">
        <v>56</v>
      </c>
      <c r="AB89" s="5" t="s">
        <v>60</v>
      </c>
      <c r="AC89" s="5" t="s">
        <v>65</v>
      </c>
      <c r="AD89" s="5">
        <v>0.14709399300435427</v>
      </c>
      <c r="AE89" s="17">
        <f t="shared" si="8"/>
        <v>0.12058225287354796</v>
      </c>
      <c r="AF89" s="5">
        <v>1.6477480776272427E-2</v>
      </c>
      <c r="AG89" s="18">
        <f>AF89*(5/K89)</f>
        <v>0.19863113645671726</v>
      </c>
      <c r="AH89" s="18">
        <v>5.1242751229538275</v>
      </c>
      <c r="AI89" s="5" t="s">
        <v>69</v>
      </c>
      <c r="AJ89" s="5" t="s">
        <v>65</v>
      </c>
      <c r="AK89" s="5" t="s">
        <v>69</v>
      </c>
      <c r="AL89" s="5" t="s">
        <v>69</v>
      </c>
      <c r="AM89" s="5" t="s">
        <v>126</v>
      </c>
      <c r="AN89" s="5">
        <v>1.1640607795639726</v>
      </c>
      <c r="AO89" s="5">
        <v>0.542274095280041</v>
      </c>
      <c r="AP89" s="5" t="s">
        <v>69</v>
      </c>
      <c r="AQ89" s="5">
        <v>0.72747069906285933</v>
      </c>
      <c r="AR89" s="5" t="s">
        <v>65</v>
      </c>
      <c r="AS89" s="5" t="s">
        <v>158</v>
      </c>
      <c r="AT89" s="5" t="s">
        <v>158</v>
      </c>
      <c r="AU89" s="5" t="s">
        <v>158</v>
      </c>
      <c r="AV89" s="5" t="s">
        <v>158</v>
      </c>
      <c r="AW89" s="5" t="s">
        <v>158</v>
      </c>
      <c r="BC89" s="17" t="s">
        <v>158</v>
      </c>
      <c r="BD89" s="17" t="s">
        <v>158</v>
      </c>
      <c r="BE89" s="17" t="s">
        <v>158</v>
      </c>
      <c r="BF89" s="17" t="s">
        <v>158</v>
      </c>
      <c r="BG89" s="17" t="s">
        <v>158</v>
      </c>
      <c r="BH89" s="17" t="s">
        <v>158</v>
      </c>
      <c r="BI89" s="17" t="s">
        <v>158</v>
      </c>
      <c r="BJ89" s="17" t="s">
        <v>158</v>
      </c>
      <c r="BK89" s="17" t="s">
        <v>158</v>
      </c>
      <c r="BL89" s="17" t="s">
        <v>158</v>
      </c>
      <c r="BM89" s="17" t="s">
        <v>158</v>
      </c>
      <c r="BN89" s="17">
        <v>140</v>
      </c>
      <c r="BO89" s="17" t="s">
        <v>158</v>
      </c>
      <c r="BP89" s="17" t="s">
        <v>158</v>
      </c>
      <c r="BQ89" s="17" t="s">
        <v>158</v>
      </c>
      <c r="BR89" s="17" t="s">
        <v>158</v>
      </c>
      <c r="BS89" s="17" t="s">
        <v>158</v>
      </c>
      <c r="BT89" s="17" t="s">
        <v>158</v>
      </c>
      <c r="BU89" s="17" t="s">
        <v>158</v>
      </c>
      <c r="BV89" s="17" t="s">
        <v>158</v>
      </c>
      <c r="BW89" s="17" t="s">
        <v>158</v>
      </c>
      <c r="BX89" s="17" t="s">
        <v>158</v>
      </c>
      <c r="BY89" s="17" t="s">
        <v>158</v>
      </c>
      <c r="BZ89" s="17" t="s">
        <v>158</v>
      </c>
      <c r="CA89" s="17" t="s">
        <v>158</v>
      </c>
      <c r="CB89" s="17" t="s">
        <v>158</v>
      </c>
      <c r="CC89" s="17" t="s">
        <v>158</v>
      </c>
      <c r="CD89" s="17" t="s">
        <v>158</v>
      </c>
      <c r="CE89" s="17" t="s">
        <v>158</v>
      </c>
      <c r="CF89" s="17" t="s">
        <v>158</v>
      </c>
      <c r="CG89" s="17" t="s">
        <v>158</v>
      </c>
      <c r="CH89" s="17" t="s">
        <v>158</v>
      </c>
      <c r="CI89" s="17" t="s">
        <v>158</v>
      </c>
      <c r="CJ89" s="17" t="s">
        <v>158</v>
      </c>
      <c r="CK89" s="17" t="s">
        <v>158</v>
      </c>
      <c r="CL89" s="17" t="s">
        <v>158</v>
      </c>
      <c r="CM89" s="17" t="s">
        <v>158</v>
      </c>
      <c r="CN89" s="17" t="s">
        <v>158</v>
      </c>
      <c r="CO89" s="17" t="s">
        <v>158</v>
      </c>
      <c r="CP89" s="17" t="s">
        <v>158</v>
      </c>
      <c r="CQ89" s="17" t="s">
        <v>158</v>
      </c>
      <c r="CR89" s="17" t="s">
        <v>158</v>
      </c>
      <c r="CS89" s="17" t="s">
        <v>158</v>
      </c>
      <c r="CT89" s="17" t="s">
        <v>158</v>
      </c>
      <c r="CU89" s="17" t="s">
        <v>158</v>
      </c>
      <c r="CV89" s="17" t="s">
        <v>158</v>
      </c>
      <c r="CW89" s="17" t="s">
        <v>158</v>
      </c>
      <c r="CX89" s="17" t="s">
        <v>158</v>
      </c>
      <c r="CY89" s="67" t="s">
        <v>158</v>
      </c>
    </row>
    <row r="90" spans="1:103" x14ac:dyDescent="0.2">
      <c r="A90" s="32" t="s">
        <v>8</v>
      </c>
      <c r="B90" s="14" t="s">
        <v>8</v>
      </c>
      <c r="C90" s="14" t="s">
        <v>20</v>
      </c>
      <c r="G90" s="28">
        <v>43712</v>
      </c>
      <c r="H90" s="16">
        <v>2019</v>
      </c>
      <c r="I90" s="135" t="s">
        <v>33</v>
      </c>
      <c r="J90" s="135">
        <v>10</v>
      </c>
      <c r="K90" s="136">
        <v>0.42815814850533396</v>
      </c>
      <c r="L90" s="5" t="s">
        <v>158</v>
      </c>
      <c r="M90" s="5" t="s">
        <v>62</v>
      </c>
      <c r="N90" s="5">
        <v>5.5020698950611339E-2</v>
      </c>
      <c r="O90" s="5">
        <v>0.42993164532588812</v>
      </c>
      <c r="P90" s="5">
        <v>0.38628092808318087</v>
      </c>
      <c r="Q90" s="5">
        <v>1.9109078656012319</v>
      </c>
      <c r="R90" s="5">
        <v>1.453643978049485</v>
      </c>
      <c r="S90" s="5">
        <v>0.82737075190141518</v>
      </c>
      <c r="T90" s="5">
        <v>5.0631558679118127</v>
      </c>
      <c r="U90" s="17">
        <f t="shared" si="4"/>
        <v>54.61620847524717</v>
      </c>
      <c r="V90" s="5" t="s">
        <v>60</v>
      </c>
      <c r="W90" s="5">
        <v>4.1963125618521668E-2</v>
      </c>
      <c r="X90" s="5">
        <v>1.8856955595146985E-2</v>
      </c>
      <c r="Y90" s="5">
        <v>3.8942599699661018E-2</v>
      </c>
      <c r="Z90" s="5" t="s">
        <v>72</v>
      </c>
      <c r="AA90" s="5" t="s">
        <v>56</v>
      </c>
      <c r="AB90" s="5" t="s">
        <v>60</v>
      </c>
      <c r="AC90" s="5" t="s">
        <v>65</v>
      </c>
      <c r="AD90" s="5">
        <v>9.9762680913329668E-2</v>
      </c>
      <c r="AE90" s="17">
        <f t="shared" si="8"/>
        <v>9.9762680913329668E-2</v>
      </c>
      <c r="AF90" s="5" t="s">
        <v>72</v>
      </c>
      <c r="AG90" s="18" t="s">
        <v>158</v>
      </c>
      <c r="AH90" s="18">
        <v>14.363227170428972</v>
      </c>
      <c r="AI90" s="5" t="s">
        <v>69</v>
      </c>
      <c r="AJ90" s="5" t="s">
        <v>65</v>
      </c>
      <c r="AK90" s="5" t="s">
        <v>69</v>
      </c>
      <c r="AL90" s="5" t="s">
        <v>69</v>
      </c>
      <c r="AM90" s="5" t="s">
        <v>126</v>
      </c>
      <c r="AN90" s="5">
        <v>2.4795744390643115</v>
      </c>
      <c r="AO90" s="5">
        <v>0.37764441110277569</v>
      </c>
      <c r="AP90" s="5" t="s">
        <v>69</v>
      </c>
      <c r="AQ90" s="5">
        <v>0.88047011752938253</v>
      </c>
      <c r="AR90" s="5" t="s">
        <v>65</v>
      </c>
      <c r="AS90" s="5" t="s">
        <v>158</v>
      </c>
      <c r="AT90" s="5" t="s">
        <v>158</v>
      </c>
      <c r="AU90" s="5" t="s">
        <v>158</v>
      </c>
      <c r="AV90" s="5" t="s">
        <v>158</v>
      </c>
      <c r="AW90" s="5" t="s">
        <v>158</v>
      </c>
      <c r="BC90" s="17" t="s">
        <v>158</v>
      </c>
      <c r="BD90" s="17" t="s">
        <v>158</v>
      </c>
      <c r="BE90" s="17" t="s">
        <v>158</v>
      </c>
      <c r="BF90" s="17" t="s">
        <v>158</v>
      </c>
      <c r="BG90" s="17" t="s">
        <v>158</v>
      </c>
      <c r="BH90" s="17" t="s">
        <v>158</v>
      </c>
      <c r="BI90" s="17" t="s">
        <v>158</v>
      </c>
      <c r="BJ90" s="17" t="s">
        <v>158</v>
      </c>
      <c r="BK90" s="17" t="s">
        <v>158</v>
      </c>
      <c r="BL90" s="17" t="s">
        <v>158</v>
      </c>
      <c r="BM90" s="17" t="s">
        <v>158</v>
      </c>
      <c r="BN90" s="17">
        <v>120</v>
      </c>
      <c r="BO90" s="17" t="s">
        <v>158</v>
      </c>
      <c r="BP90" s="17" t="s">
        <v>158</v>
      </c>
      <c r="BQ90" s="17" t="s">
        <v>158</v>
      </c>
      <c r="BR90" s="17" t="s">
        <v>158</v>
      </c>
      <c r="BS90" s="17" t="s">
        <v>158</v>
      </c>
      <c r="BT90" s="17" t="s">
        <v>158</v>
      </c>
      <c r="BU90" s="17" t="s">
        <v>158</v>
      </c>
      <c r="BV90" s="17" t="s">
        <v>158</v>
      </c>
      <c r="BW90" s="17" t="s">
        <v>158</v>
      </c>
      <c r="BX90" s="17" t="s">
        <v>158</v>
      </c>
      <c r="BY90" s="17" t="s">
        <v>158</v>
      </c>
      <c r="BZ90" s="17" t="s">
        <v>158</v>
      </c>
      <c r="CA90" s="17" t="s">
        <v>158</v>
      </c>
      <c r="CB90" s="17" t="s">
        <v>158</v>
      </c>
      <c r="CC90" s="17" t="s">
        <v>158</v>
      </c>
      <c r="CD90" s="17" t="s">
        <v>158</v>
      </c>
      <c r="CE90" s="17" t="s">
        <v>158</v>
      </c>
      <c r="CF90" s="17" t="s">
        <v>158</v>
      </c>
      <c r="CG90" s="17" t="s">
        <v>158</v>
      </c>
      <c r="CH90" s="17" t="s">
        <v>158</v>
      </c>
      <c r="CI90" s="17" t="s">
        <v>158</v>
      </c>
      <c r="CJ90" s="17" t="s">
        <v>158</v>
      </c>
      <c r="CK90" s="17" t="s">
        <v>158</v>
      </c>
      <c r="CL90" s="17" t="s">
        <v>158</v>
      </c>
      <c r="CM90" s="17" t="s">
        <v>158</v>
      </c>
      <c r="CN90" s="17" t="s">
        <v>158</v>
      </c>
      <c r="CO90" s="17" t="s">
        <v>158</v>
      </c>
      <c r="CP90" s="17" t="s">
        <v>158</v>
      </c>
      <c r="CQ90" s="17" t="s">
        <v>158</v>
      </c>
      <c r="CR90" s="17" t="s">
        <v>158</v>
      </c>
      <c r="CS90" s="17" t="s">
        <v>158</v>
      </c>
      <c r="CT90" s="17" t="s">
        <v>158</v>
      </c>
      <c r="CU90" s="17" t="s">
        <v>158</v>
      </c>
      <c r="CV90" s="17" t="s">
        <v>158</v>
      </c>
      <c r="CW90" s="17" t="s">
        <v>158</v>
      </c>
      <c r="CX90" s="17" t="s">
        <v>158</v>
      </c>
      <c r="CY90" s="67" t="s">
        <v>158</v>
      </c>
    </row>
    <row r="91" spans="1:103" x14ac:dyDescent="0.2">
      <c r="A91" s="32" t="s">
        <v>29</v>
      </c>
      <c r="B91" s="14" t="s">
        <v>29</v>
      </c>
      <c r="C91" s="14" t="s">
        <v>20</v>
      </c>
      <c r="G91" s="28">
        <v>43703</v>
      </c>
      <c r="H91" s="16">
        <v>2019</v>
      </c>
      <c r="I91" s="135" t="s">
        <v>33</v>
      </c>
      <c r="J91" s="135">
        <v>10</v>
      </c>
      <c r="K91" s="136">
        <v>0.25776381066721099</v>
      </c>
      <c r="L91" s="5" t="s">
        <v>158</v>
      </c>
      <c r="M91" s="5">
        <v>1.8235294117647058E-2</v>
      </c>
      <c r="N91" s="5">
        <v>5.033088235294117E-2</v>
      </c>
      <c r="O91" s="5">
        <v>0.31844669117647056</v>
      </c>
      <c r="P91" s="5">
        <v>0.35080882352941178</v>
      </c>
      <c r="Q91" s="5">
        <v>1.0370863970588236</v>
      </c>
      <c r="R91" s="5">
        <v>0.78079044117647045</v>
      </c>
      <c r="S91" s="5">
        <v>0.3138786764705882</v>
      </c>
      <c r="T91" s="5">
        <v>2.869577205882353</v>
      </c>
      <c r="U91" s="17">
        <f t="shared" si="4"/>
        <v>48.858068474259689</v>
      </c>
      <c r="V91" s="5" t="s">
        <v>60</v>
      </c>
      <c r="W91" s="5">
        <v>3.6886673667901416E-2</v>
      </c>
      <c r="X91" s="5" t="s">
        <v>60</v>
      </c>
      <c r="Y91" s="5">
        <v>2.4130546386092033E-2</v>
      </c>
      <c r="Z91" s="5" t="s">
        <v>72</v>
      </c>
      <c r="AA91" s="5" t="s">
        <v>56</v>
      </c>
      <c r="AB91" s="5" t="s">
        <v>60</v>
      </c>
      <c r="AC91" s="5" t="s">
        <v>65</v>
      </c>
      <c r="AD91" s="5">
        <v>6.1017220053993446E-2</v>
      </c>
      <c r="AE91" s="17">
        <f t="shared" si="8"/>
        <v>6.1017220053993446E-2</v>
      </c>
      <c r="AF91" s="5">
        <v>3.4742647058823524E-2</v>
      </c>
      <c r="AG91" s="18">
        <f>AF91*(5/K91)</f>
        <v>0.67392406577350039</v>
      </c>
      <c r="AH91" s="18">
        <v>23.714265821903503</v>
      </c>
      <c r="AI91" s="5" t="s">
        <v>69</v>
      </c>
      <c r="AJ91" s="5" t="s">
        <v>65</v>
      </c>
      <c r="AK91" s="5" t="s">
        <v>69</v>
      </c>
      <c r="AL91" s="5" t="s">
        <v>69</v>
      </c>
      <c r="AM91" s="5" t="s">
        <v>126</v>
      </c>
      <c r="AN91" s="5">
        <v>2.5174406461045744</v>
      </c>
      <c r="AO91" s="5">
        <v>0.4015456380978904</v>
      </c>
      <c r="AP91" s="5" t="s">
        <v>69</v>
      </c>
      <c r="AQ91" s="5">
        <v>0.7874631576504445</v>
      </c>
      <c r="AR91" s="5">
        <v>0.10547007356866021</v>
      </c>
      <c r="AS91" s="5" t="s">
        <v>158</v>
      </c>
      <c r="AT91" s="5" t="s">
        <v>158</v>
      </c>
      <c r="AU91" s="5" t="s">
        <v>158</v>
      </c>
      <c r="AV91" s="5" t="s">
        <v>158</v>
      </c>
      <c r="AW91" s="5" t="s">
        <v>158</v>
      </c>
      <c r="BC91" s="17" t="s">
        <v>158</v>
      </c>
      <c r="BD91" s="17" t="s">
        <v>158</v>
      </c>
      <c r="BE91" s="17" t="s">
        <v>158</v>
      </c>
      <c r="BF91" s="17" t="s">
        <v>158</v>
      </c>
      <c r="BG91" s="17" t="s">
        <v>158</v>
      </c>
      <c r="BH91" s="17" t="s">
        <v>158</v>
      </c>
      <c r="BI91" s="17" t="s">
        <v>158</v>
      </c>
      <c r="BJ91" s="17" t="s">
        <v>158</v>
      </c>
      <c r="BK91" s="17" t="s">
        <v>158</v>
      </c>
      <c r="BL91" s="17" t="s">
        <v>158</v>
      </c>
      <c r="BM91" s="17" t="s">
        <v>158</v>
      </c>
      <c r="BN91" s="17">
        <v>64</v>
      </c>
      <c r="BO91" s="17" t="s">
        <v>158</v>
      </c>
      <c r="BP91" s="17" t="s">
        <v>158</v>
      </c>
      <c r="BQ91" s="17" t="s">
        <v>158</v>
      </c>
      <c r="BR91" s="17" t="s">
        <v>158</v>
      </c>
      <c r="BS91" s="17" t="s">
        <v>158</v>
      </c>
      <c r="BT91" s="17" t="s">
        <v>158</v>
      </c>
      <c r="BU91" s="17" t="s">
        <v>158</v>
      </c>
      <c r="BV91" s="17" t="s">
        <v>158</v>
      </c>
      <c r="BW91" s="17" t="s">
        <v>158</v>
      </c>
      <c r="BX91" s="17" t="s">
        <v>158</v>
      </c>
      <c r="BY91" s="17" t="s">
        <v>158</v>
      </c>
      <c r="BZ91" s="17" t="s">
        <v>158</v>
      </c>
      <c r="CA91" s="17" t="s">
        <v>158</v>
      </c>
      <c r="CB91" s="17" t="s">
        <v>158</v>
      </c>
      <c r="CC91" s="17" t="s">
        <v>158</v>
      </c>
      <c r="CD91" s="17" t="s">
        <v>158</v>
      </c>
      <c r="CE91" s="17" t="s">
        <v>158</v>
      </c>
      <c r="CF91" s="17" t="s">
        <v>158</v>
      </c>
      <c r="CG91" s="17" t="s">
        <v>158</v>
      </c>
      <c r="CH91" s="17" t="s">
        <v>158</v>
      </c>
      <c r="CI91" s="17" t="s">
        <v>158</v>
      </c>
      <c r="CJ91" s="17" t="s">
        <v>158</v>
      </c>
      <c r="CK91" s="17" t="s">
        <v>158</v>
      </c>
      <c r="CL91" s="17" t="s">
        <v>158</v>
      </c>
      <c r="CM91" s="17" t="s">
        <v>158</v>
      </c>
      <c r="CN91" s="17" t="s">
        <v>158</v>
      </c>
      <c r="CO91" s="17" t="s">
        <v>158</v>
      </c>
      <c r="CP91" s="17" t="s">
        <v>158</v>
      </c>
      <c r="CQ91" s="17" t="s">
        <v>158</v>
      </c>
      <c r="CR91" s="17" t="s">
        <v>158</v>
      </c>
      <c r="CS91" s="17" t="s">
        <v>158</v>
      </c>
      <c r="CT91" s="17" t="s">
        <v>158</v>
      </c>
      <c r="CU91" s="17" t="s">
        <v>158</v>
      </c>
      <c r="CV91" s="17" t="s">
        <v>158</v>
      </c>
      <c r="CW91" s="17" t="s">
        <v>158</v>
      </c>
      <c r="CX91" s="17" t="s">
        <v>158</v>
      </c>
      <c r="CY91" s="67" t="s">
        <v>158</v>
      </c>
    </row>
    <row r="92" spans="1:103" x14ac:dyDescent="0.2">
      <c r="A92" s="32" t="s">
        <v>30</v>
      </c>
      <c r="B92" s="14" t="s">
        <v>30</v>
      </c>
      <c r="C92" s="14" t="s">
        <v>20</v>
      </c>
      <c r="G92" s="28">
        <v>43720</v>
      </c>
      <c r="H92" s="16">
        <v>2019</v>
      </c>
      <c r="I92" s="135" t="s">
        <v>33</v>
      </c>
      <c r="J92" s="135">
        <v>5</v>
      </c>
      <c r="K92" s="136">
        <v>0.34338783314476201</v>
      </c>
      <c r="L92" s="5" t="s">
        <v>158</v>
      </c>
      <c r="M92" s="5">
        <v>0.32939973412414358</v>
      </c>
      <c r="N92" s="5">
        <v>0.81547192964515802</v>
      </c>
      <c r="O92" s="5">
        <v>2.9470600265875859</v>
      </c>
      <c r="P92" s="5">
        <v>2.8493199713672155</v>
      </c>
      <c r="Q92" s="5">
        <v>5.8233766233766229</v>
      </c>
      <c r="R92" s="5">
        <v>5.3956437263523878</v>
      </c>
      <c r="S92" s="5">
        <v>1.7062480826260356</v>
      </c>
      <c r="T92" s="5">
        <v>19.866520094079149</v>
      </c>
      <c r="U92" s="17">
        <f t="shared" si="4"/>
        <v>247.78397019585131</v>
      </c>
      <c r="V92" s="5" t="s">
        <v>60</v>
      </c>
      <c r="W92" s="5">
        <v>6.7278790660348614E-2</v>
      </c>
      <c r="X92" s="5">
        <v>2.9757371587653122E-2</v>
      </c>
      <c r="Y92" s="5">
        <v>4.3582571384438613E-2</v>
      </c>
      <c r="Z92" s="5" t="s">
        <v>72</v>
      </c>
      <c r="AA92" s="5">
        <v>2.0737799695178239E-2</v>
      </c>
      <c r="AB92" s="5">
        <v>1.5398213134833114E-2</v>
      </c>
      <c r="AC92" s="5" t="s">
        <v>65</v>
      </c>
      <c r="AD92" s="5">
        <v>0.17675474646245171</v>
      </c>
      <c r="AE92" s="17">
        <f t="shared" si="8"/>
        <v>0.17675474646245171</v>
      </c>
      <c r="AF92" s="5" t="s">
        <v>72</v>
      </c>
      <c r="AG92" s="18" t="s">
        <v>158</v>
      </c>
      <c r="AH92" s="18">
        <v>21.903546099290782</v>
      </c>
      <c r="AI92" s="5" t="s">
        <v>69</v>
      </c>
      <c r="AJ92" s="5" t="s">
        <v>65</v>
      </c>
      <c r="AK92" s="5" t="s">
        <v>69</v>
      </c>
      <c r="AL92" s="5" t="s">
        <v>69</v>
      </c>
      <c r="AM92" s="5" t="s">
        <v>126</v>
      </c>
      <c r="AN92" s="5">
        <v>2.1665484633569743</v>
      </c>
      <c r="AO92" s="5">
        <v>0.54358156028368798</v>
      </c>
      <c r="AP92" s="5" t="s">
        <v>69</v>
      </c>
      <c r="AQ92" s="5">
        <v>0.88122537431048076</v>
      </c>
      <c r="AR92" s="5" t="s">
        <v>65</v>
      </c>
      <c r="AS92" s="5" t="s">
        <v>158</v>
      </c>
      <c r="AT92" s="5" t="s">
        <v>158</v>
      </c>
      <c r="AU92" s="5" t="s">
        <v>158</v>
      </c>
      <c r="AV92" s="5" t="s">
        <v>158</v>
      </c>
      <c r="AW92" s="5" t="s">
        <v>158</v>
      </c>
      <c r="BC92" s="17" t="s">
        <v>158</v>
      </c>
      <c r="BD92" s="17" t="s">
        <v>158</v>
      </c>
      <c r="BE92" s="17" t="s">
        <v>158</v>
      </c>
      <c r="BF92" s="17" t="s">
        <v>158</v>
      </c>
      <c r="BG92" s="17" t="s">
        <v>158</v>
      </c>
      <c r="BH92" s="17" t="s">
        <v>158</v>
      </c>
      <c r="BI92" s="17" t="s">
        <v>158</v>
      </c>
      <c r="BJ92" s="17" t="s">
        <v>158</v>
      </c>
      <c r="BK92" s="17" t="s">
        <v>158</v>
      </c>
      <c r="BL92" s="17" t="s">
        <v>158</v>
      </c>
      <c r="BM92" s="17" t="s">
        <v>158</v>
      </c>
      <c r="BN92" s="17">
        <v>80</v>
      </c>
      <c r="BO92" s="17" t="s">
        <v>158</v>
      </c>
      <c r="BP92" s="17" t="s">
        <v>158</v>
      </c>
      <c r="BQ92" s="17" t="s">
        <v>158</v>
      </c>
      <c r="BR92" s="17" t="s">
        <v>158</v>
      </c>
      <c r="BS92" s="17" t="s">
        <v>158</v>
      </c>
      <c r="BT92" s="17" t="s">
        <v>158</v>
      </c>
      <c r="BU92" s="17" t="s">
        <v>158</v>
      </c>
      <c r="BV92" s="17" t="s">
        <v>158</v>
      </c>
      <c r="BW92" s="17" t="s">
        <v>158</v>
      </c>
      <c r="BX92" s="17" t="s">
        <v>158</v>
      </c>
      <c r="BY92" s="17" t="s">
        <v>158</v>
      </c>
      <c r="BZ92" s="17" t="s">
        <v>158</v>
      </c>
      <c r="CA92" s="17" t="s">
        <v>158</v>
      </c>
      <c r="CB92" s="17" t="s">
        <v>158</v>
      </c>
      <c r="CC92" s="17" t="s">
        <v>158</v>
      </c>
      <c r="CD92" s="17" t="s">
        <v>158</v>
      </c>
      <c r="CE92" s="17" t="s">
        <v>158</v>
      </c>
      <c r="CF92" s="17" t="s">
        <v>158</v>
      </c>
      <c r="CG92" s="17" t="s">
        <v>158</v>
      </c>
      <c r="CH92" s="17" t="s">
        <v>158</v>
      </c>
      <c r="CI92" s="17" t="s">
        <v>158</v>
      </c>
      <c r="CJ92" s="17" t="s">
        <v>158</v>
      </c>
      <c r="CK92" s="17" t="s">
        <v>158</v>
      </c>
      <c r="CL92" s="17" t="s">
        <v>158</v>
      </c>
      <c r="CM92" s="17" t="s">
        <v>158</v>
      </c>
      <c r="CN92" s="17" t="s">
        <v>158</v>
      </c>
      <c r="CO92" s="17" t="s">
        <v>158</v>
      </c>
      <c r="CP92" s="17" t="s">
        <v>158</v>
      </c>
      <c r="CQ92" s="17" t="s">
        <v>158</v>
      </c>
      <c r="CR92" s="17" t="s">
        <v>158</v>
      </c>
      <c r="CS92" s="17" t="s">
        <v>158</v>
      </c>
      <c r="CT92" s="17" t="s">
        <v>158</v>
      </c>
      <c r="CU92" s="17" t="s">
        <v>158</v>
      </c>
      <c r="CV92" s="17" t="s">
        <v>158</v>
      </c>
      <c r="CW92" s="17" t="s">
        <v>158</v>
      </c>
      <c r="CX92" s="17" t="s">
        <v>158</v>
      </c>
      <c r="CY92" s="67" t="s">
        <v>158</v>
      </c>
    </row>
    <row r="93" spans="1:103" x14ac:dyDescent="0.2">
      <c r="A93" s="32" t="s">
        <v>9</v>
      </c>
      <c r="B93" s="14" t="s">
        <v>9</v>
      </c>
      <c r="C93" s="14" t="s">
        <v>20</v>
      </c>
      <c r="G93" s="28">
        <v>43693</v>
      </c>
      <c r="H93" s="16">
        <v>2019</v>
      </c>
      <c r="I93" s="135" t="s">
        <v>33</v>
      </c>
      <c r="J93" s="135">
        <v>10</v>
      </c>
      <c r="K93" s="136">
        <v>0.38279621612951198</v>
      </c>
      <c r="L93" s="5" t="s">
        <v>158</v>
      </c>
      <c r="M93" s="5" t="s">
        <v>62</v>
      </c>
      <c r="N93" s="5">
        <v>0.12531170805879371</v>
      </c>
      <c r="O93" s="5">
        <v>0.70715661429295495</v>
      </c>
      <c r="P93" s="5">
        <v>0.47839837810440955</v>
      </c>
      <c r="Q93" s="5">
        <v>2.0338773441459703</v>
      </c>
      <c r="R93" s="5">
        <v>1.7000506842372023</v>
      </c>
      <c r="S93" s="5">
        <v>0.71883426254434868</v>
      </c>
      <c r="T93" s="5">
        <v>5.7636289913836798</v>
      </c>
      <c r="U93" s="17">
        <f t="shared" si="4"/>
        <v>69.034520073352951</v>
      </c>
      <c r="V93" s="5" t="s">
        <v>60</v>
      </c>
      <c r="W93" s="5">
        <v>3.7533461434296971E-2</v>
      </c>
      <c r="X93" s="5">
        <v>1.8260685769526004E-2</v>
      </c>
      <c r="Y93" s="5">
        <v>3.1073313166775973E-2</v>
      </c>
      <c r="Z93" s="5">
        <v>4.746055593872088E-2</v>
      </c>
      <c r="AA93" s="5" t="s">
        <v>56</v>
      </c>
      <c r="AB93" s="5" t="s">
        <v>60</v>
      </c>
      <c r="AC93" s="5" t="s">
        <v>65</v>
      </c>
      <c r="AD93" s="5">
        <v>0.13432801630931984</v>
      </c>
      <c r="AE93" s="17">
        <f t="shared" si="8"/>
        <v>8.6867460370598948E-2</v>
      </c>
      <c r="AF93" s="5" t="s">
        <v>72</v>
      </c>
      <c r="AG93" s="18" t="s">
        <v>158</v>
      </c>
      <c r="AH93" s="18">
        <v>2.4312307486272933</v>
      </c>
      <c r="AI93" s="5" t="s">
        <v>69</v>
      </c>
      <c r="AJ93" s="5" t="s">
        <v>65</v>
      </c>
      <c r="AK93" s="5" t="s">
        <v>69</v>
      </c>
      <c r="AL93" s="5" t="s">
        <v>69</v>
      </c>
      <c r="AM93" s="5" t="s">
        <v>126</v>
      </c>
      <c r="AN93" s="5">
        <v>0.48600508905852413</v>
      </c>
      <c r="AO93" s="5" t="s">
        <v>126</v>
      </c>
      <c r="AP93" s="5" t="s">
        <v>69</v>
      </c>
      <c r="AQ93" s="5">
        <v>0.20090620954421679</v>
      </c>
      <c r="AR93" s="5" t="s">
        <v>65</v>
      </c>
      <c r="AS93" s="5" t="s">
        <v>158</v>
      </c>
      <c r="AT93" s="5" t="s">
        <v>158</v>
      </c>
      <c r="AU93" s="5" t="s">
        <v>158</v>
      </c>
      <c r="AV93" s="5" t="s">
        <v>158</v>
      </c>
      <c r="AW93" s="5" t="s">
        <v>158</v>
      </c>
      <c r="BC93" s="17" t="s">
        <v>158</v>
      </c>
      <c r="BD93" s="17" t="s">
        <v>158</v>
      </c>
      <c r="BE93" s="17" t="s">
        <v>158</v>
      </c>
      <c r="BF93" s="17" t="s">
        <v>158</v>
      </c>
      <c r="BG93" s="17" t="s">
        <v>158</v>
      </c>
      <c r="BH93" s="17" t="s">
        <v>158</v>
      </c>
      <c r="BI93" s="17" t="s">
        <v>158</v>
      </c>
      <c r="BJ93" s="17" t="s">
        <v>158</v>
      </c>
      <c r="BK93" s="17" t="s">
        <v>158</v>
      </c>
      <c r="BL93" s="17" t="s">
        <v>158</v>
      </c>
      <c r="BM93" s="17" t="s">
        <v>158</v>
      </c>
      <c r="BN93" s="17">
        <v>28</v>
      </c>
      <c r="BO93" s="17" t="s">
        <v>158</v>
      </c>
      <c r="BP93" s="17" t="s">
        <v>158</v>
      </c>
      <c r="BQ93" s="17" t="s">
        <v>158</v>
      </c>
      <c r="BR93" s="17" t="s">
        <v>158</v>
      </c>
      <c r="BS93" s="17" t="s">
        <v>158</v>
      </c>
      <c r="BT93" s="17" t="s">
        <v>158</v>
      </c>
      <c r="BU93" s="17" t="s">
        <v>158</v>
      </c>
      <c r="BV93" s="17" t="s">
        <v>158</v>
      </c>
      <c r="BW93" s="17" t="s">
        <v>158</v>
      </c>
      <c r="BX93" s="17" t="s">
        <v>158</v>
      </c>
      <c r="BY93" s="17" t="s">
        <v>158</v>
      </c>
      <c r="BZ93" s="17" t="s">
        <v>158</v>
      </c>
      <c r="CA93" s="17" t="s">
        <v>158</v>
      </c>
      <c r="CB93" s="17" t="s">
        <v>158</v>
      </c>
      <c r="CC93" s="17" t="s">
        <v>158</v>
      </c>
      <c r="CD93" s="17" t="s">
        <v>158</v>
      </c>
      <c r="CE93" s="17" t="s">
        <v>158</v>
      </c>
      <c r="CF93" s="17" t="s">
        <v>158</v>
      </c>
      <c r="CG93" s="17" t="s">
        <v>158</v>
      </c>
      <c r="CH93" s="17" t="s">
        <v>158</v>
      </c>
      <c r="CI93" s="17" t="s">
        <v>158</v>
      </c>
      <c r="CJ93" s="17" t="s">
        <v>158</v>
      </c>
      <c r="CK93" s="17" t="s">
        <v>158</v>
      </c>
      <c r="CL93" s="17" t="s">
        <v>158</v>
      </c>
      <c r="CM93" s="17" t="s">
        <v>158</v>
      </c>
      <c r="CN93" s="17" t="s">
        <v>158</v>
      </c>
      <c r="CO93" s="17" t="s">
        <v>158</v>
      </c>
      <c r="CP93" s="17" t="s">
        <v>158</v>
      </c>
      <c r="CQ93" s="17" t="s">
        <v>158</v>
      </c>
      <c r="CR93" s="17" t="s">
        <v>158</v>
      </c>
      <c r="CS93" s="17" t="s">
        <v>158</v>
      </c>
      <c r="CT93" s="17" t="s">
        <v>158</v>
      </c>
      <c r="CU93" s="17" t="s">
        <v>158</v>
      </c>
      <c r="CV93" s="17" t="s">
        <v>158</v>
      </c>
      <c r="CW93" s="17" t="s">
        <v>158</v>
      </c>
      <c r="CX93" s="17" t="s">
        <v>158</v>
      </c>
      <c r="CY93" s="67" t="s">
        <v>158</v>
      </c>
    </row>
    <row r="94" spans="1:103" x14ac:dyDescent="0.2">
      <c r="A94" s="32" t="s">
        <v>10</v>
      </c>
      <c r="B94" s="14" t="s">
        <v>10</v>
      </c>
      <c r="C94" s="14" t="s">
        <v>20</v>
      </c>
      <c r="G94" s="28">
        <v>43684</v>
      </c>
      <c r="H94" s="16">
        <v>2019</v>
      </c>
      <c r="I94" s="135" t="s">
        <v>33</v>
      </c>
      <c r="J94" s="135">
        <v>10</v>
      </c>
      <c r="K94" s="136">
        <v>0.365732018175774</v>
      </c>
      <c r="L94" s="5" t="s">
        <v>158</v>
      </c>
      <c r="M94" s="5">
        <v>2.372640552060077E-2</v>
      </c>
      <c r="N94" s="5">
        <v>6.8794398213923275E-2</v>
      </c>
      <c r="O94" s="5">
        <v>0.37298558960828093</v>
      </c>
      <c r="P94" s="5">
        <v>0.33863405723564038</v>
      </c>
      <c r="Q94" s="5">
        <v>1.4297138217982546</v>
      </c>
      <c r="R94" s="5">
        <v>1.1498883702049929</v>
      </c>
      <c r="S94" s="5">
        <v>0.47897300588593472</v>
      </c>
      <c r="T94" s="5">
        <v>3.8627156484676273</v>
      </c>
      <c r="U94" s="17">
        <f t="shared" si="4"/>
        <v>48.178466966191117</v>
      </c>
      <c r="V94" s="5" t="s">
        <v>60</v>
      </c>
      <c r="W94" s="5">
        <v>0.11877956305425678</v>
      </c>
      <c r="X94" s="5">
        <v>8.5177941729453185E-2</v>
      </c>
      <c r="Y94" s="5">
        <v>0.1431994329356116</v>
      </c>
      <c r="Z94" s="5">
        <v>4.2798326760831285E-2</v>
      </c>
      <c r="AA94" s="5">
        <v>3.4394182931485662E-2</v>
      </c>
      <c r="AB94" s="5">
        <v>2.5257293465773597E-2</v>
      </c>
      <c r="AC94" s="5" t="s">
        <v>65</v>
      </c>
      <c r="AD94" s="5">
        <v>0.44960674087741209</v>
      </c>
      <c r="AE94" s="17">
        <f t="shared" si="8"/>
        <v>0.40680841411658086</v>
      </c>
      <c r="AF94" s="5" t="s">
        <v>72</v>
      </c>
      <c r="AG94" s="18" t="s">
        <v>158</v>
      </c>
      <c r="AH94" s="18">
        <v>11.199420132282325</v>
      </c>
      <c r="AI94" s="5" t="s">
        <v>69</v>
      </c>
      <c r="AJ94" s="5" t="s">
        <v>65</v>
      </c>
      <c r="AK94" s="5" t="s">
        <v>69</v>
      </c>
      <c r="AL94" s="5" t="s">
        <v>69</v>
      </c>
      <c r="AM94" s="5" t="s">
        <v>126</v>
      </c>
      <c r="AN94" s="5">
        <v>0.61049198151671646</v>
      </c>
      <c r="AO94" s="5" t="s">
        <v>126</v>
      </c>
      <c r="AP94" s="5" t="s">
        <v>69</v>
      </c>
      <c r="AQ94" s="5">
        <v>0.31533327293044605</v>
      </c>
      <c r="AR94" s="5" t="s">
        <v>65</v>
      </c>
      <c r="AS94" s="5" t="s">
        <v>158</v>
      </c>
      <c r="AT94" s="5" t="s">
        <v>158</v>
      </c>
      <c r="AU94" s="5" t="s">
        <v>158</v>
      </c>
      <c r="AV94" s="5" t="s">
        <v>158</v>
      </c>
      <c r="AW94" s="5" t="s">
        <v>158</v>
      </c>
      <c r="BC94" s="17" t="s">
        <v>158</v>
      </c>
      <c r="BD94" s="17" t="s">
        <v>158</v>
      </c>
      <c r="BE94" s="17" t="s">
        <v>158</v>
      </c>
      <c r="BF94" s="17" t="s">
        <v>158</v>
      </c>
      <c r="BG94" s="17" t="s">
        <v>158</v>
      </c>
      <c r="BH94" s="17" t="s">
        <v>158</v>
      </c>
      <c r="BI94" s="17" t="s">
        <v>158</v>
      </c>
      <c r="BJ94" s="17" t="s">
        <v>158</v>
      </c>
      <c r="BK94" s="17" t="s">
        <v>158</v>
      </c>
      <c r="BL94" s="17" t="s">
        <v>158</v>
      </c>
      <c r="BM94" s="17" t="s">
        <v>158</v>
      </c>
      <c r="BN94" s="17">
        <v>40</v>
      </c>
      <c r="BO94" s="17" t="s">
        <v>158</v>
      </c>
      <c r="BP94" s="17" t="s">
        <v>158</v>
      </c>
      <c r="BQ94" s="17" t="s">
        <v>158</v>
      </c>
      <c r="BR94" s="17" t="s">
        <v>158</v>
      </c>
      <c r="BS94" s="17" t="s">
        <v>158</v>
      </c>
      <c r="BT94" s="17" t="s">
        <v>158</v>
      </c>
      <c r="BU94" s="17" t="s">
        <v>158</v>
      </c>
      <c r="BV94" s="17" t="s">
        <v>158</v>
      </c>
      <c r="BW94" s="17" t="s">
        <v>158</v>
      </c>
      <c r="BX94" s="17" t="s">
        <v>158</v>
      </c>
      <c r="BY94" s="17" t="s">
        <v>158</v>
      </c>
      <c r="BZ94" s="17" t="s">
        <v>158</v>
      </c>
      <c r="CA94" s="17" t="s">
        <v>158</v>
      </c>
      <c r="CB94" s="17" t="s">
        <v>158</v>
      </c>
      <c r="CC94" s="17" t="s">
        <v>158</v>
      </c>
      <c r="CD94" s="17" t="s">
        <v>158</v>
      </c>
      <c r="CE94" s="17" t="s">
        <v>158</v>
      </c>
      <c r="CF94" s="17" t="s">
        <v>158</v>
      </c>
      <c r="CG94" s="17" t="s">
        <v>158</v>
      </c>
      <c r="CH94" s="17" t="s">
        <v>158</v>
      </c>
      <c r="CI94" s="17" t="s">
        <v>158</v>
      </c>
      <c r="CJ94" s="17" t="s">
        <v>158</v>
      </c>
      <c r="CK94" s="17" t="s">
        <v>158</v>
      </c>
      <c r="CL94" s="17" t="s">
        <v>158</v>
      </c>
      <c r="CM94" s="17" t="s">
        <v>158</v>
      </c>
      <c r="CN94" s="17" t="s">
        <v>158</v>
      </c>
      <c r="CO94" s="17" t="s">
        <v>158</v>
      </c>
      <c r="CP94" s="17" t="s">
        <v>158</v>
      </c>
      <c r="CQ94" s="17" t="s">
        <v>158</v>
      </c>
      <c r="CR94" s="17" t="s">
        <v>158</v>
      </c>
      <c r="CS94" s="17" t="s">
        <v>158</v>
      </c>
      <c r="CT94" s="17" t="s">
        <v>158</v>
      </c>
      <c r="CU94" s="17" t="s">
        <v>158</v>
      </c>
      <c r="CV94" s="17" t="s">
        <v>158</v>
      </c>
      <c r="CW94" s="17" t="s">
        <v>158</v>
      </c>
      <c r="CX94" s="17" t="s">
        <v>158</v>
      </c>
      <c r="CY94" s="67" t="s">
        <v>158</v>
      </c>
    </row>
    <row r="95" spans="1:103" x14ac:dyDescent="0.2">
      <c r="A95" s="32" t="s">
        <v>11</v>
      </c>
      <c r="B95" s="14" t="s">
        <v>11</v>
      </c>
      <c r="C95" s="14" t="s">
        <v>20</v>
      </c>
      <c r="G95" s="28">
        <v>43699</v>
      </c>
      <c r="H95" s="16">
        <v>2019</v>
      </c>
      <c r="I95" s="135" t="s">
        <v>33</v>
      </c>
      <c r="J95" s="135">
        <v>10</v>
      </c>
      <c r="K95" s="136">
        <v>0.33239887865439299</v>
      </c>
      <c r="L95" s="5" t="s">
        <v>158</v>
      </c>
      <c r="M95" s="5" t="s">
        <v>62</v>
      </c>
      <c r="N95" s="5">
        <v>7.3306407196621987E-2</v>
      </c>
      <c r="O95" s="5">
        <v>0.79247292087387544</v>
      </c>
      <c r="P95" s="5">
        <v>0.76275931705525979</v>
      </c>
      <c r="Q95" s="5">
        <v>3.6847071782632641</v>
      </c>
      <c r="R95" s="5">
        <v>2.9363870020194605</v>
      </c>
      <c r="S95" s="5">
        <v>1.400872039654856</v>
      </c>
      <c r="T95" s="5">
        <v>9.6505048650633363</v>
      </c>
      <c r="U95" s="17">
        <f t="shared" si="4"/>
        <v>133.69096767093765</v>
      </c>
      <c r="V95" s="5" t="s">
        <v>60</v>
      </c>
      <c r="W95" s="5">
        <v>9.2236623631865355E-2</v>
      </c>
      <c r="X95" s="5">
        <v>3.0603520101690578E-2</v>
      </c>
      <c r="Y95" s="5">
        <v>4.5430523874108682E-2</v>
      </c>
      <c r="Z95" s="5" t="s">
        <v>72</v>
      </c>
      <c r="AA95" s="5">
        <v>1.6166059942340924E-2</v>
      </c>
      <c r="AB95" s="5">
        <v>1.4364420731899313E-2</v>
      </c>
      <c r="AC95" s="5" t="s">
        <v>65</v>
      </c>
      <c r="AD95" s="5">
        <v>0.19880114828190487</v>
      </c>
      <c r="AE95" s="17">
        <f t="shared" si="8"/>
        <v>0.19880114828190482</v>
      </c>
      <c r="AF95" s="5" t="s">
        <v>72</v>
      </c>
      <c r="AG95" s="18" t="s">
        <v>158</v>
      </c>
      <c r="AH95" s="18">
        <v>14.40535714285714</v>
      </c>
      <c r="AI95" s="5" t="s">
        <v>69</v>
      </c>
      <c r="AJ95" s="5" t="s">
        <v>65</v>
      </c>
      <c r="AK95" s="5" t="s">
        <v>69</v>
      </c>
      <c r="AL95" s="5" t="s">
        <v>69</v>
      </c>
      <c r="AM95" s="5" t="s">
        <v>126</v>
      </c>
      <c r="AN95" s="5">
        <v>0.61071428571428565</v>
      </c>
      <c r="AO95" s="5" t="s">
        <v>126</v>
      </c>
      <c r="AP95" s="5" t="s">
        <v>69</v>
      </c>
      <c r="AQ95" s="5">
        <v>0.33038194444444441</v>
      </c>
      <c r="AR95" s="5" t="s">
        <v>65</v>
      </c>
      <c r="AS95" s="5" t="s">
        <v>158</v>
      </c>
      <c r="AT95" s="5" t="s">
        <v>158</v>
      </c>
      <c r="AU95" s="5" t="s">
        <v>158</v>
      </c>
      <c r="AV95" s="5" t="s">
        <v>158</v>
      </c>
      <c r="AW95" s="5" t="s">
        <v>158</v>
      </c>
      <c r="BC95" s="17" t="s">
        <v>158</v>
      </c>
      <c r="BD95" s="17" t="s">
        <v>158</v>
      </c>
      <c r="BE95" s="17" t="s">
        <v>158</v>
      </c>
      <c r="BF95" s="17" t="s">
        <v>158</v>
      </c>
      <c r="BG95" s="17" t="s">
        <v>158</v>
      </c>
      <c r="BH95" s="17" t="s">
        <v>158</v>
      </c>
      <c r="BI95" s="17" t="s">
        <v>158</v>
      </c>
      <c r="BJ95" s="17" t="s">
        <v>158</v>
      </c>
      <c r="BK95" s="17" t="s">
        <v>158</v>
      </c>
      <c r="BL95" s="17" t="s">
        <v>158</v>
      </c>
      <c r="BM95" s="17" t="s">
        <v>158</v>
      </c>
      <c r="BN95" s="17">
        <v>100</v>
      </c>
      <c r="BO95" s="17" t="s">
        <v>158</v>
      </c>
      <c r="BP95" s="17" t="s">
        <v>158</v>
      </c>
      <c r="BQ95" s="17" t="s">
        <v>158</v>
      </c>
      <c r="BR95" s="17" t="s">
        <v>158</v>
      </c>
      <c r="BS95" s="17" t="s">
        <v>158</v>
      </c>
      <c r="BT95" s="17" t="s">
        <v>158</v>
      </c>
      <c r="BU95" s="17" t="s">
        <v>158</v>
      </c>
      <c r="BV95" s="17" t="s">
        <v>158</v>
      </c>
      <c r="BW95" s="17" t="s">
        <v>158</v>
      </c>
      <c r="BX95" s="17" t="s">
        <v>158</v>
      </c>
      <c r="BY95" s="17" t="s">
        <v>158</v>
      </c>
      <c r="BZ95" s="17" t="s">
        <v>158</v>
      </c>
      <c r="CA95" s="17" t="s">
        <v>158</v>
      </c>
      <c r="CB95" s="17" t="s">
        <v>158</v>
      </c>
      <c r="CC95" s="17" t="s">
        <v>158</v>
      </c>
      <c r="CD95" s="17" t="s">
        <v>158</v>
      </c>
      <c r="CE95" s="17" t="s">
        <v>158</v>
      </c>
      <c r="CF95" s="17" t="s">
        <v>158</v>
      </c>
      <c r="CG95" s="17" t="s">
        <v>158</v>
      </c>
      <c r="CH95" s="17" t="s">
        <v>158</v>
      </c>
      <c r="CI95" s="17" t="s">
        <v>158</v>
      </c>
      <c r="CJ95" s="17" t="s">
        <v>158</v>
      </c>
      <c r="CK95" s="17" t="s">
        <v>158</v>
      </c>
      <c r="CL95" s="17" t="s">
        <v>158</v>
      </c>
      <c r="CM95" s="17" t="s">
        <v>158</v>
      </c>
      <c r="CN95" s="17" t="s">
        <v>158</v>
      </c>
      <c r="CO95" s="17" t="s">
        <v>158</v>
      </c>
      <c r="CP95" s="17" t="s">
        <v>158</v>
      </c>
      <c r="CQ95" s="17" t="s">
        <v>158</v>
      </c>
      <c r="CR95" s="17" t="s">
        <v>158</v>
      </c>
      <c r="CS95" s="17" t="s">
        <v>158</v>
      </c>
      <c r="CT95" s="17" t="s">
        <v>158</v>
      </c>
      <c r="CU95" s="17" t="s">
        <v>158</v>
      </c>
      <c r="CV95" s="17" t="s">
        <v>158</v>
      </c>
      <c r="CW95" s="17" t="s">
        <v>158</v>
      </c>
      <c r="CX95" s="17" t="s">
        <v>158</v>
      </c>
      <c r="CY95" s="67" t="s">
        <v>158</v>
      </c>
    </row>
    <row r="96" spans="1:103" x14ac:dyDescent="0.2">
      <c r="A96" s="32" t="s">
        <v>12</v>
      </c>
      <c r="B96" s="14" t="s">
        <v>12</v>
      </c>
      <c r="C96" s="14" t="s">
        <v>20</v>
      </c>
      <c r="G96" s="28">
        <v>43594</v>
      </c>
      <c r="H96" s="16">
        <v>2019</v>
      </c>
      <c r="I96" s="135" t="s">
        <v>33</v>
      </c>
      <c r="J96" s="135">
        <v>3</v>
      </c>
      <c r="K96" s="136">
        <v>0.28959092750098497</v>
      </c>
      <c r="L96" s="5" t="s">
        <v>158</v>
      </c>
      <c r="M96" s="5">
        <v>6.8211797491871812E-2</v>
      </c>
      <c r="N96" s="5">
        <v>0.40723641430562002</v>
      </c>
      <c r="O96" s="5">
        <v>5.5371760334417095</v>
      </c>
      <c r="P96" s="5">
        <v>4.6130422666047375</v>
      </c>
      <c r="Q96" s="5">
        <v>17.903632141198326</v>
      </c>
      <c r="R96" s="5">
        <v>14.330701346957733</v>
      </c>
      <c r="S96" s="5">
        <v>5.4727171388759865</v>
      </c>
      <c r="T96" s="5">
        <v>48.332717138875985</v>
      </c>
      <c r="U96" s="17">
        <f t="shared" si="4"/>
        <v>754.85228852900696</v>
      </c>
      <c r="V96" s="5" t="s">
        <v>60</v>
      </c>
      <c r="W96" s="5">
        <v>0.30580341605395928</v>
      </c>
      <c r="X96" s="5">
        <v>0.17167469151490153</v>
      </c>
      <c r="Y96" s="5">
        <v>0.38166429989427642</v>
      </c>
      <c r="Z96" s="5">
        <v>2.0801420263099894E-2</v>
      </c>
      <c r="AA96" s="5">
        <v>8.199922519265318E-2</v>
      </c>
      <c r="AB96" s="5">
        <v>0.10623440444118511</v>
      </c>
      <c r="AC96" s="5">
        <v>0.22944728286112401</v>
      </c>
      <c r="AD96" s="5">
        <v>1.2976247402211996</v>
      </c>
      <c r="AE96" s="17">
        <f t="shared" si="8"/>
        <v>1.0473760370969756</v>
      </c>
      <c r="AF96" s="5">
        <v>4.4916542305606646E-3</v>
      </c>
      <c r="AG96" s="18">
        <f>AF96*(5/K96)</f>
        <v>7.7551708358428936E-2</v>
      </c>
      <c r="AH96" s="18">
        <v>3.5734066166367189</v>
      </c>
      <c r="AI96" s="5" t="s">
        <v>69</v>
      </c>
      <c r="AJ96" s="5" t="s">
        <v>65</v>
      </c>
      <c r="AK96" s="5" t="s">
        <v>69</v>
      </c>
      <c r="AL96" s="5" t="s">
        <v>69</v>
      </c>
      <c r="AM96" s="5" t="s">
        <v>126</v>
      </c>
      <c r="AN96" s="5">
        <v>1.0842405665363068</v>
      </c>
      <c r="AO96" s="5">
        <v>1.2067857520346685</v>
      </c>
      <c r="AP96" s="5" t="s">
        <v>69</v>
      </c>
      <c r="AQ96" s="5">
        <v>0.71031955748159092</v>
      </c>
      <c r="AR96" s="5" t="s">
        <v>65</v>
      </c>
      <c r="AS96" s="5" t="s">
        <v>158</v>
      </c>
      <c r="AT96" s="5" t="s">
        <v>158</v>
      </c>
      <c r="AU96" s="5" t="s">
        <v>158</v>
      </c>
      <c r="AV96" s="5" t="s">
        <v>158</v>
      </c>
      <c r="AW96" s="5" t="s">
        <v>158</v>
      </c>
      <c r="BC96" s="17" t="s">
        <v>158</v>
      </c>
      <c r="BD96" s="17" t="s">
        <v>158</v>
      </c>
      <c r="BE96" s="17" t="s">
        <v>158</v>
      </c>
      <c r="BF96" s="17" t="s">
        <v>158</v>
      </c>
      <c r="BG96" s="17" t="s">
        <v>158</v>
      </c>
      <c r="BH96" s="17" t="s">
        <v>158</v>
      </c>
      <c r="BI96" s="17" t="s">
        <v>158</v>
      </c>
      <c r="BJ96" s="17" t="s">
        <v>158</v>
      </c>
      <c r="BK96" s="17" t="s">
        <v>158</v>
      </c>
      <c r="BL96" s="17" t="s">
        <v>158</v>
      </c>
      <c r="BM96" s="17" t="s">
        <v>158</v>
      </c>
      <c r="BN96" s="17" t="s">
        <v>13</v>
      </c>
      <c r="BO96" s="17" t="s">
        <v>158</v>
      </c>
      <c r="BP96" s="17" t="s">
        <v>158</v>
      </c>
      <c r="BQ96" s="17" t="s">
        <v>158</v>
      </c>
      <c r="BR96" s="17" t="s">
        <v>158</v>
      </c>
      <c r="BS96" s="17" t="s">
        <v>158</v>
      </c>
      <c r="BT96" s="17" t="s">
        <v>158</v>
      </c>
      <c r="BU96" s="17" t="s">
        <v>158</v>
      </c>
      <c r="BV96" s="17" t="s">
        <v>158</v>
      </c>
      <c r="BW96" s="17" t="s">
        <v>158</v>
      </c>
      <c r="BX96" s="17" t="s">
        <v>158</v>
      </c>
      <c r="BY96" s="17" t="s">
        <v>158</v>
      </c>
      <c r="BZ96" s="17" t="s">
        <v>158</v>
      </c>
      <c r="CA96" s="17" t="s">
        <v>158</v>
      </c>
      <c r="CB96" s="17" t="s">
        <v>158</v>
      </c>
      <c r="CC96" s="17" t="s">
        <v>158</v>
      </c>
      <c r="CD96" s="17" t="s">
        <v>158</v>
      </c>
      <c r="CE96" s="17" t="s">
        <v>158</v>
      </c>
      <c r="CF96" s="17" t="s">
        <v>158</v>
      </c>
      <c r="CG96" s="17" t="s">
        <v>158</v>
      </c>
      <c r="CH96" s="17" t="s">
        <v>158</v>
      </c>
      <c r="CI96" s="17" t="s">
        <v>158</v>
      </c>
      <c r="CJ96" s="17" t="s">
        <v>158</v>
      </c>
      <c r="CK96" s="17" t="s">
        <v>158</v>
      </c>
      <c r="CL96" s="17" t="s">
        <v>158</v>
      </c>
      <c r="CM96" s="17" t="s">
        <v>158</v>
      </c>
      <c r="CN96" s="17" t="s">
        <v>158</v>
      </c>
      <c r="CO96" s="17" t="s">
        <v>158</v>
      </c>
      <c r="CP96" s="17" t="s">
        <v>158</v>
      </c>
      <c r="CQ96" s="17" t="s">
        <v>158</v>
      </c>
      <c r="CR96" s="17" t="s">
        <v>158</v>
      </c>
      <c r="CS96" s="17" t="s">
        <v>158</v>
      </c>
      <c r="CT96" s="17" t="s">
        <v>158</v>
      </c>
      <c r="CU96" s="17" t="s">
        <v>158</v>
      </c>
      <c r="CV96" s="17" t="s">
        <v>158</v>
      </c>
      <c r="CW96" s="17" t="s">
        <v>158</v>
      </c>
      <c r="CX96" s="17" t="s">
        <v>158</v>
      </c>
      <c r="CY96" s="67" t="s">
        <v>158</v>
      </c>
    </row>
    <row r="97" spans="1:103" x14ac:dyDescent="0.2">
      <c r="A97" s="32" t="s">
        <v>14</v>
      </c>
      <c r="B97" s="14" t="s">
        <v>14</v>
      </c>
      <c r="C97" s="14" t="s">
        <v>20</v>
      </c>
      <c r="G97" s="28">
        <v>43699</v>
      </c>
      <c r="H97" s="16">
        <v>2019</v>
      </c>
      <c r="I97" s="135" t="s">
        <v>33</v>
      </c>
      <c r="J97" s="135">
        <v>1</v>
      </c>
      <c r="K97" s="136">
        <v>0.60718057022174499</v>
      </c>
      <c r="L97" s="5" t="s">
        <v>158</v>
      </c>
      <c r="M97" s="5" t="s">
        <v>70</v>
      </c>
      <c r="N97" s="5">
        <v>5.1827626010003847E-2</v>
      </c>
      <c r="O97" s="5">
        <v>0.38137745286648705</v>
      </c>
      <c r="P97" s="5">
        <v>0.69146787225856099</v>
      </c>
      <c r="Q97" s="5">
        <v>2.4256156213928435</v>
      </c>
      <c r="R97" s="5">
        <v>1.5560792612543284</v>
      </c>
      <c r="S97" s="5">
        <v>0.81116775682954967</v>
      </c>
      <c r="T97" s="5">
        <v>5.9175355906117737</v>
      </c>
      <c r="U97" s="17">
        <f t="shared" si="4"/>
        <v>43.03553155896136</v>
      </c>
      <c r="V97" s="5" t="s">
        <v>60</v>
      </c>
      <c r="W97" s="5">
        <v>6.8904801462798551E-2</v>
      </c>
      <c r="X97" s="5">
        <v>2.4649502925693324E-2</v>
      </c>
      <c r="Y97" s="5">
        <v>7.4621003085650825E-2</v>
      </c>
      <c r="Z97" s="5" t="s">
        <v>72</v>
      </c>
      <c r="AA97" s="5" t="s">
        <v>56</v>
      </c>
      <c r="AB97" s="5" t="s">
        <v>60</v>
      </c>
      <c r="AC97" s="5" t="s">
        <v>65</v>
      </c>
      <c r="AD97" s="5">
        <v>0.16817530747414272</v>
      </c>
      <c r="AE97" s="17">
        <f t="shared" si="8"/>
        <v>0.16817530747414269</v>
      </c>
      <c r="AF97" s="5" t="s">
        <v>66</v>
      </c>
      <c r="AG97" s="18" t="s">
        <v>158</v>
      </c>
      <c r="AH97" s="18">
        <v>0.72868439971243715</v>
      </c>
      <c r="AI97" s="5" t="s">
        <v>69</v>
      </c>
      <c r="AJ97" s="5" t="s">
        <v>65</v>
      </c>
      <c r="AK97" s="5" t="s">
        <v>69</v>
      </c>
      <c r="AL97" s="5" t="s">
        <v>69</v>
      </c>
      <c r="AM97" s="5" t="s">
        <v>126</v>
      </c>
      <c r="AN97" s="5" t="s">
        <v>69</v>
      </c>
      <c r="AO97" s="5" t="s">
        <v>126</v>
      </c>
      <c r="AP97" s="5" t="s">
        <v>69</v>
      </c>
      <c r="AQ97" s="5" t="s">
        <v>69</v>
      </c>
      <c r="AR97" s="5" t="s">
        <v>65</v>
      </c>
      <c r="AS97" s="5" t="s">
        <v>158</v>
      </c>
      <c r="AT97" s="5" t="s">
        <v>158</v>
      </c>
      <c r="AU97" s="5" t="s">
        <v>158</v>
      </c>
      <c r="AV97" s="5" t="s">
        <v>158</v>
      </c>
      <c r="AW97" s="5" t="s">
        <v>158</v>
      </c>
      <c r="BC97" s="17" t="s">
        <v>158</v>
      </c>
      <c r="BD97" s="17" t="s">
        <v>158</v>
      </c>
      <c r="BE97" s="17" t="s">
        <v>158</v>
      </c>
      <c r="BF97" s="17" t="s">
        <v>158</v>
      </c>
      <c r="BG97" s="17" t="s">
        <v>158</v>
      </c>
      <c r="BH97" s="17" t="s">
        <v>158</v>
      </c>
      <c r="BI97" s="17" t="s">
        <v>158</v>
      </c>
      <c r="BJ97" s="17" t="s">
        <v>158</v>
      </c>
      <c r="BK97" s="17" t="s">
        <v>158</v>
      </c>
      <c r="BL97" s="17" t="s">
        <v>158</v>
      </c>
      <c r="BM97" s="17" t="s">
        <v>158</v>
      </c>
      <c r="BN97" s="17" t="s">
        <v>13</v>
      </c>
      <c r="BO97" s="17" t="s">
        <v>158</v>
      </c>
      <c r="BP97" s="17" t="s">
        <v>158</v>
      </c>
      <c r="BQ97" s="17" t="s">
        <v>158</v>
      </c>
      <c r="BR97" s="17" t="s">
        <v>158</v>
      </c>
      <c r="BS97" s="17" t="s">
        <v>158</v>
      </c>
      <c r="BT97" s="17" t="s">
        <v>158</v>
      </c>
      <c r="BU97" s="17" t="s">
        <v>158</v>
      </c>
      <c r="BV97" s="17" t="s">
        <v>158</v>
      </c>
      <c r="BW97" s="17" t="s">
        <v>158</v>
      </c>
      <c r="BX97" s="17" t="s">
        <v>158</v>
      </c>
      <c r="BY97" s="17" t="s">
        <v>158</v>
      </c>
      <c r="BZ97" s="17" t="s">
        <v>158</v>
      </c>
      <c r="CA97" s="17" t="s">
        <v>158</v>
      </c>
      <c r="CB97" s="17" t="s">
        <v>158</v>
      </c>
      <c r="CC97" s="17" t="s">
        <v>158</v>
      </c>
      <c r="CD97" s="17" t="s">
        <v>158</v>
      </c>
      <c r="CE97" s="17" t="s">
        <v>158</v>
      </c>
      <c r="CF97" s="17" t="s">
        <v>158</v>
      </c>
      <c r="CG97" s="17" t="s">
        <v>158</v>
      </c>
      <c r="CH97" s="17" t="s">
        <v>158</v>
      </c>
      <c r="CI97" s="17" t="s">
        <v>158</v>
      </c>
      <c r="CJ97" s="17" t="s">
        <v>158</v>
      </c>
      <c r="CK97" s="17" t="s">
        <v>158</v>
      </c>
      <c r="CL97" s="17" t="s">
        <v>158</v>
      </c>
      <c r="CM97" s="17" t="s">
        <v>158</v>
      </c>
      <c r="CN97" s="17" t="s">
        <v>158</v>
      </c>
      <c r="CO97" s="17" t="s">
        <v>158</v>
      </c>
      <c r="CP97" s="17" t="s">
        <v>158</v>
      </c>
      <c r="CQ97" s="17" t="s">
        <v>158</v>
      </c>
      <c r="CR97" s="17" t="s">
        <v>158</v>
      </c>
      <c r="CS97" s="17" t="s">
        <v>158</v>
      </c>
      <c r="CT97" s="17" t="s">
        <v>158</v>
      </c>
      <c r="CU97" s="17" t="s">
        <v>158</v>
      </c>
      <c r="CV97" s="17" t="s">
        <v>158</v>
      </c>
      <c r="CW97" s="17" t="s">
        <v>158</v>
      </c>
      <c r="CX97" s="17" t="s">
        <v>158</v>
      </c>
      <c r="CY97" s="67" t="s">
        <v>158</v>
      </c>
    </row>
    <row r="98" spans="1:103" x14ac:dyDescent="0.2">
      <c r="A98" s="32" t="s">
        <v>15</v>
      </c>
      <c r="B98" s="14" t="s">
        <v>15</v>
      </c>
      <c r="C98" s="14" t="s">
        <v>20</v>
      </c>
      <c r="G98" s="28">
        <v>43696</v>
      </c>
      <c r="H98" s="16">
        <v>2019</v>
      </c>
      <c r="I98" s="135" t="s">
        <v>33</v>
      </c>
      <c r="J98" s="135">
        <v>10</v>
      </c>
      <c r="K98" s="136">
        <v>0.364004044489384</v>
      </c>
      <c r="L98" s="5" t="s">
        <v>158</v>
      </c>
      <c r="M98" s="5" t="s">
        <v>62</v>
      </c>
      <c r="N98" s="5">
        <v>0.11100037965072133</v>
      </c>
      <c r="O98" s="5">
        <v>0.43751898253606686</v>
      </c>
      <c r="P98" s="5">
        <v>0.40260060744115422</v>
      </c>
      <c r="Q98" s="5">
        <v>1.7092444950645409</v>
      </c>
      <c r="R98" s="5">
        <v>1.428246013667426</v>
      </c>
      <c r="S98" s="5">
        <v>0.69477031131359157</v>
      </c>
      <c r="T98" s="5">
        <v>4.783380789673501</v>
      </c>
      <c r="U98" s="17">
        <f t="shared" si="4"/>
        <v>60.174883336496968</v>
      </c>
      <c r="V98" s="5" t="s">
        <v>60</v>
      </c>
      <c r="W98" s="5">
        <v>4.2481454957762628E-2</v>
      </c>
      <c r="X98" s="5">
        <v>1.7300197545635828E-2</v>
      </c>
      <c r="Y98" s="5">
        <v>3.2159808810035738E-2</v>
      </c>
      <c r="Z98" s="5" t="s">
        <v>72</v>
      </c>
      <c r="AA98" s="5" t="s">
        <v>56</v>
      </c>
      <c r="AB98" s="5" t="s">
        <v>60</v>
      </c>
      <c r="AC98" s="5">
        <v>0.39531131359149585</v>
      </c>
      <c r="AD98" s="5">
        <v>0.48725277490493002</v>
      </c>
      <c r="AE98" s="17">
        <f t="shared" si="8"/>
        <v>9.1941461313434197E-2</v>
      </c>
      <c r="AF98" s="5" t="s">
        <v>72</v>
      </c>
      <c r="AG98" s="18" t="s">
        <v>158</v>
      </c>
      <c r="AH98" s="18">
        <v>3.198081790329026</v>
      </c>
      <c r="AI98" s="5" t="s">
        <v>69</v>
      </c>
      <c r="AJ98" s="5" t="s">
        <v>65</v>
      </c>
      <c r="AK98" s="5" t="s">
        <v>69</v>
      </c>
      <c r="AL98" s="5" t="s">
        <v>69</v>
      </c>
      <c r="AM98" s="5" t="s">
        <v>126</v>
      </c>
      <c r="AN98" s="5">
        <v>0.40202477687491672</v>
      </c>
      <c r="AO98" s="5" t="s">
        <v>126</v>
      </c>
      <c r="AP98" s="5" t="s">
        <v>69</v>
      </c>
      <c r="AQ98" s="5">
        <v>0.31441765463345323</v>
      </c>
      <c r="AR98" s="5" t="s">
        <v>65</v>
      </c>
      <c r="AS98" s="5" t="s">
        <v>158</v>
      </c>
      <c r="AT98" s="5" t="s">
        <v>158</v>
      </c>
      <c r="AU98" s="5" t="s">
        <v>158</v>
      </c>
      <c r="AV98" s="5" t="s">
        <v>158</v>
      </c>
      <c r="AW98" s="5" t="s">
        <v>158</v>
      </c>
      <c r="BC98" s="17" t="s">
        <v>158</v>
      </c>
      <c r="BD98" s="17" t="s">
        <v>158</v>
      </c>
      <c r="BE98" s="17" t="s">
        <v>158</v>
      </c>
      <c r="BF98" s="17" t="s">
        <v>158</v>
      </c>
      <c r="BG98" s="17" t="s">
        <v>158</v>
      </c>
      <c r="BH98" s="17" t="s">
        <v>158</v>
      </c>
      <c r="BI98" s="17" t="s">
        <v>158</v>
      </c>
      <c r="BJ98" s="17" t="s">
        <v>158</v>
      </c>
      <c r="BK98" s="17" t="s">
        <v>158</v>
      </c>
      <c r="BL98" s="17" t="s">
        <v>158</v>
      </c>
      <c r="BM98" s="17" t="s">
        <v>158</v>
      </c>
      <c r="BN98" s="17">
        <v>240</v>
      </c>
      <c r="BO98" s="17" t="s">
        <v>158</v>
      </c>
      <c r="BP98" s="17" t="s">
        <v>158</v>
      </c>
      <c r="BQ98" s="17" t="s">
        <v>158</v>
      </c>
      <c r="BR98" s="17" t="s">
        <v>158</v>
      </c>
      <c r="BS98" s="17" t="s">
        <v>158</v>
      </c>
      <c r="BT98" s="17" t="s">
        <v>158</v>
      </c>
      <c r="BU98" s="17" t="s">
        <v>158</v>
      </c>
      <c r="BV98" s="17" t="s">
        <v>158</v>
      </c>
      <c r="BW98" s="17" t="s">
        <v>158</v>
      </c>
      <c r="BX98" s="17" t="s">
        <v>158</v>
      </c>
      <c r="BY98" s="17" t="s">
        <v>158</v>
      </c>
      <c r="BZ98" s="17" t="s">
        <v>158</v>
      </c>
      <c r="CA98" s="17" t="s">
        <v>158</v>
      </c>
      <c r="CB98" s="17" t="s">
        <v>158</v>
      </c>
      <c r="CC98" s="17" t="s">
        <v>158</v>
      </c>
      <c r="CD98" s="17" t="s">
        <v>158</v>
      </c>
      <c r="CE98" s="17" t="s">
        <v>158</v>
      </c>
      <c r="CF98" s="17" t="s">
        <v>158</v>
      </c>
      <c r="CG98" s="17" t="s">
        <v>158</v>
      </c>
      <c r="CH98" s="17" t="s">
        <v>158</v>
      </c>
      <c r="CI98" s="17" t="s">
        <v>158</v>
      </c>
      <c r="CJ98" s="17" t="s">
        <v>158</v>
      </c>
      <c r="CK98" s="17" t="s">
        <v>158</v>
      </c>
      <c r="CL98" s="17" t="s">
        <v>158</v>
      </c>
      <c r="CM98" s="17" t="s">
        <v>158</v>
      </c>
      <c r="CN98" s="17" t="s">
        <v>158</v>
      </c>
      <c r="CO98" s="17" t="s">
        <v>158</v>
      </c>
      <c r="CP98" s="17" t="s">
        <v>158</v>
      </c>
      <c r="CQ98" s="17" t="s">
        <v>158</v>
      </c>
      <c r="CR98" s="17" t="s">
        <v>158</v>
      </c>
      <c r="CS98" s="17" t="s">
        <v>158</v>
      </c>
      <c r="CT98" s="17" t="s">
        <v>158</v>
      </c>
      <c r="CU98" s="17" t="s">
        <v>158</v>
      </c>
      <c r="CV98" s="17" t="s">
        <v>158</v>
      </c>
      <c r="CW98" s="17" t="s">
        <v>158</v>
      </c>
      <c r="CX98" s="17" t="s">
        <v>158</v>
      </c>
      <c r="CY98" s="67" t="s">
        <v>158</v>
      </c>
    </row>
    <row r="99" spans="1:103" x14ac:dyDescent="0.2">
      <c r="A99" s="32" t="s">
        <v>80</v>
      </c>
      <c r="B99" s="14" t="s">
        <v>80</v>
      </c>
      <c r="C99" s="14" t="s">
        <v>20</v>
      </c>
      <c r="G99" s="28">
        <v>43679</v>
      </c>
      <c r="H99" s="16">
        <v>2019</v>
      </c>
      <c r="I99" s="135" t="s">
        <v>33</v>
      </c>
      <c r="J99" s="135">
        <v>7</v>
      </c>
      <c r="K99" s="136">
        <v>0.42216146670956894</v>
      </c>
      <c r="L99" s="5" t="s">
        <v>158</v>
      </c>
      <c r="M99" s="5" t="s">
        <v>62</v>
      </c>
      <c r="N99" s="5">
        <v>2.8964904486894712E-2</v>
      </c>
      <c r="O99" s="5">
        <v>0.28256774766770326</v>
      </c>
      <c r="P99" s="5">
        <v>0.29115059973345175</v>
      </c>
      <c r="Q99" s="5">
        <v>1.185810750777432</v>
      </c>
      <c r="R99" s="5">
        <v>0.92812083518436239</v>
      </c>
      <c r="S99" s="5">
        <v>0.37695246557085743</v>
      </c>
      <c r="T99" s="5">
        <v>3.0935673034207016</v>
      </c>
      <c r="U99" s="17">
        <f t="shared" si="4"/>
        <v>33.191289644812684</v>
      </c>
      <c r="V99" s="5" t="s">
        <v>60</v>
      </c>
      <c r="W99" s="5">
        <v>8.7246010794448769E-2</v>
      </c>
      <c r="X99" s="5">
        <v>3.0655831983287474E-2</v>
      </c>
      <c r="Y99" s="5">
        <v>5.970175928607574E-2</v>
      </c>
      <c r="Z99" s="5" t="s">
        <v>72</v>
      </c>
      <c r="AA99" s="5" t="s">
        <v>56</v>
      </c>
      <c r="AB99" s="5" t="s">
        <v>60</v>
      </c>
      <c r="AC99" s="5" t="s">
        <v>65</v>
      </c>
      <c r="AD99" s="5">
        <v>0.17760360206381198</v>
      </c>
      <c r="AE99" s="17">
        <f t="shared" si="8"/>
        <v>0.17760360206381198</v>
      </c>
      <c r="AF99" s="5" t="s">
        <v>72</v>
      </c>
      <c r="AG99" s="18" t="s">
        <v>158</v>
      </c>
      <c r="AH99" s="18">
        <v>0.22399134332972637</v>
      </c>
      <c r="AI99" s="5" t="s">
        <v>69</v>
      </c>
      <c r="AJ99" s="5" t="s">
        <v>65</v>
      </c>
      <c r="AK99" s="5" t="s">
        <v>69</v>
      </c>
      <c r="AL99" s="5" t="s">
        <v>69</v>
      </c>
      <c r="AM99" s="5" t="s">
        <v>126</v>
      </c>
      <c r="AN99" s="5" t="s">
        <v>69</v>
      </c>
      <c r="AO99" s="5" t="s">
        <v>126</v>
      </c>
      <c r="AP99" s="5" t="s">
        <v>69</v>
      </c>
      <c r="AQ99" s="5" t="s">
        <v>69</v>
      </c>
      <c r="AR99" s="5" t="s">
        <v>65</v>
      </c>
      <c r="AS99" s="5" t="s">
        <v>158</v>
      </c>
      <c r="AT99" s="5" t="s">
        <v>158</v>
      </c>
      <c r="AU99" s="5" t="s">
        <v>158</v>
      </c>
      <c r="AV99" s="5" t="s">
        <v>158</v>
      </c>
      <c r="AW99" s="5" t="s">
        <v>158</v>
      </c>
      <c r="BC99" s="17" t="s">
        <v>158</v>
      </c>
      <c r="BD99" s="17" t="s">
        <v>158</v>
      </c>
      <c r="BE99" s="17" t="s">
        <v>158</v>
      </c>
      <c r="BF99" s="17" t="s">
        <v>158</v>
      </c>
      <c r="BG99" s="17" t="s">
        <v>158</v>
      </c>
      <c r="BH99" s="17" t="s">
        <v>158</v>
      </c>
      <c r="BI99" s="17" t="s">
        <v>158</v>
      </c>
      <c r="BJ99" s="17" t="s">
        <v>158</v>
      </c>
      <c r="BK99" s="17" t="s">
        <v>158</v>
      </c>
      <c r="BL99" s="17" t="s">
        <v>158</v>
      </c>
      <c r="BM99" s="17" t="s">
        <v>158</v>
      </c>
      <c r="BN99" s="17">
        <v>230</v>
      </c>
      <c r="BO99" s="17" t="s">
        <v>158</v>
      </c>
      <c r="BP99" s="17" t="s">
        <v>158</v>
      </c>
      <c r="BQ99" s="17" t="s">
        <v>158</v>
      </c>
      <c r="BR99" s="17" t="s">
        <v>158</v>
      </c>
      <c r="BS99" s="17" t="s">
        <v>158</v>
      </c>
      <c r="BT99" s="17" t="s">
        <v>158</v>
      </c>
      <c r="BU99" s="17" t="s">
        <v>158</v>
      </c>
      <c r="BV99" s="17" t="s">
        <v>158</v>
      </c>
      <c r="BW99" s="17" t="s">
        <v>158</v>
      </c>
      <c r="BX99" s="17" t="s">
        <v>158</v>
      </c>
      <c r="BY99" s="17" t="s">
        <v>158</v>
      </c>
      <c r="BZ99" s="17" t="s">
        <v>158</v>
      </c>
      <c r="CA99" s="17" t="s">
        <v>158</v>
      </c>
      <c r="CB99" s="17" t="s">
        <v>158</v>
      </c>
      <c r="CC99" s="17" t="s">
        <v>158</v>
      </c>
      <c r="CD99" s="17" t="s">
        <v>158</v>
      </c>
      <c r="CE99" s="17" t="s">
        <v>158</v>
      </c>
      <c r="CF99" s="17" t="s">
        <v>158</v>
      </c>
      <c r="CG99" s="17" t="s">
        <v>158</v>
      </c>
      <c r="CH99" s="17" t="s">
        <v>158</v>
      </c>
      <c r="CI99" s="17" t="s">
        <v>158</v>
      </c>
      <c r="CJ99" s="17" t="s">
        <v>158</v>
      </c>
      <c r="CK99" s="17" t="s">
        <v>158</v>
      </c>
      <c r="CL99" s="17" t="s">
        <v>158</v>
      </c>
      <c r="CM99" s="17" t="s">
        <v>158</v>
      </c>
      <c r="CN99" s="17" t="s">
        <v>158</v>
      </c>
      <c r="CO99" s="17" t="s">
        <v>158</v>
      </c>
      <c r="CP99" s="17" t="s">
        <v>158</v>
      </c>
      <c r="CQ99" s="17" t="s">
        <v>158</v>
      </c>
      <c r="CR99" s="17" t="s">
        <v>158</v>
      </c>
      <c r="CS99" s="17" t="s">
        <v>158</v>
      </c>
      <c r="CT99" s="17" t="s">
        <v>158</v>
      </c>
      <c r="CU99" s="17" t="s">
        <v>158</v>
      </c>
      <c r="CV99" s="17" t="s">
        <v>158</v>
      </c>
      <c r="CW99" s="17" t="s">
        <v>158</v>
      </c>
      <c r="CX99" s="17" t="s">
        <v>158</v>
      </c>
      <c r="CY99" s="67" t="s">
        <v>158</v>
      </c>
    </row>
    <row r="100" spans="1:103" x14ac:dyDescent="0.2">
      <c r="A100" s="32" t="s">
        <v>16</v>
      </c>
      <c r="B100" s="14" t="s">
        <v>16</v>
      </c>
      <c r="C100" s="14" t="s">
        <v>20</v>
      </c>
      <c r="G100" s="28">
        <v>43696</v>
      </c>
      <c r="H100" s="16">
        <v>2019</v>
      </c>
      <c r="I100" s="135" t="s">
        <v>33</v>
      </c>
      <c r="J100" s="135">
        <v>10</v>
      </c>
      <c r="K100" s="136">
        <v>0.46716787623309808</v>
      </c>
      <c r="L100" s="5" t="s">
        <v>158</v>
      </c>
      <c r="M100" s="5" t="s">
        <v>62</v>
      </c>
      <c r="N100" s="5" t="s">
        <v>56</v>
      </c>
      <c r="O100" s="5">
        <v>7.8970289364173038E-2</v>
      </c>
      <c r="P100" s="5">
        <v>9.7435401141972314E-2</v>
      </c>
      <c r="Q100" s="5">
        <v>0.2798799961289074</v>
      </c>
      <c r="R100" s="5">
        <v>0.25675021774895962</v>
      </c>
      <c r="S100" s="5">
        <v>0.11981999419336108</v>
      </c>
      <c r="T100" s="5">
        <v>0.83285589857737352</v>
      </c>
      <c r="U100" s="17">
        <f t="shared" si="4"/>
        <v>7.8710516588308366</v>
      </c>
      <c r="V100" s="5" t="s">
        <v>60</v>
      </c>
      <c r="W100" s="5">
        <v>2.3736099647809625E-2</v>
      </c>
      <c r="X100" s="5" t="s">
        <v>60</v>
      </c>
      <c r="Y100" s="5">
        <v>2.733877676890157E-2</v>
      </c>
      <c r="Z100" s="5" t="s">
        <v>72</v>
      </c>
      <c r="AA100" s="5" t="s">
        <v>56</v>
      </c>
      <c r="AB100" s="5" t="s">
        <v>60</v>
      </c>
      <c r="AC100" s="5">
        <v>0.28089615794057871</v>
      </c>
      <c r="AD100" s="5">
        <v>0.33197103435728992</v>
      </c>
      <c r="AE100" s="17">
        <f t="shared" si="8"/>
        <v>5.1074876416711198E-2</v>
      </c>
      <c r="AF100" s="5" t="s">
        <v>72</v>
      </c>
      <c r="AG100" s="18" t="s">
        <v>158</v>
      </c>
      <c r="AH100" s="18" t="s">
        <v>65</v>
      </c>
      <c r="AI100" s="5" t="s">
        <v>69</v>
      </c>
      <c r="AJ100" s="5" t="s">
        <v>65</v>
      </c>
      <c r="AK100" s="5" t="s">
        <v>69</v>
      </c>
      <c r="AL100" s="5" t="s">
        <v>69</v>
      </c>
      <c r="AM100" s="5" t="s">
        <v>126</v>
      </c>
      <c r="AN100" s="5" t="s">
        <v>69</v>
      </c>
      <c r="AO100" s="5" t="s">
        <v>126</v>
      </c>
      <c r="AP100" s="5" t="s">
        <v>69</v>
      </c>
      <c r="AQ100" s="5" t="s">
        <v>69</v>
      </c>
      <c r="AR100" s="5" t="s">
        <v>65</v>
      </c>
      <c r="AS100" s="5" t="s">
        <v>158</v>
      </c>
      <c r="AT100" s="5" t="s">
        <v>158</v>
      </c>
      <c r="AU100" s="5" t="s">
        <v>158</v>
      </c>
      <c r="AV100" s="5" t="s">
        <v>158</v>
      </c>
      <c r="AW100" s="5" t="s">
        <v>158</v>
      </c>
      <c r="BC100" s="17" t="s">
        <v>158</v>
      </c>
      <c r="BD100" s="17" t="s">
        <v>158</v>
      </c>
      <c r="BE100" s="17" t="s">
        <v>158</v>
      </c>
      <c r="BF100" s="17" t="s">
        <v>158</v>
      </c>
      <c r="BG100" s="17" t="s">
        <v>158</v>
      </c>
      <c r="BH100" s="17" t="s">
        <v>158</v>
      </c>
      <c r="BI100" s="17" t="s">
        <v>158</v>
      </c>
      <c r="BJ100" s="17" t="s">
        <v>158</v>
      </c>
      <c r="BK100" s="17" t="s">
        <v>158</v>
      </c>
      <c r="BL100" s="17" t="s">
        <v>158</v>
      </c>
      <c r="BM100" s="17" t="s">
        <v>158</v>
      </c>
      <c r="BN100" s="17">
        <v>310</v>
      </c>
      <c r="BO100" s="17" t="s">
        <v>158</v>
      </c>
      <c r="BP100" s="17" t="s">
        <v>158</v>
      </c>
      <c r="BQ100" s="17" t="s">
        <v>158</v>
      </c>
      <c r="BR100" s="17" t="s">
        <v>158</v>
      </c>
      <c r="BS100" s="17" t="s">
        <v>158</v>
      </c>
      <c r="BT100" s="17" t="s">
        <v>158</v>
      </c>
      <c r="BU100" s="17" t="s">
        <v>158</v>
      </c>
      <c r="BV100" s="17" t="s">
        <v>158</v>
      </c>
      <c r="BW100" s="17" t="s">
        <v>158</v>
      </c>
      <c r="BX100" s="17" t="s">
        <v>158</v>
      </c>
      <c r="BY100" s="17" t="s">
        <v>158</v>
      </c>
      <c r="BZ100" s="17" t="s">
        <v>158</v>
      </c>
      <c r="CA100" s="17" t="s">
        <v>158</v>
      </c>
      <c r="CB100" s="17" t="s">
        <v>158</v>
      </c>
      <c r="CC100" s="17" t="s">
        <v>158</v>
      </c>
      <c r="CD100" s="17" t="s">
        <v>158</v>
      </c>
      <c r="CE100" s="17" t="s">
        <v>158</v>
      </c>
      <c r="CF100" s="17" t="s">
        <v>158</v>
      </c>
      <c r="CG100" s="17" t="s">
        <v>158</v>
      </c>
      <c r="CH100" s="17" t="s">
        <v>158</v>
      </c>
      <c r="CI100" s="17" t="s">
        <v>158</v>
      </c>
      <c r="CJ100" s="17" t="s">
        <v>158</v>
      </c>
      <c r="CK100" s="17" t="s">
        <v>158</v>
      </c>
      <c r="CL100" s="17" t="s">
        <v>158</v>
      </c>
      <c r="CM100" s="17" t="s">
        <v>158</v>
      </c>
      <c r="CN100" s="17" t="s">
        <v>158</v>
      </c>
      <c r="CO100" s="17" t="s">
        <v>158</v>
      </c>
      <c r="CP100" s="17" t="s">
        <v>158</v>
      </c>
      <c r="CQ100" s="17" t="s">
        <v>158</v>
      </c>
      <c r="CR100" s="17" t="s">
        <v>158</v>
      </c>
      <c r="CS100" s="17" t="s">
        <v>158</v>
      </c>
      <c r="CT100" s="17" t="s">
        <v>158</v>
      </c>
      <c r="CU100" s="17" t="s">
        <v>158</v>
      </c>
      <c r="CV100" s="17" t="s">
        <v>158</v>
      </c>
      <c r="CW100" s="17" t="s">
        <v>158</v>
      </c>
      <c r="CX100" s="17" t="s">
        <v>158</v>
      </c>
      <c r="CY100" s="67" t="s">
        <v>158</v>
      </c>
    </row>
    <row r="101" spans="1:103" x14ac:dyDescent="0.2">
      <c r="A101" s="32" t="s">
        <v>32</v>
      </c>
      <c r="B101" s="14" t="s">
        <v>32</v>
      </c>
      <c r="C101" s="14" t="s">
        <v>31</v>
      </c>
      <c r="G101" s="16" t="s">
        <v>31</v>
      </c>
      <c r="H101" s="16">
        <v>2018</v>
      </c>
      <c r="I101" s="135" t="s">
        <v>3</v>
      </c>
      <c r="J101" s="135" t="s">
        <v>158</v>
      </c>
      <c r="K101" s="136" t="s">
        <v>158</v>
      </c>
      <c r="L101" s="5" t="s">
        <v>158</v>
      </c>
      <c r="M101" s="5">
        <v>1.4999999999999999E-2</v>
      </c>
      <c r="N101" s="5">
        <v>2.3E-2</v>
      </c>
      <c r="O101" s="5">
        <v>0.01</v>
      </c>
      <c r="P101" s="5">
        <v>0.01</v>
      </c>
      <c r="Q101" s="5">
        <v>5.0000000000000001E-3</v>
      </c>
      <c r="R101" s="5">
        <v>0.01</v>
      </c>
      <c r="S101" s="5">
        <v>5.0000000000000001E-3</v>
      </c>
      <c r="T101" s="5" t="s">
        <v>158</v>
      </c>
      <c r="U101" s="17" t="s">
        <v>158</v>
      </c>
      <c r="V101" s="5">
        <v>1.2999999999999999E-2</v>
      </c>
      <c r="W101" s="5">
        <v>0.01</v>
      </c>
      <c r="X101" s="5">
        <v>1.2999999999999999E-2</v>
      </c>
      <c r="Y101" s="5">
        <v>1.4999999999999999E-2</v>
      </c>
      <c r="Z101" s="5">
        <v>0.01</v>
      </c>
      <c r="AA101" s="5">
        <v>0.02</v>
      </c>
      <c r="AB101" s="5">
        <v>1.2999999999999999E-2</v>
      </c>
      <c r="AC101" s="5">
        <v>0.1</v>
      </c>
      <c r="AD101" s="5" t="s">
        <v>158</v>
      </c>
      <c r="AE101" s="17" t="s">
        <v>158</v>
      </c>
      <c r="AF101" s="5">
        <v>4.0000000000000001E-3</v>
      </c>
      <c r="AG101" s="18" t="s">
        <v>158</v>
      </c>
      <c r="AH101" s="18">
        <v>0.2</v>
      </c>
      <c r="AI101" s="5">
        <v>0.2</v>
      </c>
      <c r="AJ101" s="5">
        <v>0.2</v>
      </c>
      <c r="AK101" s="5">
        <v>0.02</v>
      </c>
      <c r="AL101" s="5">
        <v>0.1</v>
      </c>
      <c r="AM101" s="5">
        <v>0.1</v>
      </c>
      <c r="AN101" s="5">
        <v>0.1</v>
      </c>
      <c r="AO101" s="5">
        <v>0.02</v>
      </c>
      <c r="AP101" s="5">
        <v>0.05</v>
      </c>
      <c r="AQ101" s="5">
        <v>0.1</v>
      </c>
      <c r="AR101" s="5">
        <v>0.05</v>
      </c>
      <c r="AS101" s="5" t="s">
        <v>158</v>
      </c>
      <c r="AT101" s="5" t="s">
        <v>158</v>
      </c>
      <c r="AU101" s="5" t="s">
        <v>158</v>
      </c>
      <c r="AV101" s="5" t="s">
        <v>158</v>
      </c>
      <c r="AW101" s="5" t="s">
        <v>158</v>
      </c>
      <c r="BC101" s="5">
        <v>0.2</v>
      </c>
      <c r="BD101" s="5">
        <v>0.2</v>
      </c>
      <c r="BE101" s="5">
        <v>0.21</v>
      </c>
      <c r="BF101" s="5">
        <v>0.02</v>
      </c>
      <c r="BG101" s="5">
        <v>0.2</v>
      </c>
      <c r="BH101" s="5">
        <v>0.05</v>
      </c>
      <c r="BI101" s="5">
        <v>0.1</v>
      </c>
      <c r="BJ101" s="5">
        <v>0.1</v>
      </c>
      <c r="BK101" s="5">
        <v>0.05</v>
      </c>
      <c r="BL101" s="5">
        <v>0.1</v>
      </c>
      <c r="BM101" s="5">
        <v>0.05</v>
      </c>
      <c r="BN101" s="17">
        <v>0.03</v>
      </c>
      <c r="BO101" s="5">
        <v>0.9506116229162711</v>
      </c>
      <c r="BP101" s="5">
        <v>1.3851882404237692</v>
      </c>
      <c r="BQ101" s="5">
        <v>0.18672634249058467</v>
      </c>
      <c r="BR101" s="5">
        <v>0.78167462607052207</v>
      </c>
      <c r="BS101" s="5">
        <v>0.18672634249058467</v>
      </c>
      <c r="BT101" s="5">
        <v>1.8672634249058466</v>
      </c>
      <c r="BU101" s="5">
        <v>1.8672634249058466</v>
      </c>
      <c r="BV101" s="5">
        <v>0.18672634249058467</v>
      </c>
      <c r="BW101" s="5">
        <v>0.18672634249058467</v>
      </c>
      <c r="BX101" s="5">
        <v>0.18672634249058467</v>
      </c>
      <c r="BY101" s="5">
        <v>6.2724999614951663E-2</v>
      </c>
      <c r="BZ101" s="5">
        <v>0.18672634249058467</v>
      </c>
      <c r="CA101" s="5">
        <v>0.18672634249058467</v>
      </c>
      <c r="CB101" s="5">
        <v>0.18672634249058467</v>
      </c>
      <c r="CC101" s="5">
        <v>0.18672634249058467</v>
      </c>
      <c r="CD101" s="5">
        <v>0.18672634249058467</v>
      </c>
      <c r="CE101" s="5">
        <v>0.12690837857116516</v>
      </c>
      <c r="CF101" s="5">
        <v>0.18672634249058467</v>
      </c>
      <c r="CG101" s="5">
        <v>0.18672634249058467</v>
      </c>
      <c r="CH101" s="5">
        <v>0.18672634249058467</v>
      </c>
      <c r="CI101" s="17" t="s">
        <v>158</v>
      </c>
      <c r="CJ101" s="17" t="s">
        <v>158</v>
      </c>
      <c r="CK101" s="17" t="s">
        <v>158</v>
      </c>
      <c r="CL101" s="17" t="s">
        <v>158</v>
      </c>
      <c r="CM101" s="17" t="s">
        <v>158</v>
      </c>
      <c r="CN101" s="17" t="s">
        <v>158</v>
      </c>
      <c r="CO101" s="17" t="s">
        <v>158</v>
      </c>
      <c r="CP101" s="17" t="s">
        <v>158</v>
      </c>
      <c r="CQ101" s="17" t="s">
        <v>158</v>
      </c>
      <c r="CR101" s="17" t="s">
        <v>158</v>
      </c>
      <c r="CS101" s="17" t="s">
        <v>158</v>
      </c>
      <c r="CT101" s="17" t="s">
        <v>158</v>
      </c>
      <c r="CU101" s="17" t="s">
        <v>158</v>
      </c>
      <c r="CV101" s="17" t="s">
        <v>158</v>
      </c>
      <c r="CW101" s="17" t="s">
        <v>158</v>
      </c>
      <c r="CX101" s="17" t="s">
        <v>158</v>
      </c>
      <c r="CY101" s="67" t="s">
        <v>158</v>
      </c>
    </row>
    <row r="102" spans="1:103" x14ac:dyDescent="0.2">
      <c r="A102" s="32" t="s">
        <v>4</v>
      </c>
      <c r="B102" s="14" t="s">
        <v>4</v>
      </c>
      <c r="C102" s="14" t="s">
        <v>19</v>
      </c>
      <c r="G102" s="4">
        <v>43332</v>
      </c>
      <c r="H102" s="16">
        <v>2018</v>
      </c>
      <c r="I102" s="135" t="s">
        <v>33</v>
      </c>
      <c r="J102" s="135">
        <v>10</v>
      </c>
      <c r="K102" s="136">
        <v>0.292873413602383</v>
      </c>
      <c r="L102" s="5">
        <v>5.4901960784313752</v>
      </c>
      <c r="M102" s="5">
        <v>0.27893942660056048</v>
      </c>
      <c r="N102" s="5">
        <v>0.60719443845656385</v>
      </c>
      <c r="O102" s="5">
        <v>1.9677408924337139</v>
      </c>
      <c r="P102" s="5">
        <v>1.7948049148523388</v>
      </c>
      <c r="Q102" s="5">
        <v>3.2576255658547097</v>
      </c>
      <c r="R102" s="5">
        <v>3.238844578572968</v>
      </c>
      <c r="S102" s="5">
        <v>0.73065854710066824</v>
      </c>
      <c r="T102" s="5">
        <v>11.875808363871524</v>
      </c>
      <c r="U102" s="17">
        <f t="shared" si="4"/>
        <v>172.10513110462068</v>
      </c>
      <c r="V102" s="5" t="s">
        <v>67</v>
      </c>
      <c r="W102" s="5">
        <v>0.11104504541588939</v>
      </c>
      <c r="X102" s="5">
        <v>5.6389560447935305E-2</v>
      </c>
      <c r="Y102" s="5">
        <v>9.8603534806820936E-2</v>
      </c>
      <c r="Z102" s="5">
        <v>8.5933030233457039E-2</v>
      </c>
      <c r="AA102" s="5" t="s">
        <v>68</v>
      </c>
      <c r="AB102" s="5" t="s">
        <v>67</v>
      </c>
      <c r="AC102" s="5" t="s">
        <v>65</v>
      </c>
      <c r="AD102" s="5">
        <v>0.35197117090410268</v>
      </c>
      <c r="AE102" s="17">
        <f t="shared" ref="AE102:AE155" si="9">SUM(V102,W102,Y102,X102,AB102,AA102)</f>
        <v>0.26603814067064563</v>
      </c>
      <c r="AF102" s="5">
        <v>4.4956348350937703E-2</v>
      </c>
      <c r="AG102" s="18">
        <f>(AF102/K102)*5</f>
        <v>0.76750476934673717</v>
      </c>
      <c r="AH102" s="18">
        <v>11.850856232576664</v>
      </c>
      <c r="AI102" s="5" t="s">
        <v>69</v>
      </c>
      <c r="AJ102" s="5" t="s">
        <v>69</v>
      </c>
      <c r="AK102" s="5" t="s">
        <v>56</v>
      </c>
      <c r="AL102" s="5">
        <v>0.16427718040621267</v>
      </c>
      <c r="AM102" s="5" t="s">
        <v>65</v>
      </c>
      <c r="AN102" s="5">
        <v>0.39117881322182402</v>
      </c>
      <c r="AO102" s="5" t="s">
        <v>69</v>
      </c>
      <c r="AP102" s="5" t="s">
        <v>71</v>
      </c>
      <c r="AQ102" s="5">
        <v>0.33157440594716581</v>
      </c>
      <c r="AR102" s="5">
        <v>0.12208615425461304</v>
      </c>
      <c r="AS102" s="5" t="s">
        <v>158</v>
      </c>
      <c r="AT102" s="5" t="s">
        <v>158</v>
      </c>
      <c r="AU102" s="5" t="s">
        <v>158</v>
      </c>
      <c r="AV102" s="5" t="s">
        <v>158</v>
      </c>
      <c r="AW102" s="5" t="s">
        <v>158</v>
      </c>
      <c r="BC102" s="5">
        <v>140</v>
      </c>
      <c r="BD102" s="5" t="s">
        <v>69</v>
      </c>
      <c r="BE102" s="5" t="s">
        <v>65</v>
      </c>
      <c r="BF102" s="5">
        <v>3.9414414414414414E-2</v>
      </c>
      <c r="BG102" s="5" t="s">
        <v>69</v>
      </c>
      <c r="BH102" s="5" t="s">
        <v>71</v>
      </c>
      <c r="BI102" s="5">
        <v>6.2473817567567576</v>
      </c>
      <c r="BJ102" s="5">
        <v>0.95692567567567577</v>
      </c>
      <c r="BK102" s="5" t="s">
        <v>71</v>
      </c>
      <c r="BL102" s="5">
        <v>4.8378659909909913</v>
      </c>
      <c r="BM102" s="5">
        <v>0.22687781531531537</v>
      </c>
      <c r="BN102" s="17">
        <v>100</v>
      </c>
      <c r="BO102" s="5" t="s">
        <v>45</v>
      </c>
      <c r="BP102" s="5" t="s">
        <v>162</v>
      </c>
      <c r="BQ102" s="5">
        <v>2.1565513994647985</v>
      </c>
      <c r="BR102" s="5" t="s">
        <v>163</v>
      </c>
      <c r="BS102" s="5" t="s">
        <v>69</v>
      </c>
      <c r="BT102" s="5">
        <v>2.8482671838103841</v>
      </c>
      <c r="BU102" s="5">
        <v>4.94355775638215</v>
      </c>
      <c r="BV102" s="5" t="s">
        <v>128</v>
      </c>
      <c r="BW102" s="5" t="s">
        <v>128</v>
      </c>
      <c r="BX102" s="5" t="s">
        <v>128</v>
      </c>
      <c r="BY102" s="5">
        <v>0.46182250865355157</v>
      </c>
      <c r="BZ102" s="5">
        <v>1.96622118572614</v>
      </c>
      <c r="CA102" s="5" t="s">
        <v>128</v>
      </c>
      <c r="CB102" s="5">
        <v>0.27326767661836199</v>
      </c>
      <c r="CC102" s="5">
        <v>10.957537485233415</v>
      </c>
      <c r="CD102" s="5" t="s">
        <v>128</v>
      </c>
      <c r="CE102" s="5">
        <v>0.56363211476430231</v>
      </c>
      <c r="CF102" s="5" t="s">
        <v>128</v>
      </c>
      <c r="CG102" s="5" t="s">
        <v>128</v>
      </c>
      <c r="CH102" s="5" t="s">
        <v>128</v>
      </c>
      <c r="CI102" s="17" t="s">
        <v>158</v>
      </c>
      <c r="CJ102" s="17" t="s">
        <v>158</v>
      </c>
      <c r="CK102" s="17" t="s">
        <v>158</v>
      </c>
      <c r="CL102" s="17" t="s">
        <v>158</v>
      </c>
      <c r="CM102" s="17" t="s">
        <v>158</v>
      </c>
      <c r="CN102" s="17" t="s">
        <v>158</v>
      </c>
      <c r="CO102" s="17" t="s">
        <v>158</v>
      </c>
      <c r="CP102" s="17" t="s">
        <v>158</v>
      </c>
      <c r="CQ102" s="17" t="s">
        <v>158</v>
      </c>
      <c r="CR102" s="17" t="s">
        <v>158</v>
      </c>
      <c r="CS102" s="17" t="s">
        <v>158</v>
      </c>
      <c r="CT102" s="17" t="s">
        <v>158</v>
      </c>
      <c r="CU102" s="17" t="s">
        <v>158</v>
      </c>
      <c r="CV102" s="17" t="s">
        <v>158</v>
      </c>
      <c r="CW102" s="17" t="s">
        <v>158</v>
      </c>
      <c r="CX102" s="17" t="s">
        <v>158</v>
      </c>
      <c r="CY102" s="67" t="s">
        <v>158</v>
      </c>
    </row>
    <row r="103" spans="1:103" x14ac:dyDescent="0.2">
      <c r="A103" s="32" t="s">
        <v>82</v>
      </c>
      <c r="B103" s="14" t="s">
        <v>82</v>
      </c>
      <c r="C103" s="14" t="s">
        <v>19</v>
      </c>
      <c r="G103" s="4">
        <v>43329</v>
      </c>
      <c r="H103" s="16">
        <v>2018</v>
      </c>
      <c r="I103" s="135" t="s">
        <v>33</v>
      </c>
      <c r="J103" s="135">
        <v>15</v>
      </c>
      <c r="K103" s="136">
        <v>0.25720620842575137</v>
      </c>
      <c r="L103" s="5">
        <v>3.2450808694756677</v>
      </c>
      <c r="M103" s="5">
        <v>0.68899128290835587</v>
      </c>
      <c r="N103" s="5">
        <v>1.2293456115012402</v>
      </c>
      <c r="O103" s="5">
        <v>4.6938896402560601</v>
      </c>
      <c r="P103" s="5">
        <v>3.8195135216425982</v>
      </c>
      <c r="Q103" s="5">
        <v>7.9998650273419969</v>
      </c>
      <c r="R103" s="5">
        <v>7.3394171546110716</v>
      </c>
      <c r="S103" s="5">
        <v>2.4935294199585876</v>
      </c>
      <c r="T103" s="5">
        <v>28.264551658219911</v>
      </c>
      <c r="U103" s="17">
        <f t="shared" si="4"/>
        <v>475.2031120515108</v>
      </c>
      <c r="V103" s="5" t="s">
        <v>60</v>
      </c>
      <c r="W103" s="5">
        <v>8.6783707965423215E-2</v>
      </c>
      <c r="X103" s="5">
        <v>3.1317323877682657E-2</v>
      </c>
      <c r="Y103" s="5">
        <v>4.7012528414843338E-2</v>
      </c>
      <c r="Z103" s="5" t="s">
        <v>60</v>
      </c>
      <c r="AA103" s="5" t="s">
        <v>56</v>
      </c>
      <c r="AB103" s="5">
        <v>3.0430310686378602E-2</v>
      </c>
      <c r="AC103" s="5" t="s">
        <v>65</v>
      </c>
      <c r="AD103" s="5">
        <v>0.19554387094432782</v>
      </c>
      <c r="AE103" s="17">
        <f t="shared" si="9"/>
        <v>0.19554387094432782</v>
      </c>
      <c r="AF103" s="5">
        <v>2.8855094118948973E-2</v>
      </c>
      <c r="AG103" s="18">
        <f t="shared" ref="AG103:AG111" si="10">(AF103/K103)*5</f>
        <v>0.56093307963984618</v>
      </c>
      <c r="AH103" s="18">
        <v>3.9216209010930423</v>
      </c>
      <c r="AI103" s="5" t="s">
        <v>69</v>
      </c>
      <c r="AJ103" s="5" t="s">
        <v>69</v>
      </c>
      <c r="AK103" s="5" t="s">
        <v>56</v>
      </c>
      <c r="AL103" s="5" t="s">
        <v>65</v>
      </c>
      <c r="AM103" s="5" t="s">
        <v>65</v>
      </c>
      <c r="AN103" s="5" t="s">
        <v>65</v>
      </c>
      <c r="AO103" s="5" t="s">
        <v>69</v>
      </c>
      <c r="AP103" s="5" t="s">
        <v>71</v>
      </c>
      <c r="AQ103" s="5">
        <v>0.14399123196777155</v>
      </c>
      <c r="AR103" s="5">
        <v>0.1151900234011671</v>
      </c>
      <c r="AS103" s="5" t="s">
        <v>158</v>
      </c>
      <c r="AT103" s="5" t="s">
        <v>158</v>
      </c>
      <c r="AU103" s="5" t="s">
        <v>158</v>
      </c>
      <c r="AV103" s="5" t="s">
        <v>158</v>
      </c>
      <c r="AW103" s="5" t="s">
        <v>158</v>
      </c>
      <c r="BC103" s="5">
        <v>58.548868560423685</v>
      </c>
      <c r="BD103" s="5" t="s">
        <v>69</v>
      </c>
      <c r="BE103" s="5" t="s">
        <v>65</v>
      </c>
      <c r="BF103" s="5">
        <v>0.31937088749799392</v>
      </c>
      <c r="BG103" s="5" t="s">
        <v>69</v>
      </c>
      <c r="BH103" s="5">
        <v>8.9231263039640463E-2</v>
      </c>
      <c r="BI103" s="5">
        <v>2.0865671641791042</v>
      </c>
      <c r="BJ103" s="5">
        <v>0.6913818006740492</v>
      </c>
      <c r="BK103" s="5">
        <v>0.68656716417910446</v>
      </c>
      <c r="BL103" s="5">
        <v>1.8276681110576152</v>
      </c>
      <c r="BM103" s="5">
        <v>0.32992136093724922</v>
      </c>
      <c r="BN103" s="17">
        <v>240</v>
      </c>
      <c r="BO103" s="5">
        <v>3.7147480048698935</v>
      </c>
      <c r="BP103" s="5" t="s">
        <v>162</v>
      </c>
      <c r="BQ103" s="5" t="s">
        <v>69</v>
      </c>
      <c r="BR103" s="5">
        <v>2.8242698857238118</v>
      </c>
      <c r="BS103" s="5" t="s">
        <v>69</v>
      </c>
      <c r="BT103" s="5" t="s">
        <v>164</v>
      </c>
      <c r="BU103" s="5" t="s">
        <v>164</v>
      </c>
      <c r="BV103" s="5" t="s">
        <v>128</v>
      </c>
      <c r="BW103" s="5">
        <v>0.21533437308481992</v>
      </c>
      <c r="BX103" s="5" t="s">
        <v>128</v>
      </c>
      <c r="BY103" s="5">
        <v>0.15844538234022512</v>
      </c>
      <c r="BZ103" s="5">
        <v>1.5987682877689999</v>
      </c>
      <c r="CA103" s="5" t="s">
        <v>128</v>
      </c>
      <c r="CB103" s="5">
        <v>0.28858978820912901</v>
      </c>
      <c r="CC103" s="5" t="s">
        <v>128</v>
      </c>
      <c r="CD103" s="5">
        <v>0.23481159751060296</v>
      </c>
      <c r="CE103" s="5">
        <v>1.5119068209517521</v>
      </c>
      <c r="CF103" s="5" t="s">
        <v>128</v>
      </c>
      <c r="CG103" s="5" t="s">
        <v>128</v>
      </c>
      <c r="CH103" s="5" t="s">
        <v>128</v>
      </c>
      <c r="CI103" s="17" t="s">
        <v>158</v>
      </c>
      <c r="CJ103" s="17" t="s">
        <v>158</v>
      </c>
      <c r="CK103" s="17" t="s">
        <v>158</v>
      </c>
      <c r="CL103" s="17" t="s">
        <v>158</v>
      </c>
      <c r="CM103" s="17" t="s">
        <v>158</v>
      </c>
      <c r="CN103" s="17" t="s">
        <v>158</v>
      </c>
      <c r="CO103" s="17" t="s">
        <v>158</v>
      </c>
      <c r="CP103" s="17" t="s">
        <v>158</v>
      </c>
      <c r="CQ103" s="17" t="s">
        <v>158</v>
      </c>
      <c r="CR103" s="17" t="s">
        <v>158</v>
      </c>
      <c r="CS103" s="17" t="s">
        <v>158</v>
      </c>
      <c r="CT103" s="17" t="s">
        <v>158</v>
      </c>
      <c r="CU103" s="17" t="s">
        <v>158</v>
      </c>
      <c r="CV103" s="17" t="s">
        <v>158</v>
      </c>
      <c r="CW103" s="17" t="s">
        <v>158</v>
      </c>
      <c r="CX103" s="17" t="s">
        <v>158</v>
      </c>
      <c r="CY103" s="67" t="s">
        <v>158</v>
      </c>
    </row>
    <row r="104" spans="1:103" x14ac:dyDescent="0.2">
      <c r="A104" s="32" t="s">
        <v>112</v>
      </c>
      <c r="B104" s="14" t="s">
        <v>24</v>
      </c>
      <c r="C104" s="14" t="s">
        <v>19</v>
      </c>
      <c r="G104" s="4">
        <v>43333</v>
      </c>
      <c r="H104" s="16">
        <v>2018</v>
      </c>
      <c r="I104" s="135" t="s">
        <v>33</v>
      </c>
      <c r="J104" s="135">
        <v>12</v>
      </c>
      <c r="K104" s="136">
        <v>0.34308164789861167</v>
      </c>
      <c r="L104" s="5">
        <v>3.6368003843382328</v>
      </c>
      <c r="M104" s="5">
        <v>0.48195788843428794</v>
      </c>
      <c r="N104" s="5">
        <v>1.1328659814389781</v>
      </c>
      <c r="O104" s="5">
        <v>3.2641652529687653</v>
      </c>
      <c r="P104" s="5">
        <v>2.6845524398762599</v>
      </c>
      <c r="Q104" s="5">
        <v>5.1638608921265341</v>
      </c>
      <c r="R104" s="5">
        <v>4.928051092705318</v>
      </c>
      <c r="S104" s="5">
        <v>1.465667099091907</v>
      </c>
      <c r="T104" s="5">
        <v>19.121120646642048</v>
      </c>
      <c r="U104" s="17">
        <f t="shared" si="4"/>
        <v>239.54309866820918</v>
      </c>
      <c r="V104" s="5" t="s">
        <v>60</v>
      </c>
      <c r="W104" s="5">
        <v>7.4620489115553551E-2</v>
      </c>
      <c r="X104" s="5">
        <v>2.0356902382176214E-2</v>
      </c>
      <c r="Y104" s="5">
        <v>4.5954687725571854E-2</v>
      </c>
      <c r="Z104" s="5" t="s">
        <v>60</v>
      </c>
      <c r="AA104" s="5" t="s">
        <v>56</v>
      </c>
      <c r="AB104" s="5">
        <v>1.2448623407075811E-2</v>
      </c>
      <c r="AC104" s="5" t="s">
        <v>65</v>
      </c>
      <c r="AD104" s="5">
        <v>0.15338070263037742</v>
      </c>
      <c r="AE104" s="17">
        <f t="shared" si="9"/>
        <v>0.15338070263037742</v>
      </c>
      <c r="AF104" s="5">
        <v>3.2574593353956689E-2</v>
      </c>
      <c r="AG104" s="18">
        <f t="shared" si="10"/>
        <v>0.47473529338391213</v>
      </c>
      <c r="AH104" s="18">
        <v>3.5299954894000902</v>
      </c>
      <c r="AI104" s="5" t="s">
        <v>69</v>
      </c>
      <c r="AJ104" s="5" t="s">
        <v>69</v>
      </c>
      <c r="AK104" s="5" t="s">
        <v>56</v>
      </c>
      <c r="AL104" s="5" t="s">
        <v>65</v>
      </c>
      <c r="AM104" s="5" t="s">
        <v>65</v>
      </c>
      <c r="AN104" s="5" t="s">
        <v>65</v>
      </c>
      <c r="AO104" s="5" t="s">
        <v>69</v>
      </c>
      <c r="AP104" s="5" t="s">
        <v>71</v>
      </c>
      <c r="AQ104" s="5">
        <v>0.13805442790557809</v>
      </c>
      <c r="AR104" s="5">
        <v>0.10611035934445948</v>
      </c>
      <c r="AS104" s="5" t="s">
        <v>158</v>
      </c>
      <c r="AT104" s="5" t="s">
        <v>158</v>
      </c>
      <c r="AU104" s="5" t="s">
        <v>158</v>
      </c>
      <c r="AV104" s="5" t="s">
        <v>158</v>
      </c>
      <c r="AW104" s="5" t="s">
        <v>158</v>
      </c>
      <c r="BC104" s="5">
        <v>70.473956338567589</v>
      </c>
      <c r="BD104" s="5" t="s">
        <v>69</v>
      </c>
      <c r="BE104" s="5" t="s">
        <v>65</v>
      </c>
      <c r="BF104" s="5">
        <v>0.22660538746329628</v>
      </c>
      <c r="BG104" s="5" t="s">
        <v>69</v>
      </c>
      <c r="BH104" s="5" t="s">
        <v>71</v>
      </c>
      <c r="BI104" s="5">
        <v>2.9652432018383759</v>
      </c>
      <c r="BJ104" s="5">
        <v>0.93163538873994634</v>
      </c>
      <c r="BK104" s="5" t="s">
        <v>71</v>
      </c>
      <c r="BL104" s="5">
        <v>2.2960870675347884</v>
      </c>
      <c r="BM104" s="5">
        <v>0.20549917017745437</v>
      </c>
      <c r="BN104" s="17">
        <v>190</v>
      </c>
      <c r="BO104" s="5" t="s">
        <v>161</v>
      </c>
      <c r="BP104" s="5" t="s">
        <v>162</v>
      </c>
      <c r="BQ104" s="5">
        <v>0.86593309944948949</v>
      </c>
      <c r="BR104" s="5" t="s">
        <v>163</v>
      </c>
      <c r="BS104" s="5" t="s">
        <v>69</v>
      </c>
      <c r="BT104" s="5" t="s">
        <v>164</v>
      </c>
      <c r="BU104" s="5" t="s">
        <v>164</v>
      </c>
      <c r="BV104" s="5" t="s">
        <v>128</v>
      </c>
      <c r="BW104" s="5" t="s">
        <v>128</v>
      </c>
      <c r="BX104" s="5" t="s">
        <v>128</v>
      </c>
      <c r="BY104" s="5">
        <v>0.42937522720224869</v>
      </c>
      <c r="BZ104" s="5">
        <v>0.70476582515727004</v>
      </c>
      <c r="CA104" s="5" t="s">
        <v>128</v>
      </c>
      <c r="CB104" s="5" t="s">
        <v>128</v>
      </c>
      <c r="CC104" s="5">
        <v>9.0257433236374727</v>
      </c>
      <c r="CD104" s="5" t="s">
        <v>128</v>
      </c>
      <c r="CE104" s="5">
        <v>0.47255119565978276</v>
      </c>
      <c r="CF104" s="5" t="s">
        <v>128</v>
      </c>
      <c r="CG104" s="5" t="s">
        <v>128</v>
      </c>
      <c r="CH104" s="5" t="s">
        <v>128</v>
      </c>
      <c r="CI104" s="17" t="s">
        <v>158</v>
      </c>
      <c r="CJ104" s="17" t="s">
        <v>158</v>
      </c>
      <c r="CK104" s="17" t="s">
        <v>158</v>
      </c>
      <c r="CL104" s="17" t="s">
        <v>158</v>
      </c>
      <c r="CM104" s="17" t="s">
        <v>158</v>
      </c>
      <c r="CN104" s="17" t="s">
        <v>158</v>
      </c>
      <c r="CO104" s="17" t="s">
        <v>158</v>
      </c>
      <c r="CP104" s="17" t="s">
        <v>158</v>
      </c>
      <c r="CQ104" s="17" t="s">
        <v>158</v>
      </c>
      <c r="CR104" s="17" t="s">
        <v>158</v>
      </c>
      <c r="CS104" s="17" t="s">
        <v>158</v>
      </c>
      <c r="CT104" s="17" t="s">
        <v>158</v>
      </c>
      <c r="CU104" s="17" t="s">
        <v>158</v>
      </c>
      <c r="CV104" s="17" t="s">
        <v>158</v>
      </c>
      <c r="CW104" s="17" t="s">
        <v>158</v>
      </c>
      <c r="CX104" s="17" t="s">
        <v>158</v>
      </c>
      <c r="CY104" s="67" t="s">
        <v>158</v>
      </c>
    </row>
    <row r="105" spans="1:103" x14ac:dyDescent="0.2">
      <c r="A105" s="32" t="s">
        <v>21</v>
      </c>
      <c r="B105" s="14" t="s">
        <v>21</v>
      </c>
      <c r="C105" s="14" t="s">
        <v>19</v>
      </c>
      <c r="G105" s="4">
        <v>43327</v>
      </c>
      <c r="H105" s="16">
        <v>2018</v>
      </c>
      <c r="I105" s="135" t="s">
        <v>33</v>
      </c>
      <c r="J105" s="135">
        <v>12</v>
      </c>
      <c r="K105" s="136">
        <v>0.41920597456584663</v>
      </c>
      <c r="L105" s="5">
        <v>3.0491996464696083</v>
      </c>
      <c r="M105" s="5" t="s">
        <v>62</v>
      </c>
      <c r="N105" s="5">
        <v>8.2934702084876716E-2</v>
      </c>
      <c r="O105" s="5">
        <v>1.5298550111122871</v>
      </c>
      <c r="P105" s="5">
        <v>1.3751402264789925</v>
      </c>
      <c r="Q105" s="5">
        <v>6.5432373796168903</v>
      </c>
      <c r="R105" s="5">
        <v>5.5734998412530423</v>
      </c>
      <c r="S105" s="5">
        <v>2.5909143824743364</v>
      </c>
      <c r="T105" s="5">
        <v>17.695581543020424</v>
      </c>
      <c r="U105" s="17">
        <f t="shared" si="4"/>
        <v>194.65897800530877</v>
      </c>
      <c r="V105" s="5" t="s">
        <v>67</v>
      </c>
      <c r="W105" s="5">
        <v>0.22831771465736392</v>
      </c>
      <c r="X105" s="5">
        <v>8.2000012079135501E-2</v>
      </c>
      <c r="Y105" s="5">
        <v>0.15643782434260922</v>
      </c>
      <c r="Z105" s="5" t="s">
        <v>67</v>
      </c>
      <c r="AA105" s="5">
        <v>4.2603244921032436E-2</v>
      </c>
      <c r="AB105" s="5">
        <v>3.0467775155647431E-2</v>
      </c>
      <c r="AC105" s="5" t="s">
        <v>65</v>
      </c>
      <c r="AD105" s="5">
        <v>0.53982657115578858</v>
      </c>
      <c r="AE105" s="17">
        <f t="shared" si="9"/>
        <v>0.53982657115578847</v>
      </c>
      <c r="AF105" s="5">
        <v>3.0560376759445444E-2</v>
      </c>
      <c r="AG105" s="18">
        <f t="shared" si="10"/>
        <v>0.36450311557576787</v>
      </c>
      <c r="AH105" s="18">
        <v>20.195319871673902</v>
      </c>
      <c r="AI105" s="5" t="s">
        <v>69</v>
      </c>
      <c r="AJ105" s="5" t="s">
        <v>69</v>
      </c>
      <c r="AK105" s="5" t="s">
        <v>56</v>
      </c>
      <c r="AL105" s="5" t="s">
        <v>65</v>
      </c>
      <c r="AM105" s="5" t="s">
        <v>65</v>
      </c>
      <c r="AN105" s="5">
        <v>0.34714096999433852</v>
      </c>
      <c r="AO105" s="5" t="s">
        <v>69</v>
      </c>
      <c r="AP105" s="5" t="s">
        <v>71</v>
      </c>
      <c r="AQ105" s="5">
        <v>0.21610995785368306</v>
      </c>
      <c r="AR105" s="5">
        <v>0.10626847832924449</v>
      </c>
      <c r="AS105" s="5" t="s">
        <v>158</v>
      </c>
      <c r="AT105" s="5" t="s">
        <v>158</v>
      </c>
      <c r="AU105" s="5" t="s">
        <v>158</v>
      </c>
      <c r="AV105" s="5" t="s">
        <v>158</v>
      </c>
      <c r="AW105" s="5" t="s">
        <v>158</v>
      </c>
      <c r="BC105" s="5">
        <v>260</v>
      </c>
      <c r="BD105" s="5" t="s">
        <v>69</v>
      </c>
      <c r="BE105" s="5" t="s">
        <v>65</v>
      </c>
      <c r="BF105" s="5">
        <v>0.33271478334472765</v>
      </c>
      <c r="BG105" s="5" t="s">
        <v>69</v>
      </c>
      <c r="BH105" s="5" t="s">
        <v>71</v>
      </c>
      <c r="BI105" s="5">
        <v>7.2437738060357457</v>
      </c>
      <c r="BJ105" s="5">
        <v>4.4564898915909756</v>
      </c>
      <c r="BK105" s="5" t="s">
        <v>71</v>
      </c>
      <c r="BL105" s="5">
        <v>3.9730767978643744</v>
      </c>
      <c r="BM105" s="5">
        <v>0.2076602532799427</v>
      </c>
      <c r="BN105" s="17">
        <v>90</v>
      </c>
      <c r="BO105" s="5" t="s">
        <v>161</v>
      </c>
      <c r="BP105" s="5" t="s">
        <v>162</v>
      </c>
      <c r="BQ105" s="5">
        <v>2.1790858743679076</v>
      </c>
      <c r="BR105" s="5">
        <v>2.2210987287025525</v>
      </c>
      <c r="BS105" s="5" t="s">
        <v>69</v>
      </c>
      <c r="BT105" s="5" t="s">
        <v>164</v>
      </c>
      <c r="BU105" s="5" t="s">
        <v>164</v>
      </c>
      <c r="BV105" s="5" t="s">
        <v>128</v>
      </c>
      <c r="BW105" s="5" t="s">
        <v>128</v>
      </c>
      <c r="BX105" s="5">
        <v>0.25833495611277191</v>
      </c>
      <c r="BY105" s="5">
        <v>0.55409375993113974</v>
      </c>
      <c r="BZ105" s="5">
        <v>1.6016051477059801</v>
      </c>
      <c r="CA105" s="5" t="s">
        <v>128</v>
      </c>
      <c r="CB105" s="5" t="s">
        <v>128</v>
      </c>
      <c r="CC105" s="5" t="s">
        <v>128</v>
      </c>
      <c r="CD105" s="5" t="s">
        <v>128</v>
      </c>
      <c r="CE105" s="5">
        <v>0.64685840057097199</v>
      </c>
      <c r="CF105" s="5" t="s">
        <v>128</v>
      </c>
      <c r="CG105" s="5" t="s">
        <v>128</v>
      </c>
      <c r="CH105" s="5" t="s">
        <v>128</v>
      </c>
      <c r="CI105" s="17" t="s">
        <v>158</v>
      </c>
      <c r="CJ105" s="17" t="s">
        <v>158</v>
      </c>
      <c r="CK105" s="17" t="s">
        <v>158</v>
      </c>
      <c r="CL105" s="17" t="s">
        <v>158</v>
      </c>
      <c r="CM105" s="17" t="s">
        <v>158</v>
      </c>
      <c r="CN105" s="17" t="s">
        <v>158</v>
      </c>
      <c r="CO105" s="17" t="s">
        <v>158</v>
      </c>
      <c r="CP105" s="17" t="s">
        <v>158</v>
      </c>
      <c r="CQ105" s="17" t="s">
        <v>158</v>
      </c>
      <c r="CR105" s="17" t="s">
        <v>158</v>
      </c>
      <c r="CS105" s="17" t="s">
        <v>158</v>
      </c>
      <c r="CT105" s="17" t="s">
        <v>158</v>
      </c>
      <c r="CU105" s="17" t="s">
        <v>158</v>
      </c>
      <c r="CV105" s="17" t="s">
        <v>158</v>
      </c>
      <c r="CW105" s="17" t="s">
        <v>158</v>
      </c>
      <c r="CX105" s="17" t="s">
        <v>158</v>
      </c>
      <c r="CY105" s="67" t="s">
        <v>158</v>
      </c>
    </row>
    <row r="106" spans="1:103" x14ac:dyDescent="0.2">
      <c r="A106" s="32" t="s">
        <v>22</v>
      </c>
      <c r="B106" s="14" t="s">
        <v>22</v>
      </c>
      <c r="C106" s="14" t="s">
        <v>19</v>
      </c>
      <c r="G106" s="4">
        <v>43332</v>
      </c>
      <c r="H106" s="16">
        <v>2018</v>
      </c>
      <c r="I106" s="135" t="s">
        <v>33</v>
      </c>
      <c r="J106" s="135">
        <v>10</v>
      </c>
      <c r="K106" s="136">
        <v>0.30712932104814117</v>
      </c>
      <c r="L106" s="5">
        <v>3.830376371654189</v>
      </c>
      <c r="M106" s="5">
        <v>0.6939479035537911</v>
      </c>
      <c r="N106" s="5">
        <v>2.0754381717827055</v>
      </c>
      <c r="O106" s="5">
        <v>7.121884380749492</v>
      </c>
      <c r="P106" s="5">
        <v>5.5400213033794907</v>
      </c>
      <c r="Q106" s="5">
        <v>13.700866660211098</v>
      </c>
      <c r="R106" s="5">
        <v>12.835189309576839</v>
      </c>
      <c r="S106" s="5">
        <v>4.2656095671540619</v>
      </c>
      <c r="T106" s="5">
        <v>46.232957296407477</v>
      </c>
      <c r="U106" s="17">
        <f t="shared" si="4"/>
        <v>662.47233989504946</v>
      </c>
      <c r="V106" s="5" t="s">
        <v>60</v>
      </c>
      <c r="W106" s="5">
        <v>0.28488883099087009</v>
      </c>
      <c r="X106" s="5">
        <v>0.10052463025888335</v>
      </c>
      <c r="Y106" s="5">
        <v>0.27551925850083175</v>
      </c>
      <c r="Z106" s="5" t="s">
        <v>60</v>
      </c>
      <c r="AA106" s="5">
        <v>3.9410836842264603E-2</v>
      </c>
      <c r="AB106" s="5">
        <v>4.5657929947623577E-2</v>
      </c>
      <c r="AC106" s="5" t="s">
        <v>65</v>
      </c>
      <c r="AD106" s="5">
        <v>0.74600148654047338</v>
      </c>
      <c r="AE106" s="17">
        <f t="shared" si="9"/>
        <v>0.74600148654047349</v>
      </c>
      <c r="AF106" s="5">
        <v>5.4708531035150568E-2</v>
      </c>
      <c r="AG106" s="18">
        <f t="shared" si="10"/>
        <v>0.89064324513932103</v>
      </c>
      <c r="AH106" s="18">
        <v>15.152957171991844</v>
      </c>
      <c r="AI106" s="5" t="s">
        <v>69</v>
      </c>
      <c r="AJ106" s="5" t="s">
        <v>69</v>
      </c>
      <c r="AK106" s="5" t="s">
        <v>56</v>
      </c>
      <c r="AL106" s="5">
        <v>0.19520248616101776</v>
      </c>
      <c r="AM106" s="5" t="s">
        <v>65</v>
      </c>
      <c r="AN106" s="5">
        <v>0.50587549771778184</v>
      </c>
      <c r="AO106" s="5" t="s">
        <v>69</v>
      </c>
      <c r="AP106" s="5" t="s">
        <v>71</v>
      </c>
      <c r="AQ106" s="5">
        <v>0.62254378297886115</v>
      </c>
      <c r="AR106" s="5">
        <v>0.11714415201838722</v>
      </c>
      <c r="AS106" s="5" t="s">
        <v>158</v>
      </c>
      <c r="AT106" s="5" t="s">
        <v>158</v>
      </c>
      <c r="AU106" s="5" t="s">
        <v>158</v>
      </c>
      <c r="AV106" s="5" t="s">
        <v>158</v>
      </c>
      <c r="AW106" s="5" t="s">
        <v>158</v>
      </c>
      <c r="BC106" s="5">
        <v>110</v>
      </c>
      <c r="BD106" s="5" t="s">
        <v>69</v>
      </c>
      <c r="BE106" s="5" t="s">
        <v>65</v>
      </c>
      <c r="BF106" s="5">
        <v>0.15173566192324278</v>
      </c>
      <c r="BG106" s="5" t="s">
        <v>69</v>
      </c>
      <c r="BH106" s="5" t="s">
        <v>71</v>
      </c>
      <c r="BI106" s="5">
        <v>2.8597186287192757</v>
      </c>
      <c r="BJ106" s="5">
        <v>1.4092820181112549</v>
      </c>
      <c r="BK106" s="5" t="s">
        <v>71</v>
      </c>
      <c r="BL106" s="5">
        <v>3.0304279862009489</v>
      </c>
      <c r="BM106" s="5">
        <v>0.18080799913755932</v>
      </c>
      <c r="BN106" s="17">
        <v>110</v>
      </c>
      <c r="BO106" s="5">
        <v>2.0811106317668981</v>
      </c>
      <c r="BP106" s="5" t="s">
        <v>162</v>
      </c>
      <c r="BQ106" s="5">
        <v>0.32136058549477453</v>
      </c>
      <c r="BR106" s="5" t="s">
        <v>163</v>
      </c>
      <c r="BS106" s="5">
        <v>1.2956023230632374</v>
      </c>
      <c r="BT106" s="5" t="s">
        <v>164</v>
      </c>
      <c r="BU106" s="5" t="s">
        <v>164</v>
      </c>
      <c r="BV106" s="5" t="s">
        <v>128</v>
      </c>
      <c r="BW106" s="5" t="s">
        <v>128</v>
      </c>
      <c r="BX106" s="5">
        <v>0.21172998098916415</v>
      </c>
      <c r="BY106" s="5">
        <v>0.58464481295433379</v>
      </c>
      <c r="BZ106" s="5">
        <v>3.77051507090437</v>
      </c>
      <c r="CA106" s="5" t="s">
        <v>128</v>
      </c>
      <c r="CB106" s="5" t="s">
        <v>128</v>
      </c>
      <c r="CC106" s="5" t="s">
        <v>128</v>
      </c>
      <c r="CD106" s="5" t="s">
        <v>128</v>
      </c>
      <c r="CE106" s="5">
        <v>0.50786539393511243</v>
      </c>
      <c r="CF106" s="5" t="s">
        <v>128</v>
      </c>
      <c r="CG106" s="5" t="s">
        <v>128</v>
      </c>
      <c r="CH106" s="5" t="s">
        <v>128</v>
      </c>
      <c r="CI106" s="17" t="s">
        <v>158</v>
      </c>
      <c r="CJ106" s="17" t="s">
        <v>158</v>
      </c>
      <c r="CK106" s="17" t="s">
        <v>158</v>
      </c>
      <c r="CL106" s="17" t="s">
        <v>158</v>
      </c>
      <c r="CM106" s="17" t="s">
        <v>158</v>
      </c>
      <c r="CN106" s="17" t="s">
        <v>158</v>
      </c>
      <c r="CO106" s="17" t="s">
        <v>158</v>
      </c>
      <c r="CP106" s="17" t="s">
        <v>158</v>
      </c>
      <c r="CQ106" s="17" t="s">
        <v>158</v>
      </c>
      <c r="CR106" s="17" t="s">
        <v>158</v>
      </c>
      <c r="CS106" s="17" t="s">
        <v>158</v>
      </c>
      <c r="CT106" s="17" t="s">
        <v>158</v>
      </c>
      <c r="CU106" s="17" t="s">
        <v>158</v>
      </c>
      <c r="CV106" s="17" t="s">
        <v>158</v>
      </c>
      <c r="CW106" s="17" t="s">
        <v>158</v>
      </c>
      <c r="CX106" s="17" t="s">
        <v>158</v>
      </c>
      <c r="CY106" s="67" t="s">
        <v>158</v>
      </c>
    </row>
    <row r="107" spans="1:103" x14ac:dyDescent="0.2">
      <c r="A107" s="32" t="s">
        <v>25</v>
      </c>
      <c r="B107" s="14" t="s">
        <v>25</v>
      </c>
      <c r="C107" s="14" t="s">
        <v>19</v>
      </c>
      <c r="G107" s="4">
        <v>43327</v>
      </c>
      <c r="H107" s="16">
        <v>2018</v>
      </c>
      <c r="I107" s="135" t="s">
        <v>33</v>
      </c>
      <c r="J107" s="135">
        <v>11</v>
      </c>
      <c r="K107" s="136">
        <v>0.28651096160247419</v>
      </c>
      <c r="L107" s="5">
        <v>3.3899277274291575</v>
      </c>
      <c r="M107" s="5" t="s">
        <v>62</v>
      </c>
      <c r="N107" s="5">
        <v>8.9675151034960876E-2</v>
      </c>
      <c r="O107" s="5">
        <v>0.78679805882935527</v>
      </c>
      <c r="P107" s="5">
        <v>0.73567396256313755</v>
      </c>
      <c r="Q107" s="5">
        <v>3.1366693077151631</v>
      </c>
      <c r="R107" s="5">
        <v>2.7038724373576315</v>
      </c>
      <c r="S107" s="5">
        <v>1.2078191542042191</v>
      </c>
      <c r="T107" s="5">
        <v>8.6605080717044682</v>
      </c>
      <c r="U107" s="17">
        <f t="shared" si="4"/>
        <v>138.29896882159804</v>
      </c>
      <c r="V107" s="5" t="s">
        <v>60</v>
      </c>
      <c r="W107" s="5">
        <v>8.0942882063804955E-2</v>
      </c>
      <c r="X107" s="5">
        <v>3.9544751251164099E-2</v>
      </c>
      <c r="Y107" s="5">
        <v>8.4235997060343556E-2</v>
      </c>
      <c r="Z107" s="5" t="s">
        <v>60</v>
      </c>
      <c r="AA107" s="5">
        <v>2.7045671296966493E-2</v>
      </c>
      <c r="AB107" s="5">
        <v>1.8650244165199812E-2</v>
      </c>
      <c r="AC107" s="5" t="s">
        <v>65</v>
      </c>
      <c r="AD107" s="5">
        <v>0.25041954583747894</v>
      </c>
      <c r="AE107" s="17">
        <f t="shared" si="9"/>
        <v>0.25041954583747894</v>
      </c>
      <c r="AF107" s="5">
        <v>3.0809646429632565E-2</v>
      </c>
      <c r="AG107" s="18">
        <f t="shared" si="10"/>
        <v>0.53766959311630236</v>
      </c>
      <c r="AH107" s="18">
        <v>33.479955928468513</v>
      </c>
      <c r="AI107" s="5" t="s">
        <v>69</v>
      </c>
      <c r="AJ107" s="5" t="s">
        <v>69</v>
      </c>
      <c r="AK107" s="5" t="s">
        <v>56</v>
      </c>
      <c r="AL107" s="5" t="s">
        <v>65</v>
      </c>
      <c r="AM107" s="5" t="s">
        <v>65</v>
      </c>
      <c r="AN107" s="5">
        <v>0.61606915840325449</v>
      </c>
      <c r="AO107" s="5">
        <v>0.26838432635534082</v>
      </c>
      <c r="AP107" s="5" t="s">
        <v>71</v>
      </c>
      <c r="AQ107" s="5">
        <v>0.29327344125208349</v>
      </c>
      <c r="AR107" s="5">
        <v>8.6976297426335572E-2</v>
      </c>
      <c r="AS107" s="5" t="s">
        <v>158</v>
      </c>
      <c r="AT107" s="5" t="s">
        <v>158</v>
      </c>
      <c r="AU107" s="5" t="s">
        <v>158</v>
      </c>
      <c r="AV107" s="5" t="s">
        <v>158</v>
      </c>
      <c r="AW107" s="5" t="s">
        <v>158</v>
      </c>
      <c r="BC107" s="5">
        <v>280</v>
      </c>
      <c r="BD107" s="5" t="s">
        <v>69</v>
      </c>
      <c r="BE107" s="5" t="s">
        <v>65</v>
      </c>
      <c r="BF107" s="5">
        <v>0.23168967784352401</v>
      </c>
      <c r="BG107" s="5" t="s">
        <v>69</v>
      </c>
      <c r="BH107" s="5" t="s">
        <v>71</v>
      </c>
      <c r="BI107" s="5">
        <v>5.9147140039447725</v>
      </c>
      <c r="BJ107" s="5">
        <v>2.6138067061143979</v>
      </c>
      <c r="BK107" s="5" t="s">
        <v>71</v>
      </c>
      <c r="BL107" s="5">
        <v>2.4442077580539117</v>
      </c>
      <c r="BM107" s="5">
        <v>0.16301643655489809</v>
      </c>
      <c r="BN107" s="17">
        <v>170</v>
      </c>
      <c r="BO107" s="5" t="s">
        <v>161</v>
      </c>
      <c r="BP107" s="5" t="s">
        <v>162</v>
      </c>
      <c r="BQ107" s="5" t="s">
        <v>69</v>
      </c>
      <c r="BR107" s="5" t="s">
        <v>163</v>
      </c>
      <c r="BS107" s="5" t="s">
        <v>69</v>
      </c>
      <c r="BT107" s="5" t="s">
        <v>164</v>
      </c>
      <c r="BU107" s="5" t="s">
        <v>164</v>
      </c>
      <c r="BV107" s="5" t="s">
        <v>128</v>
      </c>
      <c r="BW107" s="5" t="s">
        <v>128</v>
      </c>
      <c r="BX107" s="5" t="s">
        <v>128</v>
      </c>
      <c r="BY107" s="5">
        <v>0.25574563521606392</v>
      </c>
      <c r="BZ107" s="5" t="s">
        <v>128</v>
      </c>
      <c r="CA107" s="5" t="s">
        <v>128</v>
      </c>
      <c r="CB107" s="5" t="s">
        <v>128</v>
      </c>
      <c r="CC107" s="5" t="s">
        <v>128</v>
      </c>
      <c r="CD107" s="5" t="s">
        <v>128</v>
      </c>
      <c r="CE107" s="5">
        <v>0.80503432368330841</v>
      </c>
      <c r="CF107" s="5" t="s">
        <v>128</v>
      </c>
      <c r="CG107" s="5" t="s">
        <v>128</v>
      </c>
      <c r="CH107" s="5" t="s">
        <v>128</v>
      </c>
      <c r="CI107" s="17" t="s">
        <v>158</v>
      </c>
      <c r="CJ107" s="17" t="s">
        <v>158</v>
      </c>
      <c r="CK107" s="17" t="s">
        <v>158</v>
      </c>
      <c r="CL107" s="17" t="s">
        <v>158</v>
      </c>
      <c r="CM107" s="17" t="s">
        <v>158</v>
      </c>
      <c r="CN107" s="17" t="s">
        <v>158</v>
      </c>
      <c r="CO107" s="17" t="s">
        <v>158</v>
      </c>
      <c r="CP107" s="17" t="s">
        <v>158</v>
      </c>
      <c r="CQ107" s="17" t="s">
        <v>158</v>
      </c>
      <c r="CR107" s="17" t="s">
        <v>158</v>
      </c>
      <c r="CS107" s="17" t="s">
        <v>158</v>
      </c>
      <c r="CT107" s="17" t="s">
        <v>158</v>
      </c>
      <c r="CU107" s="17" t="s">
        <v>158</v>
      </c>
      <c r="CV107" s="17" t="s">
        <v>158</v>
      </c>
      <c r="CW107" s="17" t="s">
        <v>158</v>
      </c>
      <c r="CX107" s="17" t="s">
        <v>158</v>
      </c>
      <c r="CY107" s="67" t="s">
        <v>158</v>
      </c>
    </row>
    <row r="108" spans="1:103" x14ac:dyDescent="0.2">
      <c r="A108" s="32" t="s">
        <v>5</v>
      </c>
      <c r="B108" s="14" t="s">
        <v>5</v>
      </c>
      <c r="C108" s="14" t="s">
        <v>19</v>
      </c>
      <c r="G108" s="4">
        <v>43332</v>
      </c>
      <c r="H108" s="16">
        <v>2018</v>
      </c>
      <c r="I108" s="135" t="s">
        <v>33</v>
      </c>
      <c r="J108" s="135">
        <v>12</v>
      </c>
      <c r="K108" s="136">
        <v>0.20147327331106513</v>
      </c>
      <c r="L108" s="5">
        <v>3.2044516933704186</v>
      </c>
      <c r="M108" s="5">
        <v>0.67163660278090942</v>
      </c>
      <c r="N108" s="5">
        <v>1.7113819992484027</v>
      </c>
      <c r="O108" s="5">
        <v>5.8178034573468622</v>
      </c>
      <c r="P108" s="5">
        <v>5.8379650507328069</v>
      </c>
      <c r="Q108" s="5">
        <v>9.7315435926343472</v>
      </c>
      <c r="R108" s="5">
        <v>9.0027245396467492</v>
      </c>
      <c r="S108" s="5">
        <v>2.2164740698985343</v>
      </c>
      <c r="T108" s="5">
        <v>34.98952931228861</v>
      </c>
      <c r="U108" s="17">
        <f t="shared" si="4"/>
        <v>723.45983619740923</v>
      </c>
      <c r="V108" s="5" t="s">
        <v>59</v>
      </c>
      <c r="W108" s="5">
        <v>0.26001460462533249</v>
      </c>
      <c r="X108" s="5">
        <v>7.7446728545998184E-2</v>
      </c>
      <c r="Y108" s="5">
        <v>0.18761107922220391</v>
      </c>
      <c r="Z108" s="5">
        <v>1.0239421309245508E-2</v>
      </c>
      <c r="AA108" s="5">
        <v>3.105319826962773E-2</v>
      </c>
      <c r="AB108" s="5">
        <v>3.6759044022560097E-2</v>
      </c>
      <c r="AC108" s="5" t="s">
        <v>65</v>
      </c>
      <c r="AD108" s="5">
        <v>0.60312407599496787</v>
      </c>
      <c r="AE108" s="17">
        <f t="shared" si="9"/>
        <v>0.59288465468572249</v>
      </c>
      <c r="AF108" s="5">
        <v>6.1204904171364143E-2</v>
      </c>
      <c r="AG108" s="18">
        <f t="shared" si="10"/>
        <v>1.5189335827404435</v>
      </c>
      <c r="AH108" s="18">
        <v>11.555790892461731</v>
      </c>
      <c r="AI108" s="5" t="s">
        <v>69</v>
      </c>
      <c r="AJ108" s="5" t="s">
        <v>69</v>
      </c>
      <c r="AK108" s="5" t="s">
        <v>56</v>
      </c>
      <c r="AL108" s="5">
        <v>0.33984788678155387</v>
      </c>
      <c r="AM108" s="5" t="s">
        <v>65</v>
      </c>
      <c r="AN108" s="5">
        <v>0.27332242225859249</v>
      </c>
      <c r="AO108" s="5" t="s">
        <v>69</v>
      </c>
      <c r="AP108" s="5" t="s">
        <v>71</v>
      </c>
      <c r="AQ108" s="5">
        <v>0.83954301851673585</v>
      </c>
      <c r="AR108" s="5">
        <v>0.1190173614453965</v>
      </c>
      <c r="AS108" s="5" t="s">
        <v>158</v>
      </c>
      <c r="AT108" s="5" t="s">
        <v>158</v>
      </c>
      <c r="AU108" s="5" t="s">
        <v>158</v>
      </c>
      <c r="AV108" s="5" t="s">
        <v>158</v>
      </c>
      <c r="AW108" s="5" t="s">
        <v>158</v>
      </c>
      <c r="BC108" s="5">
        <v>100</v>
      </c>
      <c r="BD108" s="5" t="s">
        <v>69</v>
      </c>
      <c r="BE108" s="5" t="s">
        <v>65</v>
      </c>
      <c r="BF108" s="5">
        <v>0.25938653430062364</v>
      </c>
      <c r="BG108" s="5" t="s">
        <v>69</v>
      </c>
      <c r="BH108" s="5">
        <v>0.26778668703067321</v>
      </c>
      <c r="BI108" s="5">
        <v>3.7318823978617797</v>
      </c>
      <c r="BJ108" s="5">
        <v>2.2245131729667809</v>
      </c>
      <c r="BK108" s="5" t="s">
        <v>71</v>
      </c>
      <c r="BL108" s="5">
        <v>6.0695176275932283</v>
      </c>
      <c r="BM108" s="5">
        <v>0.35022782232404226</v>
      </c>
      <c r="BN108" s="17">
        <v>140</v>
      </c>
      <c r="BO108" s="5">
        <v>8.0973819489639443</v>
      </c>
      <c r="BP108" s="5" t="s">
        <v>162</v>
      </c>
      <c r="BQ108" s="5">
        <v>0.3159801808032463</v>
      </c>
      <c r="BR108" s="5">
        <v>7.046038584244684</v>
      </c>
      <c r="BS108" s="5">
        <v>0.83127036433264601</v>
      </c>
      <c r="BT108" s="5" t="s">
        <v>164</v>
      </c>
      <c r="BU108" s="5" t="s">
        <v>164</v>
      </c>
      <c r="BV108" s="5" t="s">
        <v>128</v>
      </c>
      <c r="BW108" s="5" t="s">
        <v>128</v>
      </c>
      <c r="BX108" s="5">
        <v>0.2017525358081031</v>
      </c>
      <c r="BY108" s="5">
        <v>0.1222872942984459</v>
      </c>
      <c r="BZ108" s="5">
        <v>3.9680578858432898</v>
      </c>
      <c r="CA108" s="5" t="s">
        <v>128</v>
      </c>
      <c r="CB108" s="5" t="s">
        <v>128</v>
      </c>
      <c r="CC108" s="5" t="s">
        <v>128</v>
      </c>
      <c r="CD108" s="5">
        <v>0.19677088210064811</v>
      </c>
      <c r="CE108" s="5">
        <v>1.0291177338192528</v>
      </c>
      <c r="CF108" s="5" t="s">
        <v>128</v>
      </c>
      <c r="CG108" s="5" t="s">
        <v>128</v>
      </c>
      <c r="CH108" s="5" t="s">
        <v>128</v>
      </c>
      <c r="CI108" s="17" t="s">
        <v>158</v>
      </c>
      <c r="CJ108" s="17" t="s">
        <v>158</v>
      </c>
      <c r="CK108" s="17" t="s">
        <v>158</v>
      </c>
      <c r="CL108" s="17" t="s">
        <v>158</v>
      </c>
      <c r="CM108" s="17" t="s">
        <v>158</v>
      </c>
      <c r="CN108" s="17" t="s">
        <v>158</v>
      </c>
      <c r="CO108" s="17" t="s">
        <v>158</v>
      </c>
      <c r="CP108" s="17" t="s">
        <v>158</v>
      </c>
      <c r="CQ108" s="17" t="s">
        <v>158</v>
      </c>
      <c r="CR108" s="17" t="s">
        <v>158</v>
      </c>
      <c r="CS108" s="17" t="s">
        <v>158</v>
      </c>
      <c r="CT108" s="17" t="s">
        <v>158</v>
      </c>
      <c r="CU108" s="17" t="s">
        <v>158</v>
      </c>
      <c r="CV108" s="17" t="s">
        <v>158</v>
      </c>
      <c r="CW108" s="17" t="s">
        <v>158</v>
      </c>
      <c r="CX108" s="17" t="s">
        <v>158</v>
      </c>
      <c r="CY108" s="67" t="s">
        <v>158</v>
      </c>
    </row>
    <row r="109" spans="1:103" x14ac:dyDescent="0.2">
      <c r="A109" s="32" t="s">
        <v>23</v>
      </c>
      <c r="B109" s="14" t="s">
        <v>23</v>
      </c>
      <c r="C109" s="14" t="s">
        <v>19</v>
      </c>
      <c r="G109" s="4">
        <v>43333</v>
      </c>
      <c r="H109" s="16">
        <v>2018</v>
      </c>
      <c r="I109" s="135" t="s">
        <v>33</v>
      </c>
      <c r="J109" s="135">
        <v>11</v>
      </c>
      <c r="K109" s="136">
        <v>0.17288153625199784</v>
      </c>
      <c r="L109" s="5">
        <v>5.4299103504482602</v>
      </c>
      <c r="M109" s="5">
        <v>0.33318658673660551</v>
      </c>
      <c r="N109" s="5">
        <v>1.3073576245784937</v>
      </c>
      <c r="O109" s="5">
        <v>6.2243911577369797</v>
      </c>
      <c r="P109" s="5">
        <v>5.7780723117272377</v>
      </c>
      <c r="Q109" s="5">
        <v>12.467623641813415</v>
      </c>
      <c r="R109" s="5">
        <v>11.260771824653428</v>
      </c>
      <c r="S109" s="5">
        <v>4.3252294866991381</v>
      </c>
      <c r="T109" s="5">
        <v>41.696632633945292</v>
      </c>
      <c r="U109" s="17">
        <f t="shared" ref="U109:U172" si="11">SUM(M109,N109,O109,Q109,R109,S109)*(5/K109)</f>
        <v>1038.8200238417012</v>
      </c>
      <c r="V109" s="5" t="s">
        <v>59</v>
      </c>
      <c r="W109" s="5">
        <v>0.10699359252420752</v>
      </c>
      <c r="X109" s="5">
        <v>3.4581757635072326E-2</v>
      </c>
      <c r="Y109" s="5">
        <v>3.022020507474062E-2</v>
      </c>
      <c r="Z109" s="5" t="s">
        <v>59</v>
      </c>
      <c r="AA109" s="5" t="s">
        <v>66</v>
      </c>
      <c r="AB109" s="5">
        <v>3.5772712633653801E-2</v>
      </c>
      <c r="AC109" s="5" t="s">
        <v>65</v>
      </c>
      <c r="AD109" s="5">
        <v>0.20756826786767429</v>
      </c>
      <c r="AE109" s="17">
        <f t="shared" si="9"/>
        <v>0.20756826786767427</v>
      </c>
      <c r="AF109" s="5">
        <v>3.253606219557887E-2</v>
      </c>
      <c r="AG109" s="18">
        <f t="shared" si="10"/>
        <v>0.9409929741760632</v>
      </c>
      <c r="AH109" s="18">
        <v>5.4508381641863419</v>
      </c>
      <c r="AI109" s="5" t="s">
        <v>69</v>
      </c>
      <c r="AJ109" s="5" t="s">
        <v>69</v>
      </c>
      <c r="AK109" s="5" t="s">
        <v>56</v>
      </c>
      <c r="AL109" s="5">
        <v>0.35416262371434115</v>
      </c>
      <c r="AM109" s="5" t="s">
        <v>65</v>
      </c>
      <c r="AN109" s="5" t="s">
        <v>65</v>
      </c>
      <c r="AO109" s="5" t="s">
        <v>69</v>
      </c>
      <c r="AP109" s="5" t="s">
        <v>71</v>
      </c>
      <c r="AQ109" s="5">
        <v>0.18455275109077379</v>
      </c>
      <c r="AR109" s="5">
        <v>0.10093718469948267</v>
      </c>
      <c r="AS109" s="5" t="s">
        <v>158</v>
      </c>
      <c r="AT109" s="5" t="s">
        <v>158</v>
      </c>
      <c r="AU109" s="5" t="s">
        <v>158</v>
      </c>
      <c r="AV109" s="5" t="s">
        <v>158</v>
      </c>
      <c r="AW109" s="5" t="s">
        <v>158</v>
      </c>
      <c r="BC109" s="5">
        <v>280</v>
      </c>
      <c r="BD109" s="5" t="s">
        <v>69</v>
      </c>
      <c r="BE109" s="5" t="s">
        <v>65</v>
      </c>
      <c r="BF109" s="5">
        <v>0.26803075174249896</v>
      </c>
      <c r="BG109" s="5">
        <v>0.23781746387866823</v>
      </c>
      <c r="BH109" s="5">
        <v>0.31649166891022762</v>
      </c>
      <c r="BI109" s="5">
        <v>12.659876155433903</v>
      </c>
      <c r="BJ109" s="5">
        <v>3.6821322803553795</v>
      </c>
      <c r="BK109" s="5" t="s">
        <v>71</v>
      </c>
      <c r="BL109" s="5">
        <v>10.085285231385923</v>
      </c>
      <c r="BM109" s="5">
        <v>0.18632624368063655</v>
      </c>
      <c r="BN109" s="17">
        <v>270</v>
      </c>
      <c r="BO109" s="5">
        <v>9.0550999525257172</v>
      </c>
      <c r="BP109" s="5" t="s">
        <v>162</v>
      </c>
      <c r="BQ109" s="5">
        <v>1.8053944889681586</v>
      </c>
      <c r="BR109" s="5">
        <v>9.6033623660369329</v>
      </c>
      <c r="BS109" s="5" t="s">
        <v>69</v>
      </c>
      <c r="BT109" s="5">
        <v>2.8672096715040705</v>
      </c>
      <c r="BU109" s="5">
        <v>18.572311475009375</v>
      </c>
      <c r="BV109" s="5" t="s">
        <v>128</v>
      </c>
      <c r="BW109" s="5" t="s">
        <v>128</v>
      </c>
      <c r="BX109" s="5" t="s">
        <v>128</v>
      </c>
      <c r="BY109" s="5" t="s">
        <v>144</v>
      </c>
      <c r="BZ109" s="5" t="s">
        <v>128</v>
      </c>
      <c r="CA109" s="5" t="s">
        <v>128</v>
      </c>
      <c r="CB109" s="5" t="s">
        <v>128</v>
      </c>
      <c r="CC109" s="5" t="s">
        <v>128</v>
      </c>
      <c r="CD109" s="5" t="s">
        <v>128</v>
      </c>
      <c r="CE109" s="5">
        <v>0.6419081560484009</v>
      </c>
      <c r="CF109" s="5" t="s">
        <v>128</v>
      </c>
      <c r="CG109" s="5" t="s">
        <v>128</v>
      </c>
      <c r="CH109" s="5" t="s">
        <v>128</v>
      </c>
      <c r="CI109" s="17" t="s">
        <v>158</v>
      </c>
      <c r="CJ109" s="17" t="s">
        <v>158</v>
      </c>
      <c r="CK109" s="17" t="s">
        <v>158</v>
      </c>
      <c r="CL109" s="17" t="s">
        <v>158</v>
      </c>
      <c r="CM109" s="17" t="s">
        <v>158</v>
      </c>
      <c r="CN109" s="17" t="s">
        <v>158</v>
      </c>
      <c r="CO109" s="17" t="s">
        <v>158</v>
      </c>
      <c r="CP109" s="17" t="s">
        <v>158</v>
      </c>
      <c r="CQ109" s="17" t="s">
        <v>158</v>
      </c>
      <c r="CR109" s="17" t="s">
        <v>158</v>
      </c>
      <c r="CS109" s="17" t="s">
        <v>158</v>
      </c>
      <c r="CT109" s="17" t="s">
        <v>158</v>
      </c>
      <c r="CU109" s="17" t="s">
        <v>158</v>
      </c>
      <c r="CV109" s="17" t="s">
        <v>158</v>
      </c>
      <c r="CW109" s="17" t="s">
        <v>158</v>
      </c>
      <c r="CX109" s="17" t="s">
        <v>158</v>
      </c>
      <c r="CY109" s="67" t="s">
        <v>158</v>
      </c>
    </row>
    <row r="110" spans="1:103" x14ac:dyDescent="0.2">
      <c r="A110" s="32" t="s">
        <v>6</v>
      </c>
      <c r="B110" s="14" t="s">
        <v>6</v>
      </c>
      <c r="C110" s="14" t="s">
        <v>19</v>
      </c>
      <c r="G110" s="4">
        <v>43335</v>
      </c>
      <c r="H110" s="16">
        <v>2018</v>
      </c>
      <c r="I110" s="135" t="s">
        <v>33</v>
      </c>
      <c r="J110" s="135">
        <v>10</v>
      </c>
      <c r="K110" s="136">
        <v>0.18550690497922698</v>
      </c>
      <c r="L110" s="5">
        <v>6.5783812210163957</v>
      </c>
      <c r="M110" s="5">
        <v>3.1422061894816784E-2</v>
      </c>
      <c r="N110" s="5">
        <v>0.17346271743346695</v>
      </c>
      <c r="O110" s="5">
        <v>0.99568078831520479</v>
      </c>
      <c r="P110" s="5">
        <v>1.3333562252254516</v>
      </c>
      <c r="Q110" s="5">
        <v>3.3465728180575405</v>
      </c>
      <c r="R110" s="5">
        <v>2.5419850931761681</v>
      </c>
      <c r="S110" s="5">
        <v>1.1359274844885408</v>
      </c>
      <c r="T110" s="5">
        <v>9.5269851266963723</v>
      </c>
      <c r="U110" s="17">
        <f t="shared" si="11"/>
        <v>221.6912347356228</v>
      </c>
      <c r="V110" s="5" t="s">
        <v>59</v>
      </c>
      <c r="W110" s="5">
        <v>7.8841681054816329E-2</v>
      </c>
      <c r="X110" s="5">
        <v>2.7618599586597844E-2</v>
      </c>
      <c r="Y110" s="5">
        <v>5.6156578057047317E-2</v>
      </c>
      <c r="Z110" s="5">
        <v>1.4805772395656376E-2</v>
      </c>
      <c r="AA110" s="5" t="s">
        <v>66</v>
      </c>
      <c r="AB110" s="5">
        <v>1.4280003446251787E-2</v>
      </c>
      <c r="AC110" s="5" t="s">
        <v>65</v>
      </c>
      <c r="AD110" s="5">
        <v>0.18183211960993209</v>
      </c>
      <c r="AE110" s="17">
        <f t="shared" si="9"/>
        <v>0.17689686214471328</v>
      </c>
      <c r="AF110" s="5">
        <v>2.6235792896546425E-2</v>
      </c>
      <c r="AG110" s="18">
        <f t="shared" si="10"/>
        <v>0.70713790679339683</v>
      </c>
      <c r="AH110" s="18">
        <v>13.51472424175663</v>
      </c>
      <c r="AI110" s="5" t="s">
        <v>69</v>
      </c>
      <c r="AJ110" s="5" t="s">
        <v>69</v>
      </c>
      <c r="AK110" s="5" t="s">
        <v>56</v>
      </c>
      <c r="AL110" s="5" t="s">
        <v>65</v>
      </c>
      <c r="AM110" s="5" t="s">
        <v>65</v>
      </c>
      <c r="AN110" s="5">
        <v>1.628038481310127</v>
      </c>
      <c r="AO110" s="5" t="s">
        <v>69</v>
      </c>
      <c r="AP110" s="5" t="s">
        <v>71</v>
      </c>
      <c r="AQ110" s="5" t="s">
        <v>65</v>
      </c>
      <c r="AR110" s="5">
        <v>9.5926660302073405E-2</v>
      </c>
      <c r="AS110" s="5" t="s">
        <v>158</v>
      </c>
      <c r="AT110" s="5" t="s">
        <v>158</v>
      </c>
      <c r="AU110" s="5" t="s">
        <v>158</v>
      </c>
      <c r="AV110" s="5" t="s">
        <v>158</v>
      </c>
      <c r="AW110" s="5" t="s">
        <v>158</v>
      </c>
      <c r="BC110" s="5">
        <v>160</v>
      </c>
      <c r="BD110" s="5" t="s">
        <v>69</v>
      </c>
      <c r="BE110" s="5" t="s">
        <v>65</v>
      </c>
      <c r="BF110" s="5" t="s">
        <v>56</v>
      </c>
      <c r="BG110" s="5" t="s">
        <v>69</v>
      </c>
      <c r="BH110" s="5">
        <v>1.0031073446327683</v>
      </c>
      <c r="BI110" s="5">
        <v>15.938050847457626</v>
      </c>
      <c r="BJ110" s="5">
        <v>3.0025423728813561</v>
      </c>
      <c r="BK110" s="5" t="s">
        <v>71</v>
      </c>
      <c r="BL110" s="5">
        <v>6.2864689265536731</v>
      </c>
      <c r="BM110" s="5">
        <v>0.32256214689265539</v>
      </c>
      <c r="BN110" s="17">
        <v>72</v>
      </c>
      <c r="BO110" s="5">
        <v>2.5270341648163388</v>
      </c>
      <c r="BP110" s="5" t="s">
        <v>162</v>
      </c>
      <c r="BQ110" s="5" t="s">
        <v>69</v>
      </c>
      <c r="BR110" s="5" t="s">
        <v>163</v>
      </c>
      <c r="BS110" s="5" t="s">
        <v>69</v>
      </c>
      <c r="BT110" s="5" t="s">
        <v>164</v>
      </c>
      <c r="BU110" s="5">
        <v>5.6585851769697353</v>
      </c>
      <c r="BV110" s="5" t="s">
        <v>128</v>
      </c>
      <c r="BW110" s="5" t="s">
        <v>128</v>
      </c>
      <c r="BX110" s="5" t="s">
        <v>128</v>
      </c>
      <c r="BY110" s="5">
        <v>0.45603913607957569</v>
      </c>
      <c r="BZ110" s="5">
        <v>1.92983723273029</v>
      </c>
      <c r="CA110" s="5" t="s">
        <v>128</v>
      </c>
      <c r="CB110" s="5">
        <v>0.44137363698955462</v>
      </c>
      <c r="CC110" s="5">
        <v>3.4567019132982248</v>
      </c>
      <c r="CD110" s="5" t="s">
        <v>128</v>
      </c>
      <c r="CE110" s="5">
        <v>0.96007449016492241</v>
      </c>
      <c r="CF110" s="5" t="s">
        <v>128</v>
      </c>
      <c r="CG110" s="5" t="s">
        <v>128</v>
      </c>
      <c r="CH110" s="5" t="s">
        <v>128</v>
      </c>
      <c r="CI110" s="17" t="s">
        <v>158</v>
      </c>
      <c r="CJ110" s="17" t="s">
        <v>158</v>
      </c>
      <c r="CK110" s="17" t="s">
        <v>158</v>
      </c>
      <c r="CL110" s="17" t="s">
        <v>158</v>
      </c>
      <c r="CM110" s="17" t="s">
        <v>158</v>
      </c>
      <c r="CN110" s="17" t="s">
        <v>158</v>
      </c>
      <c r="CO110" s="17" t="s">
        <v>158</v>
      </c>
      <c r="CP110" s="17" t="s">
        <v>158</v>
      </c>
      <c r="CQ110" s="17" t="s">
        <v>158</v>
      </c>
      <c r="CR110" s="17" t="s">
        <v>158</v>
      </c>
      <c r="CS110" s="17" t="s">
        <v>158</v>
      </c>
      <c r="CT110" s="17" t="s">
        <v>158</v>
      </c>
      <c r="CU110" s="17" t="s">
        <v>158</v>
      </c>
      <c r="CV110" s="17" t="s">
        <v>158</v>
      </c>
      <c r="CW110" s="17" t="s">
        <v>158</v>
      </c>
      <c r="CX110" s="17" t="s">
        <v>158</v>
      </c>
      <c r="CY110" s="67" t="s">
        <v>158</v>
      </c>
    </row>
    <row r="111" spans="1:103" x14ac:dyDescent="0.2">
      <c r="A111" s="32" t="s">
        <v>81</v>
      </c>
      <c r="B111" s="14" t="s">
        <v>81</v>
      </c>
      <c r="C111" s="14" t="s">
        <v>19</v>
      </c>
      <c r="G111" s="4">
        <v>43328</v>
      </c>
      <c r="H111" s="16">
        <v>2018</v>
      </c>
      <c r="I111" s="135" t="s">
        <v>33</v>
      </c>
      <c r="J111" s="135">
        <v>13</v>
      </c>
      <c r="K111" s="136">
        <v>0.19387245542398815</v>
      </c>
      <c r="L111" s="5">
        <v>4.7855408686269341</v>
      </c>
      <c r="M111" s="5">
        <v>5.921173235563703E-2</v>
      </c>
      <c r="N111" s="5">
        <v>0.13955087076076991</v>
      </c>
      <c r="O111" s="5">
        <v>0.43413789591608104</v>
      </c>
      <c r="P111" s="5">
        <v>0.32781342295549443</v>
      </c>
      <c r="Q111" s="5">
        <v>0.95560138506976255</v>
      </c>
      <c r="R111" s="5">
        <v>0.88471331092779315</v>
      </c>
      <c r="S111" s="5">
        <v>0.36377940727161623</v>
      </c>
      <c r="T111" s="5">
        <v>3.164808025257154</v>
      </c>
      <c r="U111" s="17">
        <f t="shared" si="11"/>
        <v>73.166520641039796</v>
      </c>
      <c r="V111" s="5" t="s">
        <v>60</v>
      </c>
      <c r="W111" s="5">
        <v>8.5188058480274123E-2</v>
      </c>
      <c r="X111" s="5">
        <v>3.1980837675395384E-2</v>
      </c>
      <c r="Y111" s="5">
        <v>0.10884898085158279</v>
      </c>
      <c r="Z111" s="5">
        <v>1.3094883985111308E-2</v>
      </c>
      <c r="AA111" s="5">
        <v>1.9983151725224652E-2</v>
      </c>
      <c r="AB111" s="5">
        <v>1.7447886515321826E-2</v>
      </c>
      <c r="AC111" s="5" t="s">
        <v>65</v>
      </c>
      <c r="AD111" s="5">
        <v>0.27654379923291006</v>
      </c>
      <c r="AE111" s="17">
        <f t="shared" si="9"/>
        <v>0.26344891524779879</v>
      </c>
      <c r="AF111" s="5">
        <v>7.7997250229147566E-2</v>
      </c>
      <c r="AG111" s="18">
        <f t="shared" si="10"/>
        <v>2.0115609011752591</v>
      </c>
      <c r="AH111" s="18">
        <v>8.83908160222642</v>
      </c>
      <c r="AI111" s="5" t="s">
        <v>69</v>
      </c>
      <c r="AJ111" s="5" t="s">
        <v>69</v>
      </c>
      <c r="AK111" s="5" t="s">
        <v>56</v>
      </c>
      <c r="AL111" s="5" t="s">
        <v>65</v>
      </c>
      <c r="AM111" s="5" t="s">
        <v>65</v>
      </c>
      <c r="AN111" s="5">
        <v>0.9014014511479973</v>
      </c>
      <c r="AO111" s="5">
        <v>0.98863598714508161</v>
      </c>
      <c r="AP111" s="5" t="s">
        <v>71</v>
      </c>
      <c r="AQ111" s="5">
        <v>0.91346121989199225</v>
      </c>
      <c r="AR111" s="5">
        <v>0.44590332306265118</v>
      </c>
      <c r="AS111" s="5" t="s">
        <v>158</v>
      </c>
      <c r="AT111" s="5" t="s">
        <v>158</v>
      </c>
      <c r="AU111" s="5" t="s">
        <v>158</v>
      </c>
      <c r="AV111" s="5" t="s">
        <v>158</v>
      </c>
      <c r="AW111" s="5" t="s">
        <v>158</v>
      </c>
      <c r="BC111" s="5">
        <v>120</v>
      </c>
      <c r="BD111" s="5" t="s">
        <v>69</v>
      </c>
      <c r="BE111" s="5" t="s">
        <v>65</v>
      </c>
      <c r="BF111" s="5">
        <v>0.26849296398514433</v>
      </c>
      <c r="BG111" s="5" t="s">
        <v>69</v>
      </c>
      <c r="BH111" s="5" t="s">
        <v>71</v>
      </c>
      <c r="BI111" s="5">
        <v>12.273229070837168</v>
      </c>
      <c r="BJ111" s="5">
        <v>12.371460697127672</v>
      </c>
      <c r="BK111" s="5" t="s">
        <v>71</v>
      </c>
      <c r="BL111" s="5">
        <v>10.260690313128215</v>
      </c>
      <c r="BM111" s="5">
        <v>2.2024157552216432</v>
      </c>
      <c r="BN111" s="17">
        <v>27</v>
      </c>
      <c r="BO111" s="5" t="s">
        <v>161</v>
      </c>
      <c r="BP111" s="5" t="s">
        <v>162</v>
      </c>
      <c r="BQ111" s="5" t="s">
        <v>69</v>
      </c>
      <c r="BR111" s="5">
        <v>8.7932592600819248</v>
      </c>
      <c r="BS111" s="5" t="s">
        <v>69</v>
      </c>
      <c r="BT111" s="5">
        <v>6.6579024827043369</v>
      </c>
      <c r="BU111" s="5" t="s">
        <v>164</v>
      </c>
      <c r="BV111" s="5" t="s">
        <v>128</v>
      </c>
      <c r="BW111" s="5" t="s">
        <v>128</v>
      </c>
      <c r="BX111" s="5" t="s">
        <v>128</v>
      </c>
      <c r="BY111" s="5">
        <v>0.33281175697602938</v>
      </c>
      <c r="BZ111" s="5" t="s">
        <v>128</v>
      </c>
      <c r="CA111" s="5" t="s">
        <v>128</v>
      </c>
      <c r="CB111" s="5">
        <v>0.30495444687965123</v>
      </c>
      <c r="CC111" s="5" t="s">
        <v>128</v>
      </c>
      <c r="CD111" s="5" t="s">
        <v>128</v>
      </c>
      <c r="CE111" s="5">
        <v>0.28081731247423236</v>
      </c>
      <c r="CF111" s="5">
        <v>1.4891435501085373</v>
      </c>
      <c r="CG111" s="5" t="s">
        <v>128</v>
      </c>
      <c r="CH111" s="5" t="s">
        <v>128</v>
      </c>
      <c r="CI111" s="17" t="s">
        <v>158</v>
      </c>
      <c r="CJ111" s="17" t="s">
        <v>158</v>
      </c>
      <c r="CK111" s="17" t="s">
        <v>158</v>
      </c>
      <c r="CL111" s="17" t="s">
        <v>158</v>
      </c>
      <c r="CM111" s="17" t="s">
        <v>158</v>
      </c>
      <c r="CN111" s="17" t="s">
        <v>158</v>
      </c>
      <c r="CO111" s="17" t="s">
        <v>158</v>
      </c>
      <c r="CP111" s="17" t="s">
        <v>158</v>
      </c>
      <c r="CQ111" s="17" t="s">
        <v>158</v>
      </c>
      <c r="CR111" s="17" t="s">
        <v>158</v>
      </c>
      <c r="CS111" s="17" t="s">
        <v>158</v>
      </c>
      <c r="CT111" s="17" t="s">
        <v>158</v>
      </c>
      <c r="CU111" s="17" t="s">
        <v>158</v>
      </c>
      <c r="CV111" s="17" t="s">
        <v>158</v>
      </c>
      <c r="CW111" s="17" t="s">
        <v>158</v>
      </c>
      <c r="CX111" s="17" t="s">
        <v>158</v>
      </c>
      <c r="CY111" s="67" t="s">
        <v>158</v>
      </c>
    </row>
    <row r="112" spans="1:103" x14ac:dyDescent="0.2">
      <c r="A112" s="32" t="s">
        <v>26</v>
      </c>
      <c r="B112" s="14" t="s">
        <v>26</v>
      </c>
      <c r="C112" s="14" t="s">
        <v>19</v>
      </c>
      <c r="G112" s="4">
        <v>43328</v>
      </c>
      <c r="H112" s="16">
        <v>2018</v>
      </c>
      <c r="I112" s="135" t="s">
        <v>33</v>
      </c>
      <c r="J112" s="135">
        <v>17</v>
      </c>
      <c r="K112" s="136">
        <v>0.3479313213826441</v>
      </c>
      <c r="L112" s="5">
        <v>5.9379797359532906</v>
      </c>
      <c r="M112" s="5">
        <v>3.1578415521422792E-2</v>
      </c>
      <c r="N112" s="5">
        <v>4.77162489894907E-2</v>
      </c>
      <c r="O112" s="5">
        <v>0.2997776879547292</v>
      </c>
      <c r="P112" s="5">
        <v>0.37506063055780114</v>
      </c>
      <c r="Q112" s="5">
        <v>1.1963571139854483</v>
      </c>
      <c r="R112" s="5">
        <v>1.0582053354890864</v>
      </c>
      <c r="S112" s="5">
        <v>0.52019502829426023</v>
      </c>
      <c r="T112" s="5">
        <v>3.4495957962813257</v>
      </c>
      <c r="U112" s="17">
        <f t="shared" si="11"/>
        <v>45.322591506010944</v>
      </c>
      <c r="V112" s="5" t="s">
        <v>60</v>
      </c>
      <c r="W112" s="5">
        <v>1.0168977750713805E-2</v>
      </c>
      <c r="X112" s="5" t="s">
        <v>72</v>
      </c>
      <c r="Y112" s="5" t="s">
        <v>62</v>
      </c>
      <c r="Z112" s="5" t="s">
        <v>60</v>
      </c>
      <c r="AA112" s="5" t="s">
        <v>56</v>
      </c>
      <c r="AB112" s="5" t="s">
        <v>60</v>
      </c>
      <c r="AC112" s="5" t="s">
        <v>65</v>
      </c>
      <c r="AD112" s="5">
        <v>1.0168977750713805E-2</v>
      </c>
      <c r="AE112" s="17">
        <f t="shared" si="9"/>
        <v>1.0168977750713805E-2</v>
      </c>
      <c r="AF112" s="5" t="s">
        <v>63</v>
      </c>
      <c r="AG112" s="18" t="s">
        <v>158</v>
      </c>
      <c r="AH112" s="18">
        <v>1.1888059701492537</v>
      </c>
      <c r="AI112" s="5" t="s">
        <v>69</v>
      </c>
      <c r="AJ112" s="5" t="s">
        <v>69</v>
      </c>
      <c r="AK112" s="5" t="s">
        <v>56</v>
      </c>
      <c r="AL112" s="5" t="s">
        <v>65</v>
      </c>
      <c r="AM112" s="5" t="s">
        <v>65</v>
      </c>
      <c r="AN112" s="5" t="s">
        <v>65</v>
      </c>
      <c r="AO112" s="5" t="s">
        <v>69</v>
      </c>
      <c r="AP112" s="5" t="s">
        <v>71</v>
      </c>
      <c r="AQ112" s="5" t="s">
        <v>65</v>
      </c>
      <c r="AR112" s="5">
        <v>7.3599502487562182E-2</v>
      </c>
      <c r="AS112" s="5" t="s">
        <v>158</v>
      </c>
      <c r="AT112" s="5" t="s">
        <v>158</v>
      </c>
      <c r="AU112" s="5" t="s">
        <v>158</v>
      </c>
      <c r="AV112" s="5" t="s">
        <v>158</v>
      </c>
      <c r="AW112" s="5" t="s">
        <v>158</v>
      </c>
      <c r="BC112" s="5">
        <v>33.51260043827611</v>
      </c>
      <c r="BD112" s="5" t="s">
        <v>69</v>
      </c>
      <c r="BE112" s="5" t="s">
        <v>65</v>
      </c>
      <c r="BF112" s="5">
        <v>0.15765765765765763</v>
      </c>
      <c r="BG112" s="5" t="s">
        <v>69</v>
      </c>
      <c r="BH112" s="5" t="s">
        <v>71</v>
      </c>
      <c r="BI112" s="5">
        <v>2.4533418553688819</v>
      </c>
      <c r="BJ112" s="5">
        <v>0.2008765522279036</v>
      </c>
      <c r="BK112" s="5" t="s">
        <v>71</v>
      </c>
      <c r="BL112" s="5">
        <v>1.4499939128317505</v>
      </c>
      <c r="BM112" s="5">
        <v>0.10831202824446068</v>
      </c>
      <c r="BN112" s="17">
        <v>72</v>
      </c>
      <c r="BO112" s="5" t="s">
        <v>161</v>
      </c>
      <c r="BP112" s="5" t="s">
        <v>162</v>
      </c>
      <c r="BQ112" s="5" t="s">
        <v>69</v>
      </c>
      <c r="BR112" s="5">
        <v>13.401868859979899</v>
      </c>
      <c r="BS112" s="5" t="s">
        <v>69</v>
      </c>
      <c r="BT112" s="5">
        <v>4.5258179261757823</v>
      </c>
      <c r="BU112" s="5" t="s">
        <v>164</v>
      </c>
      <c r="BV112" s="5" t="s">
        <v>128</v>
      </c>
      <c r="BW112" s="5" t="s">
        <v>128</v>
      </c>
      <c r="BX112" s="5" t="s">
        <v>128</v>
      </c>
      <c r="BY112" s="5">
        <v>0.19043939959137526</v>
      </c>
      <c r="BZ112" s="5" t="s">
        <v>128</v>
      </c>
      <c r="CA112" s="5" t="s">
        <v>128</v>
      </c>
      <c r="CB112" s="5" t="s">
        <v>128</v>
      </c>
      <c r="CC112" s="5" t="s">
        <v>128</v>
      </c>
      <c r="CD112" s="5" t="s">
        <v>128</v>
      </c>
      <c r="CE112" s="5">
        <v>0.29722991058421988</v>
      </c>
      <c r="CF112" s="5" t="s">
        <v>128</v>
      </c>
      <c r="CG112" s="5" t="s">
        <v>128</v>
      </c>
      <c r="CH112" s="5" t="s">
        <v>128</v>
      </c>
      <c r="CI112" s="17" t="s">
        <v>158</v>
      </c>
      <c r="CJ112" s="17" t="s">
        <v>158</v>
      </c>
      <c r="CK112" s="17" t="s">
        <v>158</v>
      </c>
      <c r="CL112" s="17" t="s">
        <v>158</v>
      </c>
      <c r="CM112" s="17" t="s">
        <v>158</v>
      </c>
      <c r="CN112" s="17" t="s">
        <v>158</v>
      </c>
      <c r="CO112" s="17" t="s">
        <v>158</v>
      </c>
      <c r="CP112" s="17" t="s">
        <v>158</v>
      </c>
      <c r="CQ112" s="17" t="s">
        <v>158</v>
      </c>
      <c r="CR112" s="17" t="s">
        <v>158</v>
      </c>
      <c r="CS112" s="17" t="s">
        <v>158</v>
      </c>
      <c r="CT112" s="17" t="s">
        <v>158</v>
      </c>
      <c r="CU112" s="17" t="s">
        <v>158</v>
      </c>
      <c r="CV112" s="17" t="s">
        <v>158</v>
      </c>
      <c r="CW112" s="17" t="s">
        <v>158</v>
      </c>
      <c r="CX112" s="17" t="s">
        <v>158</v>
      </c>
      <c r="CY112" s="67" t="s">
        <v>158</v>
      </c>
    </row>
    <row r="113" spans="1:103" x14ac:dyDescent="0.2">
      <c r="A113" s="32" t="s">
        <v>7</v>
      </c>
      <c r="B113" s="14" t="s">
        <v>7</v>
      </c>
      <c r="C113" s="14" t="s">
        <v>19</v>
      </c>
      <c r="G113" s="4">
        <v>43334</v>
      </c>
      <c r="H113" s="16">
        <v>2018</v>
      </c>
      <c r="I113" s="135" t="s">
        <v>33</v>
      </c>
      <c r="J113" s="135">
        <v>12</v>
      </c>
      <c r="K113" s="136">
        <v>0.19475701743537557</v>
      </c>
      <c r="L113" s="5">
        <v>3.1048805815160994</v>
      </c>
      <c r="M113" s="5">
        <v>3.3443509615384615E-2</v>
      </c>
      <c r="N113" s="5">
        <v>0.1867938701923077</v>
      </c>
      <c r="O113" s="5">
        <v>1.2864583333333333</v>
      </c>
      <c r="P113" s="5">
        <v>1.289042467948718</v>
      </c>
      <c r="Q113" s="5">
        <v>3.9413812099358978</v>
      </c>
      <c r="R113" s="5">
        <v>3.5015024038461533</v>
      </c>
      <c r="S113" s="5">
        <v>1.3199368990384617</v>
      </c>
      <c r="T113" s="5">
        <v>11.525115184294872</v>
      </c>
      <c r="U113" s="17">
        <f t="shared" si="11"/>
        <v>263.64945307732438</v>
      </c>
      <c r="V113" s="5" t="s">
        <v>60</v>
      </c>
      <c r="W113" s="5">
        <v>0.10905329303773273</v>
      </c>
      <c r="X113" s="5">
        <v>4.162210532268891E-2</v>
      </c>
      <c r="Y113" s="5">
        <v>7.7374588843606984E-2</v>
      </c>
      <c r="Z113" s="5" t="s">
        <v>60</v>
      </c>
      <c r="AA113" s="5">
        <v>2.3607455072157862E-2</v>
      </c>
      <c r="AB113" s="5">
        <v>1.4672604671521389E-2</v>
      </c>
      <c r="AC113" s="5" t="s">
        <v>65</v>
      </c>
      <c r="AD113" s="5">
        <v>0.26633004694770784</v>
      </c>
      <c r="AE113" s="17">
        <f t="shared" si="9"/>
        <v>0.2663300469477079</v>
      </c>
      <c r="AF113" s="5">
        <v>0.11</v>
      </c>
      <c r="AG113" s="18">
        <f>(AF113/K113)*5</f>
        <v>2.8240317460319568</v>
      </c>
      <c r="AH113" s="18">
        <v>2.6906177306797621</v>
      </c>
      <c r="AI113" s="5" t="s">
        <v>69</v>
      </c>
      <c r="AJ113" s="5" t="s">
        <v>69</v>
      </c>
      <c r="AK113" s="5" t="s">
        <v>56</v>
      </c>
      <c r="AL113" s="5">
        <v>0.22055656069613164</v>
      </c>
      <c r="AM113" s="5" t="s">
        <v>65</v>
      </c>
      <c r="AN113" s="5">
        <v>0.34625656931162224</v>
      </c>
      <c r="AO113" s="5">
        <v>0.31762442204416869</v>
      </c>
      <c r="AP113" s="5" t="s">
        <v>71</v>
      </c>
      <c r="AQ113" s="5">
        <v>0.29726314580282009</v>
      </c>
      <c r="AR113" s="5">
        <v>0.13838488268573562</v>
      </c>
      <c r="AS113" s="5" t="s">
        <v>158</v>
      </c>
      <c r="AT113" s="5" t="s">
        <v>158</v>
      </c>
      <c r="AU113" s="5" t="s">
        <v>158</v>
      </c>
      <c r="AV113" s="5" t="s">
        <v>158</v>
      </c>
      <c r="AW113" s="5" t="s">
        <v>158</v>
      </c>
      <c r="BC113" s="5">
        <v>110</v>
      </c>
      <c r="BD113" s="5" t="s">
        <v>69</v>
      </c>
      <c r="BE113" s="5" t="s">
        <v>65</v>
      </c>
      <c r="BF113" s="5">
        <v>0.11992872807017541</v>
      </c>
      <c r="BG113" s="5" t="s">
        <v>69</v>
      </c>
      <c r="BH113" s="5">
        <v>0.1209566885964912</v>
      </c>
      <c r="BI113" s="5">
        <v>15.220908717105264</v>
      </c>
      <c r="BJ113" s="5">
        <v>7.2399259868421053</v>
      </c>
      <c r="BK113" s="5" t="s">
        <v>71</v>
      </c>
      <c r="BL113" s="5">
        <v>7.1628632127192988</v>
      </c>
      <c r="BM113" s="5">
        <v>0.30800095942982458</v>
      </c>
      <c r="BN113" s="17">
        <v>110</v>
      </c>
      <c r="BO113" s="5">
        <v>8.6041031748993202</v>
      </c>
      <c r="BP113" s="5" t="s">
        <v>162</v>
      </c>
      <c r="BQ113" s="5" t="s">
        <v>69</v>
      </c>
      <c r="BR113" s="5">
        <v>10.134069264602326</v>
      </c>
      <c r="BS113" s="5" t="s">
        <v>69</v>
      </c>
      <c r="BT113" s="5">
        <v>4.9002545579458987</v>
      </c>
      <c r="BU113" s="5" t="s">
        <v>164</v>
      </c>
      <c r="BV113" s="5" t="s">
        <v>128</v>
      </c>
      <c r="BW113" s="5" t="s">
        <v>128</v>
      </c>
      <c r="BX113" s="5">
        <v>0.49815478449815925</v>
      </c>
      <c r="BY113" s="5">
        <v>1.0733534955207105</v>
      </c>
      <c r="BZ113" s="5">
        <v>2.0290723160295001</v>
      </c>
      <c r="CA113" s="5" t="s">
        <v>128</v>
      </c>
      <c r="CB113" s="5">
        <v>0.1882620640084588</v>
      </c>
      <c r="CC113" s="5">
        <v>9.6848002116386294</v>
      </c>
      <c r="CD113" s="5" t="s">
        <v>128</v>
      </c>
      <c r="CE113" s="5">
        <v>1.0108297661485108</v>
      </c>
      <c r="CF113" s="5" t="s">
        <v>128</v>
      </c>
      <c r="CG113" s="5" t="s">
        <v>128</v>
      </c>
      <c r="CH113" s="5" t="s">
        <v>128</v>
      </c>
      <c r="CI113" s="17" t="s">
        <v>158</v>
      </c>
      <c r="CJ113" s="17" t="s">
        <v>158</v>
      </c>
      <c r="CK113" s="17" t="s">
        <v>158</v>
      </c>
      <c r="CL113" s="17" t="s">
        <v>158</v>
      </c>
      <c r="CM113" s="17" t="s">
        <v>158</v>
      </c>
      <c r="CN113" s="17" t="s">
        <v>158</v>
      </c>
      <c r="CO113" s="17" t="s">
        <v>158</v>
      </c>
      <c r="CP113" s="17" t="s">
        <v>158</v>
      </c>
      <c r="CQ113" s="17" t="s">
        <v>158</v>
      </c>
      <c r="CR113" s="17" t="s">
        <v>158</v>
      </c>
      <c r="CS113" s="17" t="s">
        <v>158</v>
      </c>
      <c r="CT113" s="17" t="s">
        <v>158</v>
      </c>
      <c r="CU113" s="17" t="s">
        <v>158</v>
      </c>
      <c r="CV113" s="17" t="s">
        <v>158</v>
      </c>
      <c r="CW113" s="17" t="s">
        <v>158</v>
      </c>
      <c r="CX113" s="17" t="s">
        <v>158</v>
      </c>
      <c r="CY113" s="67" t="s">
        <v>158</v>
      </c>
    </row>
    <row r="114" spans="1:103" x14ac:dyDescent="0.2">
      <c r="A114" s="32" t="s">
        <v>8</v>
      </c>
      <c r="B114" s="14" t="s">
        <v>8</v>
      </c>
      <c r="C114" s="14" t="s">
        <v>19</v>
      </c>
      <c r="G114" s="4">
        <v>43334</v>
      </c>
      <c r="H114" s="16">
        <v>2018</v>
      </c>
      <c r="I114" s="135" t="s">
        <v>33</v>
      </c>
      <c r="J114" s="135">
        <v>11</v>
      </c>
      <c r="K114" s="136">
        <v>0.23712415820924732</v>
      </c>
      <c r="L114" s="5">
        <v>3.2128514056224877</v>
      </c>
      <c r="M114" s="5" t="s">
        <v>62</v>
      </c>
      <c r="N114" s="5">
        <v>5.5980098541203747E-2</v>
      </c>
      <c r="O114" s="5">
        <v>0.55810066660226065</v>
      </c>
      <c r="P114" s="5">
        <v>0.54307796348178916</v>
      </c>
      <c r="Q114" s="5">
        <v>2.3768090039609695</v>
      </c>
      <c r="R114" s="5">
        <v>1.8690947734518404</v>
      </c>
      <c r="S114" s="5">
        <v>0.9400106269925611</v>
      </c>
      <c r="T114" s="5">
        <v>6.3430731330306243</v>
      </c>
      <c r="U114" s="17">
        <f t="shared" si="11"/>
        <v>122.29869814510212</v>
      </c>
      <c r="V114" s="5" t="s">
        <v>60</v>
      </c>
      <c r="W114" s="5">
        <v>8.5320401868538995E-2</v>
      </c>
      <c r="X114" s="5">
        <v>2.7288006481420379E-2</v>
      </c>
      <c r="Y114" s="5">
        <v>3.5716764272918165E-2</v>
      </c>
      <c r="Z114" s="5" t="s">
        <v>60</v>
      </c>
      <c r="AA114" s="5" t="s">
        <v>66</v>
      </c>
      <c r="AB114" s="5" t="s">
        <v>60</v>
      </c>
      <c r="AC114" s="5" t="s">
        <v>65</v>
      </c>
      <c r="AD114" s="5">
        <v>0.14832517262287753</v>
      </c>
      <c r="AE114" s="17">
        <f t="shared" si="9"/>
        <v>0.14832517262287753</v>
      </c>
      <c r="AF114" s="5">
        <v>8.8947927736450581E-3</v>
      </c>
      <c r="AG114" s="18">
        <f>(AF114/K114)*5</f>
        <v>0.18755560042507263</v>
      </c>
      <c r="AH114" s="18">
        <v>1.6832380114386272</v>
      </c>
      <c r="AI114" s="5" t="s">
        <v>69</v>
      </c>
      <c r="AJ114" s="5" t="s">
        <v>69</v>
      </c>
      <c r="AK114" s="5" t="s">
        <v>56</v>
      </c>
      <c r="AL114" s="5" t="s">
        <v>65</v>
      </c>
      <c r="AM114" s="5" t="s">
        <v>65</v>
      </c>
      <c r="AN114" s="5" t="s">
        <v>65</v>
      </c>
      <c r="AO114" s="5" t="s">
        <v>69</v>
      </c>
      <c r="AP114" s="5" t="s">
        <v>71</v>
      </c>
      <c r="AQ114" s="5">
        <v>0.12673412523830471</v>
      </c>
      <c r="AR114" s="5">
        <v>9.1177592022290657E-2</v>
      </c>
      <c r="AS114" s="5" t="s">
        <v>158</v>
      </c>
      <c r="AT114" s="5" t="s">
        <v>158</v>
      </c>
      <c r="AU114" s="5" t="s">
        <v>158</v>
      </c>
      <c r="AV114" s="5" t="s">
        <v>158</v>
      </c>
      <c r="AW114" s="5" t="s">
        <v>158</v>
      </c>
      <c r="BC114" s="5">
        <v>49.335614170621341</v>
      </c>
      <c r="BD114" s="5" t="s">
        <v>69</v>
      </c>
      <c r="BE114" s="5" t="s">
        <v>65</v>
      </c>
      <c r="BF114" s="5" t="s">
        <v>56</v>
      </c>
      <c r="BG114" s="5" t="s">
        <v>69</v>
      </c>
      <c r="BH114" s="5">
        <v>6.8057241658389417E-2</v>
      </c>
      <c r="BI114" s="5">
        <v>6.0996578744067991</v>
      </c>
      <c r="BJ114" s="5">
        <v>1.3387043372696168</v>
      </c>
      <c r="BK114" s="5" t="s">
        <v>71</v>
      </c>
      <c r="BL114" s="5">
        <v>3.4521943861972555</v>
      </c>
      <c r="BM114" s="5">
        <v>0.16623257182798071</v>
      </c>
      <c r="BN114" s="17">
        <v>90</v>
      </c>
      <c r="BO114" s="5">
        <v>7.7097330290307324</v>
      </c>
      <c r="BP114" s="5" t="s">
        <v>162</v>
      </c>
      <c r="BQ114" s="5">
        <v>1.6761666998479086</v>
      </c>
      <c r="BR114" s="5" t="s">
        <v>163</v>
      </c>
      <c r="BS114" s="5">
        <v>3.6632518118324708</v>
      </c>
      <c r="BT114" s="5" t="s">
        <v>164</v>
      </c>
      <c r="BU114" s="5">
        <v>2.383050507567205</v>
      </c>
      <c r="BV114" s="5" t="s">
        <v>128</v>
      </c>
      <c r="BW114" s="5" t="s">
        <v>128</v>
      </c>
      <c r="BX114" s="5" t="s">
        <v>128</v>
      </c>
      <c r="BY114" s="5">
        <v>0.30393927189143943</v>
      </c>
      <c r="BZ114" s="5" t="s">
        <v>128</v>
      </c>
      <c r="CA114" s="5" t="s">
        <v>128</v>
      </c>
      <c r="CB114" s="5" t="s">
        <v>128</v>
      </c>
      <c r="CC114" s="5">
        <v>14.049977164756505</v>
      </c>
      <c r="CD114" s="5" t="s">
        <v>128</v>
      </c>
      <c r="CE114" s="5">
        <v>0.40168947421446194</v>
      </c>
      <c r="CF114" s="5" t="s">
        <v>128</v>
      </c>
      <c r="CG114" s="5" t="s">
        <v>128</v>
      </c>
      <c r="CH114" s="5" t="s">
        <v>128</v>
      </c>
      <c r="CI114" s="17" t="s">
        <v>158</v>
      </c>
      <c r="CJ114" s="17" t="s">
        <v>158</v>
      </c>
      <c r="CK114" s="17" t="s">
        <v>158</v>
      </c>
      <c r="CL114" s="17" t="s">
        <v>158</v>
      </c>
      <c r="CM114" s="17" t="s">
        <v>158</v>
      </c>
      <c r="CN114" s="17" t="s">
        <v>158</v>
      </c>
      <c r="CO114" s="17" t="s">
        <v>158</v>
      </c>
      <c r="CP114" s="17" t="s">
        <v>158</v>
      </c>
      <c r="CQ114" s="17" t="s">
        <v>158</v>
      </c>
      <c r="CR114" s="17" t="s">
        <v>158</v>
      </c>
      <c r="CS114" s="17" t="s">
        <v>158</v>
      </c>
      <c r="CT114" s="17" t="s">
        <v>158</v>
      </c>
      <c r="CU114" s="17" t="s">
        <v>158</v>
      </c>
      <c r="CV114" s="17" t="s">
        <v>158</v>
      </c>
      <c r="CW114" s="17" t="s">
        <v>158</v>
      </c>
      <c r="CX114" s="17" t="s">
        <v>158</v>
      </c>
      <c r="CY114" s="67" t="s">
        <v>158</v>
      </c>
    </row>
    <row r="115" spans="1:103" x14ac:dyDescent="0.2">
      <c r="A115" s="32" t="s">
        <v>32</v>
      </c>
      <c r="B115" s="14" t="s">
        <v>32</v>
      </c>
      <c r="C115" s="14" t="s">
        <v>31</v>
      </c>
      <c r="G115" s="16" t="s">
        <v>31</v>
      </c>
      <c r="H115" s="16">
        <v>2017</v>
      </c>
      <c r="I115" s="135" t="s">
        <v>3</v>
      </c>
      <c r="J115" s="135" t="s">
        <v>158</v>
      </c>
      <c r="K115" s="136" t="s">
        <v>158</v>
      </c>
      <c r="L115" s="5" t="s">
        <v>158</v>
      </c>
      <c r="M115" s="5">
        <v>1.4999999999999999E-2</v>
      </c>
      <c r="N115" s="5">
        <v>2.3E-2</v>
      </c>
      <c r="O115" s="5">
        <v>0.01</v>
      </c>
      <c r="P115" s="5">
        <v>0.01</v>
      </c>
      <c r="Q115" s="5">
        <v>5.0000000000000001E-3</v>
      </c>
      <c r="R115" s="5">
        <v>0.01</v>
      </c>
      <c r="S115" s="5">
        <v>5.0000000000000001E-3</v>
      </c>
      <c r="T115" s="5" t="s">
        <v>158</v>
      </c>
      <c r="U115" s="17" t="s">
        <v>158</v>
      </c>
      <c r="V115" s="5">
        <v>1.2999999999999999E-2</v>
      </c>
      <c r="W115" s="5">
        <v>0.01</v>
      </c>
      <c r="X115" s="5">
        <v>1.2999999999999999E-2</v>
      </c>
      <c r="Y115" s="5">
        <v>1.4999999999999999E-2</v>
      </c>
      <c r="Z115" s="5">
        <v>0.01</v>
      </c>
      <c r="AA115" s="5">
        <v>0.02</v>
      </c>
      <c r="AB115" s="5">
        <v>1.2999999999999999E-2</v>
      </c>
      <c r="AC115" s="5">
        <v>0.1</v>
      </c>
      <c r="AD115" s="5" t="s">
        <v>158</v>
      </c>
      <c r="AE115" s="17">
        <f t="shared" si="9"/>
        <v>8.4000000000000005E-2</v>
      </c>
      <c r="AF115" s="5">
        <v>0.3</v>
      </c>
      <c r="AG115" s="18" t="s">
        <v>158</v>
      </c>
      <c r="AH115" s="18">
        <v>0.2</v>
      </c>
      <c r="AI115" s="5">
        <v>0.2</v>
      </c>
      <c r="AJ115" s="5">
        <v>0.2</v>
      </c>
      <c r="AK115" s="5">
        <v>0.02</v>
      </c>
      <c r="AL115" s="5">
        <v>0.1</v>
      </c>
      <c r="AM115" s="5">
        <v>0.1</v>
      </c>
      <c r="AN115" s="5">
        <v>0.1</v>
      </c>
      <c r="AO115" s="5">
        <v>0.02</v>
      </c>
      <c r="AP115" s="5">
        <v>0.05</v>
      </c>
      <c r="AQ115" s="5">
        <v>0.1</v>
      </c>
      <c r="AR115" s="5">
        <v>0.05</v>
      </c>
      <c r="AS115" s="5" t="s">
        <v>158</v>
      </c>
      <c r="AT115" s="5" t="s">
        <v>158</v>
      </c>
      <c r="AU115" s="5" t="s">
        <v>158</v>
      </c>
      <c r="AV115" s="5" t="s">
        <v>158</v>
      </c>
      <c r="AW115" s="5" t="s">
        <v>158</v>
      </c>
      <c r="BC115" s="5">
        <v>0.2</v>
      </c>
      <c r="BD115" s="5">
        <v>0.2</v>
      </c>
      <c r="BE115" s="5">
        <v>0.21</v>
      </c>
      <c r="BF115" s="5">
        <v>0.02</v>
      </c>
      <c r="BG115" s="5">
        <v>0.2</v>
      </c>
      <c r="BH115" s="5">
        <v>0.05</v>
      </c>
      <c r="BI115" s="5">
        <v>0.1</v>
      </c>
      <c r="BJ115" s="5">
        <v>0.1</v>
      </c>
      <c r="BK115" s="5">
        <v>0.05</v>
      </c>
      <c r="BL115" s="5">
        <v>0.1</v>
      </c>
      <c r="BM115" s="5">
        <v>0.05</v>
      </c>
      <c r="BN115" s="17">
        <v>0.03</v>
      </c>
      <c r="BO115" s="5">
        <v>0.04</v>
      </c>
      <c r="BP115" s="5">
        <v>0.4</v>
      </c>
      <c r="BQ115" s="5">
        <v>0.1</v>
      </c>
      <c r="BR115" s="5">
        <v>2.2999999999999998</v>
      </c>
      <c r="BS115" s="5">
        <v>0.2</v>
      </c>
      <c r="BT115" s="5">
        <v>1.7</v>
      </c>
      <c r="BU115" s="5">
        <v>2.5</v>
      </c>
      <c r="BV115" s="5">
        <v>0.2</v>
      </c>
      <c r="BW115" s="5">
        <v>0.2</v>
      </c>
      <c r="BX115" s="5">
        <v>0.2</v>
      </c>
      <c r="BY115" s="5">
        <v>0.2</v>
      </c>
      <c r="BZ115" s="5">
        <v>0.2</v>
      </c>
      <c r="CA115" s="5">
        <v>0.2</v>
      </c>
      <c r="CB115" s="5">
        <v>0.2</v>
      </c>
      <c r="CC115" s="5">
        <v>0.2</v>
      </c>
      <c r="CD115" s="5">
        <v>0.5</v>
      </c>
      <c r="CE115" s="5">
        <v>0.2</v>
      </c>
      <c r="CF115" s="5">
        <v>0.2</v>
      </c>
      <c r="CG115" s="5">
        <v>0.2</v>
      </c>
      <c r="CH115" s="5">
        <v>0.2</v>
      </c>
      <c r="CI115" s="17" t="s">
        <v>158</v>
      </c>
      <c r="CJ115" s="17" t="s">
        <v>158</v>
      </c>
      <c r="CK115" s="17" t="s">
        <v>158</v>
      </c>
      <c r="CL115" s="17" t="s">
        <v>158</v>
      </c>
      <c r="CM115" s="17" t="s">
        <v>158</v>
      </c>
      <c r="CN115" s="17" t="s">
        <v>158</v>
      </c>
      <c r="CO115" s="17" t="s">
        <v>158</v>
      </c>
      <c r="CP115" s="17" t="s">
        <v>158</v>
      </c>
      <c r="CQ115" s="17" t="s">
        <v>158</v>
      </c>
      <c r="CR115" s="17" t="s">
        <v>158</v>
      </c>
      <c r="CS115" s="17" t="s">
        <v>158</v>
      </c>
      <c r="CT115" s="17" t="s">
        <v>158</v>
      </c>
      <c r="CU115" s="17" t="s">
        <v>158</v>
      </c>
      <c r="CV115" s="17" t="s">
        <v>158</v>
      </c>
      <c r="CW115" s="17" t="s">
        <v>158</v>
      </c>
      <c r="CX115" s="17" t="s">
        <v>158</v>
      </c>
      <c r="CY115" s="67" t="s">
        <v>158</v>
      </c>
    </row>
    <row r="116" spans="1:103" x14ac:dyDescent="0.2">
      <c r="A116" s="32" t="s">
        <v>4</v>
      </c>
      <c r="B116" s="14" t="s">
        <v>4</v>
      </c>
      <c r="C116" s="14" t="s">
        <v>20</v>
      </c>
      <c r="G116" s="28">
        <v>42972</v>
      </c>
      <c r="H116" s="16">
        <v>2017</v>
      </c>
      <c r="I116" s="135" t="s">
        <v>33</v>
      </c>
      <c r="J116" s="135">
        <v>10</v>
      </c>
      <c r="K116" s="136">
        <v>1.0017439266740096</v>
      </c>
      <c r="L116" s="5">
        <v>3.963198867657407</v>
      </c>
      <c r="M116" s="5">
        <v>0.38505105900151287</v>
      </c>
      <c r="N116" s="5">
        <v>0.86286403177004534</v>
      </c>
      <c r="O116" s="5">
        <v>1.9087651285930409</v>
      </c>
      <c r="P116" s="5">
        <v>1.4936838124054463</v>
      </c>
      <c r="Q116" s="5">
        <v>2.3789759833585475</v>
      </c>
      <c r="R116" s="5">
        <v>2.476645234493192</v>
      </c>
      <c r="S116" s="5">
        <v>0.72621974281391832</v>
      </c>
      <c r="T116" s="5">
        <v>10.232204992435705</v>
      </c>
      <c r="U116" s="17">
        <f t="shared" si="11"/>
        <v>43.616541849392085</v>
      </c>
      <c r="V116" s="5" t="s">
        <v>60</v>
      </c>
      <c r="W116" s="5">
        <v>0.11424786112344715</v>
      </c>
      <c r="X116" s="5">
        <v>2.8353279637652096E-2</v>
      </c>
      <c r="Y116" s="5">
        <v>0.13238763639965007</v>
      </c>
      <c r="Z116" s="5">
        <v>1.814435125415606E-2</v>
      </c>
      <c r="AA116" s="5" t="s">
        <v>56</v>
      </c>
      <c r="AB116" s="5">
        <v>1.8173082622835412E-2</v>
      </c>
      <c r="AC116" s="5" t="s">
        <v>158</v>
      </c>
      <c r="AD116" s="5" t="s">
        <v>158</v>
      </c>
      <c r="AE116" s="17">
        <f t="shared" si="9"/>
        <v>0.29316185978358472</v>
      </c>
      <c r="AF116" s="5" t="s">
        <v>70</v>
      </c>
      <c r="AG116" s="18" t="s">
        <v>158</v>
      </c>
      <c r="AH116" s="18">
        <v>13.96996596955336</v>
      </c>
      <c r="AI116" s="5" t="s">
        <v>69</v>
      </c>
      <c r="AJ116" s="5" t="s">
        <v>69</v>
      </c>
      <c r="AK116" s="5" t="s">
        <v>56</v>
      </c>
      <c r="AL116" s="5" t="s">
        <v>65</v>
      </c>
      <c r="AM116" s="5" t="s">
        <v>65</v>
      </c>
      <c r="AN116" s="5">
        <v>0.47909368393338519</v>
      </c>
      <c r="AO116" s="5">
        <v>0.12785781089131476</v>
      </c>
      <c r="AP116" s="5" t="s">
        <v>71</v>
      </c>
      <c r="AQ116" s="5">
        <v>0.40086082097470116</v>
      </c>
      <c r="AR116" s="5">
        <v>5.9450031043940935E-2</v>
      </c>
      <c r="AS116" s="5" t="s">
        <v>158</v>
      </c>
      <c r="AT116" s="5" t="s">
        <v>158</v>
      </c>
      <c r="AU116" s="5" t="s">
        <v>158</v>
      </c>
      <c r="AV116" s="5" t="s">
        <v>158</v>
      </c>
      <c r="AW116" s="5" t="s">
        <v>158</v>
      </c>
      <c r="BC116" s="5">
        <v>200</v>
      </c>
      <c r="BD116" s="5" t="s">
        <v>69</v>
      </c>
      <c r="BE116" s="5" t="s">
        <v>65</v>
      </c>
      <c r="BF116" s="5">
        <v>0.42399999999999999</v>
      </c>
      <c r="BG116" s="5" t="s">
        <v>69</v>
      </c>
      <c r="BH116" s="5">
        <v>0.44139515279241309</v>
      </c>
      <c r="BI116" s="5">
        <v>7.2784931506849313</v>
      </c>
      <c r="BJ116" s="5">
        <v>2.08</v>
      </c>
      <c r="BK116" s="5" t="s">
        <v>71</v>
      </c>
      <c r="BL116" s="5">
        <v>5.6167123287671235</v>
      </c>
      <c r="BM116" s="5">
        <v>0.21631401475237091</v>
      </c>
      <c r="BN116" s="17">
        <v>88</v>
      </c>
      <c r="BO116" s="5">
        <v>1.4098738861549749</v>
      </c>
      <c r="BP116" s="5">
        <v>1.2216774031039999</v>
      </c>
      <c r="BQ116" s="5">
        <v>0.50420471765517094</v>
      </c>
      <c r="BR116" s="5">
        <v>10.312670270675087</v>
      </c>
      <c r="BS116" s="5" t="s">
        <v>69</v>
      </c>
      <c r="BT116" s="5">
        <v>6.766200283945385</v>
      </c>
      <c r="BU116" s="5">
        <v>5.3492408569426493</v>
      </c>
      <c r="BV116" s="5" t="s">
        <v>69</v>
      </c>
      <c r="BW116" s="5" t="s">
        <v>69</v>
      </c>
      <c r="BX116" s="5">
        <v>1.0413250783549901</v>
      </c>
      <c r="BY116" s="5">
        <v>0.90188657518862725</v>
      </c>
      <c r="BZ116" s="5">
        <v>3.2612570967417902</v>
      </c>
      <c r="CA116" s="5" t="s">
        <v>69</v>
      </c>
      <c r="CB116" s="5" t="s">
        <v>69</v>
      </c>
      <c r="CC116" s="5" t="s">
        <v>69</v>
      </c>
      <c r="CD116" s="5">
        <v>0.39737139673571137</v>
      </c>
      <c r="CE116" s="5">
        <v>3.2062937451879505</v>
      </c>
      <c r="CF116" s="5" t="s">
        <v>69</v>
      </c>
      <c r="CG116" s="5" t="s">
        <v>69</v>
      </c>
      <c r="CH116" s="5" t="s">
        <v>69</v>
      </c>
      <c r="CI116" s="17" t="s">
        <v>158</v>
      </c>
      <c r="CJ116" s="17" t="s">
        <v>158</v>
      </c>
      <c r="CK116" s="17" t="s">
        <v>158</v>
      </c>
      <c r="CL116" s="17" t="s">
        <v>158</v>
      </c>
      <c r="CM116" s="17" t="s">
        <v>158</v>
      </c>
      <c r="CN116" s="17" t="s">
        <v>158</v>
      </c>
      <c r="CO116" s="17" t="s">
        <v>158</v>
      </c>
      <c r="CP116" s="17" t="s">
        <v>158</v>
      </c>
      <c r="CQ116" s="17" t="s">
        <v>158</v>
      </c>
      <c r="CR116" s="17" t="s">
        <v>158</v>
      </c>
      <c r="CS116" s="17" t="s">
        <v>158</v>
      </c>
      <c r="CT116" s="17" t="s">
        <v>158</v>
      </c>
      <c r="CU116" s="17" t="s">
        <v>158</v>
      </c>
      <c r="CV116" s="17" t="s">
        <v>158</v>
      </c>
      <c r="CW116" s="17" t="s">
        <v>158</v>
      </c>
      <c r="CX116" s="17" t="s">
        <v>158</v>
      </c>
      <c r="CY116" s="67" t="s">
        <v>158</v>
      </c>
    </row>
    <row r="117" spans="1:103" x14ac:dyDescent="0.2">
      <c r="A117" s="33" t="s">
        <v>82</v>
      </c>
      <c r="B117" s="55" t="s">
        <v>82</v>
      </c>
      <c r="C117" s="14" t="s">
        <v>20</v>
      </c>
      <c r="E117" s="8"/>
      <c r="F117" s="9"/>
      <c r="G117" s="2">
        <v>42974</v>
      </c>
      <c r="H117" s="1">
        <v>2017</v>
      </c>
      <c r="I117" s="142" t="s">
        <v>33</v>
      </c>
      <c r="J117" s="142">
        <v>10</v>
      </c>
      <c r="K117" s="136">
        <v>0.84397163120565966</v>
      </c>
      <c r="L117" s="5">
        <v>5.7117117117116827</v>
      </c>
      <c r="M117" s="6">
        <v>0.40412450611930228</v>
      </c>
      <c r="N117" s="6">
        <v>0.85238026404548517</v>
      </c>
      <c r="O117" s="6">
        <v>2.8678905271273005</v>
      </c>
      <c r="P117" s="6">
        <v>2.1854004047412547</v>
      </c>
      <c r="Q117" s="6">
        <v>4.5955815746362143</v>
      </c>
      <c r="R117" s="6">
        <v>4.2550544473354526</v>
      </c>
      <c r="S117" s="6">
        <v>1.9516141466705212</v>
      </c>
      <c r="T117" s="6">
        <v>17.112045870675534</v>
      </c>
      <c r="U117" s="17">
        <f t="shared" si="11"/>
        <v>88.430966835998674</v>
      </c>
      <c r="V117" s="6" t="s">
        <v>60</v>
      </c>
      <c r="W117" s="6">
        <v>0.15222446627406813</v>
      </c>
      <c r="X117" s="6">
        <v>6.388941447891397E-2</v>
      </c>
      <c r="Y117" s="6">
        <v>7.6815567958729944E-2</v>
      </c>
      <c r="Z117" s="6">
        <v>1.3629488301511847E-2</v>
      </c>
      <c r="AA117" s="6">
        <v>2.311500386978857E-2</v>
      </c>
      <c r="AB117" s="6">
        <v>2.290590432820331E-2</v>
      </c>
      <c r="AC117" s="6" t="s">
        <v>158</v>
      </c>
      <c r="AD117" s="6" t="s">
        <v>158</v>
      </c>
      <c r="AE117" s="17">
        <f t="shared" si="9"/>
        <v>0.33895035690970388</v>
      </c>
      <c r="AF117" s="6" t="s">
        <v>70</v>
      </c>
      <c r="AG117" s="18" t="s">
        <v>158</v>
      </c>
      <c r="AH117" s="23">
        <v>5.0439121756487024</v>
      </c>
      <c r="AI117" s="6" t="s">
        <v>69</v>
      </c>
      <c r="AJ117" s="6" t="s">
        <v>69</v>
      </c>
      <c r="AK117" s="6" t="s">
        <v>56</v>
      </c>
      <c r="AL117" s="6" t="s">
        <v>65</v>
      </c>
      <c r="AM117" s="6" t="s">
        <v>65</v>
      </c>
      <c r="AN117" s="6">
        <v>0.15537924151696605</v>
      </c>
      <c r="AO117" s="6">
        <v>3.3932135728542916E-2</v>
      </c>
      <c r="AP117" s="6" t="s">
        <v>71</v>
      </c>
      <c r="AQ117" s="6">
        <v>0.22111776447105788</v>
      </c>
      <c r="AR117" s="6">
        <v>8.8223552894211577E-2</v>
      </c>
      <c r="AS117" s="5" t="s">
        <v>158</v>
      </c>
      <c r="AT117" s="5" t="s">
        <v>158</v>
      </c>
      <c r="AU117" s="5" t="s">
        <v>158</v>
      </c>
      <c r="AV117" s="5" t="s">
        <v>158</v>
      </c>
      <c r="AW117" s="5" t="s">
        <v>158</v>
      </c>
      <c r="BC117" s="6">
        <v>92.8</v>
      </c>
      <c r="BD117" s="6" t="s">
        <v>69</v>
      </c>
      <c r="BE117" s="6">
        <v>0.14780265725169561</v>
      </c>
      <c r="BF117" s="6">
        <v>0.59799999999999998</v>
      </c>
      <c r="BG117" s="6" t="s">
        <v>69</v>
      </c>
      <c r="BH117" s="6">
        <v>0.58801821053609582</v>
      </c>
      <c r="BI117" s="6">
        <v>4.856722103502741</v>
      </c>
      <c r="BJ117" s="6">
        <v>1.42</v>
      </c>
      <c r="BK117" s="6" t="s">
        <v>71</v>
      </c>
      <c r="BL117" s="6">
        <v>4.227687447737619</v>
      </c>
      <c r="BM117" s="6">
        <v>0.37840936541856357</v>
      </c>
      <c r="BN117" s="24">
        <v>170</v>
      </c>
      <c r="BO117" s="6">
        <v>3.7624004719882644</v>
      </c>
      <c r="BP117" s="6">
        <v>7.8707427292704137</v>
      </c>
      <c r="BQ117" s="6">
        <v>1.7584638960296295</v>
      </c>
      <c r="BR117" s="6">
        <v>30.164602257370525</v>
      </c>
      <c r="BS117" s="6" t="s">
        <v>69</v>
      </c>
      <c r="BT117" s="6">
        <v>35.690011421399547</v>
      </c>
      <c r="BU117" s="6">
        <v>8.9233797213010924</v>
      </c>
      <c r="BV117" s="6">
        <v>0.63484220279747672</v>
      </c>
      <c r="BW117" s="6">
        <v>0.653732724013382</v>
      </c>
      <c r="BX117" s="6">
        <v>4.8717100444812553</v>
      </c>
      <c r="BY117" s="6">
        <v>3.8344688375677043</v>
      </c>
      <c r="BZ117" s="6">
        <v>2.1170775053431505</v>
      </c>
      <c r="CA117" s="6" t="s">
        <v>69</v>
      </c>
      <c r="CB117" s="6">
        <v>0.77533309429359543</v>
      </c>
      <c r="CC117" s="6" t="s">
        <v>69</v>
      </c>
      <c r="CD117" s="6">
        <v>0.72246374011759229</v>
      </c>
      <c r="CE117" s="6">
        <v>5.6576202427395055</v>
      </c>
      <c r="CF117" s="6" t="s">
        <v>69</v>
      </c>
      <c r="CG117" s="6" t="s">
        <v>69</v>
      </c>
      <c r="CH117" s="6" t="s">
        <v>69</v>
      </c>
      <c r="CI117" s="17" t="s">
        <v>158</v>
      </c>
      <c r="CJ117" s="17" t="s">
        <v>158</v>
      </c>
      <c r="CK117" s="17" t="s">
        <v>158</v>
      </c>
      <c r="CL117" s="17" t="s">
        <v>158</v>
      </c>
      <c r="CM117" s="17" t="s">
        <v>158</v>
      </c>
      <c r="CN117" s="17" t="s">
        <v>158</v>
      </c>
      <c r="CO117" s="17" t="s">
        <v>158</v>
      </c>
      <c r="CP117" s="17" t="s">
        <v>158</v>
      </c>
      <c r="CQ117" s="17" t="s">
        <v>158</v>
      </c>
      <c r="CR117" s="17" t="s">
        <v>158</v>
      </c>
      <c r="CS117" s="17" t="s">
        <v>158</v>
      </c>
      <c r="CT117" s="17" t="s">
        <v>158</v>
      </c>
      <c r="CU117" s="17" t="s">
        <v>158</v>
      </c>
      <c r="CV117" s="17" t="s">
        <v>158</v>
      </c>
      <c r="CW117" s="17" t="s">
        <v>158</v>
      </c>
      <c r="CX117" s="17" t="s">
        <v>158</v>
      </c>
      <c r="CY117" s="67" t="s">
        <v>158</v>
      </c>
    </row>
    <row r="118" spans="1:103" x14ac:dyDescent="0.2">
      <c r="A118" s="33" t="s">
        <v>112</v>
      </c>
      <c r="B118" s="55" t="s">
        <v>24</v>
      </c>
      <c r="C118" s="14" t="s">
        <v>20</v>
      </c>
      <c r="E118" s="8"/>
      <c r="F118" s="9"/>
      <c r="G118" s="2">
        <v>42968</v>
      </c>
      <c r="H118" s="16">
        <v>2017</v>
      </c>
      <c r="I118" s="135" t="s">
        <v>33</v>
      </c>
      <c r="J118" s="135">
        <v>10</v>
      </c>
      <c r="K118" s="136">
        <v>0.71412876290924521</v>
      </c>
      <c r="L118" s="5">
        <v>5.2290076335878037</v>
      </c>
      <c r="M118" s="6">
        <v>0.52636707098826807</v>
      </c>
      <c r="N118" s="6">
        <v>1.0365231656392921</v>
      </c>
      <c r="O118" s="6">
        <v>2.4791509246371048</v>
      </c>
      <c r="P118" s="6">
        <v>2.0918174587393121</v>
      </c>
      <c r="Q118" s="6">
        <v>3.6029081328295884</v>
      </c>
      <c r="R118" s="6">
        <v>3.4178067210180951</v>
      </c>
      <c r="S118" s="6">
        <v>1.3863094054483993</v>
      </c>
      <c r="T118" s="6">
        <v>14.54088287930006</v>
      </c>
      <c r="U118" s="17">
        <f t="shared" si="11"/>
        <v>87.162610352265233</v>
      </c>
      <c r="V118" s="6" t="s">
        <v>60</v>
      </c>
      <c r="W118" s="6">
        <v>0.16378591113790711</v>
      </c>
      <c r="X118" s="6">
        <v>5.528589240371367E-2</v>
      </c>
      <c r="Y118" s="6">
        <v>5.5541953379057186E-2</v>
      </c>
      <c r="Z118" s="6" t="s">
        <v>60</v>
      </c>
      <c r="AA118" s="6">
        <v>1.9693416830964955E-2</v>
      </c>
      <c r="AB118" s="6" t="s">
        <v>60</v>
      </c>
      <c r="AC118" s="6" t="s">
        <v>158</v>
      </c>
      <c r="AD118" s="6" t="s">
        <v>158</v>
      </c>
      <c r="AE118" s="17">
        <f>SUM(V118,W118,Y118,X118,AB118,AA118)</f>
        <v>0.29430717375164295</v>
      </c>
      <c r="AF118" s="6" t="s">
        <v>70</v>
      </c>
      <c r="AG118" s="18" t="s">
        <v>158</v>
      </c>
      <c r="AH118" s="23">
        <v>16.431795878312073</v>
      </c>
      <c r="AI118" s="6" t="s">
        <v>69</v>
      </c>
      <c r="AJ118" s="6" t="s">
        <v>69</v>
      </c>
      <c r="AK118" s="6">
        <v>2.19169120052339E-2</v>
      </c>
      <c r="AL118" s="6" t="s">
        <v>65</v>
      </c>
      <c r="AM118" s="6" t="s">
        <v>65</v>
      </c>
      <c r="AN118" s="6">
        <v>1.0350245338567226</v>
      </c>
      <c r="AO118" s="6">
        <v>0.23552502453385674</v>
      </c>
      <c r="AP118" s="6" t="s">
        <v>71</v>
      </c>
      <c r="AQ118" s="6">
        <v>0.92792934249263992</v>
      </c>
      <c r="AR118" s="6">
        <v>4.8478900883218837E-2</v>
      </c>
      <c r="AS118" s="5" t="s">
        <v>158</v>
      </c>
      <c r="AT118" s="5" t="s">
        <v>158</v>
      </c>
      <c r="AU118" s="5" t="s">
        <v>158</v>
      </c>
      <c r="AV118" s="5" t="s">
        <v>158</v>
      </c>
      <c r="AW118" s="5" t="s">
        <v>158</v>
      </c>
      <c r="BC118" s="6">
        <v>213</v>
      </c>
      <c r="BD118" s="6" t="s">
        <v>69</v>
      </c>
      <c r="BE118" s="6" t="s">
        <v>65</v>
      </c>
      <c r="BF118" s="6">
        <v>0.47</v>
      </c>
      <c r="BG118" s="6" t="s">
        <v>69</v>
      </c>
      <c r="BH118" s="6">
        <v>0.57172696897374697</v>
      </c>
      <c r="BI118" s="6">
        <v>9.7253365155131242</v>
      </c>
      <c r="BJ118" s="6">
        <v>3.72</v>
      </c>
      <c r="BK118" s="6" t="s">
        <v>71</v>
      </c>
      <c r="BL118" s="6">
        <v>8.9071694510739832</v>
      </c>
      <c r="BM118" s="6">
        <v>0.24847923627684962</v>
      </c>
      <c r="BN118" s="24">
        <v>310</v>
      </c>
      <c r="BO118" s="6">
        <v>1.5470928635688512</v>
      </c>
      <c r="BP118" s="6">
        <v>1.1857210555583342</v>
      </c>
      <c r="BQ118" s="6">
        <v>0.51396705079173755</v>
      </c>
      <c r="BR118" s="6">
        <v>8.577870090022321</v>
      </c>
      <c r="BS118" s="6" t="s">
        <v>69</v>
      </c>
      <c r="BT118" s="6">
        <v>4.2280056209031889</v>
      </c>
      <c r="BU118" s="6" t="s">
        <v>168</v>
      </c>
      <c r="BV118" s="6">
        <v>0.64123531398228806</v>
      </c>
      <c r="BW118" s="6">
        <v>0.26080067244096022</v>
      </c>
      <c r="BX118" s="6">
        <v>1.3044144932466386</v>
      </c>
      <c r="BY118" s="6">
        <v>1.4848243284178557</v>
      </c>
      <c r="BZ118" s="6">
        <v>4.1993884650383499</v>
      </c>
      <c r="CA118" s="6" t="s">
        <v>69</v>
      </c>
      <c r="CB118" s="6">
        <v>0.20420406553216125</v>
      </c>
      <c r="CC118" s="6">
        <v>25.886505919185705</v>
      </c>
      <c r="CD118" s="6">
        <v>0.1940735455380852</v>
      </c>
      <c r="CE118" s="6">
        <v>1.003616196104157</v>
      </c>
      <c r="CF118" s="6" t="s">
        <v>69</v>
      </c>
      <c r="CG118" s="6" t="s">
        <v>69</v>
      </c>
      <c r="CH118" s="6" t="s">
        <v>69</v>
      </c>
      <c r="CI118" s="17" t="s">
        <v>158</v>
      </c>
      <c r="CJ118" s="17" t="s">
        <v>158</v>
      </c>
      <c r="CK118" s="17" t="s">
        <v>158</v>
      </c>
      <c r="CL118" s="17" t="s">
        <v>158</v>
      </c>
      <c r="CM118" s="17" t="s">
        <v>158</v>
      </c>
      <c r="CN118" s="17" t="s">
        <v>158</v>
      </c>
      <c r="CO118" s="17" t="s">
        <v>158</v>
      </c>
      <c r="CP118" s="17" t="s">
        <v>158</v>
      </c>
      <c r="CQ118" s="17" t="s">
        <v>158</v>
      </c>
      <c r="CR118" s="17" t="s">
        <v>158</v>
      </c>
      <c r="CS118" s="17" t="s">
        <v>158</v>
      </c>
      <c r="CT118" s="17" t="s">
        <v>158</v>
      </c>
      <c r="CU118" s="17" t="s">
        <v>158</v>
      </c>
      <c r="CV118" s="17" t="s">
        <v>158</v>
      </c>
      <c r="CW118" s="17" t="s">
        <v>158</v>
      </c>
      <c r="CX118" s="17" t="s">
        <v>158</v>
      </c>
      <c r="CY118" s="67" t="s">
        <v>158</v>
      </c>
    </row>
    <row r="119" spans="1:103" x14ac:dyDescent="0.2">
      <c r="A119" s="34" t="s">
        <v>21</v>
      </c>
      <c r="B119" s="56" t="s">
        <v>21</v>
      </c>
      <c r="C119" s="14" t="s">
        <v>20</v>
      </c>
      <c r="E119" s="10"/>
      <c r="F119" s="11"/>
      <c r="G119" s="3">
        <v>42961</v>
      </c>
      <c r="H119" s="1">
        <v>2017</v>
      </c>
      <c r="I119" s="142" t="s">
        <v>33</v>
      </c>
      <c r="J119" s="142">
        <v>10</v>
      </c>
      <c r="K119" s="136">
        <v>0.50703889286564841</v>
      </c>
      <c r="L119" s="5">
        <v>4.1492776886035552</v>
      </c>
      <c r="M119" s="6">
        <v>3.445519147256218E-2</v>
      </c>
      <c r="N119" s="6">
        <v>0.10729865771812079</v>
      </c>
      <c r="O119" s="6">
        <v>0.75058231346229765</v>
      </c>
      <c r="P119" s="6">
        <v>0.62582905645479669</v>
      </c>
      <c r="Q119" s="6">
        <v>2.0800582313462299</v>
      </c>
      <c r="R119" s="6">
        <v>2.0016877220686937</v>
      </c>
      <c r="S119" s="6">
        <v>0.89178839320963288</v>
      </c>
      <c r="T119" s="6">
        <v>6.4916995657323335</v>
      </c>
      <c r="U119" s="17">
        <f t="shared" si="11"/>
        <v>57.844384245606918</v>
      </c>
      <c r="V119" s="6" t="s">
        <v>60</v>
      </c>
      <c r="W119" s="6">
        <v>0.17639634160875056</v>
      </c>
      <c r="X119" s="6">
        <v>6.1427336750044054E-2</v>
      </c>
      <c r="Y119" s="6">
        <v>9.2343201756896365E-2</v>
      </c>
      <c r="Z119" s="6" t="s">
        <v>60</v>
      </c>
      <c r="AA119" s="6">
        <v>3.2108825134651069E-2</v>
      </c>
      <c r="AB119" s="6">
        <v>1.4740134460428609E-2</v>
      </c>
      <c r="AC119" s="6" t="s">
        <v>158</v>
      </c>
      <c r="AD119" s="6" t="s">
        <v>158</v>
      </c>
      <c r="AE119" s="17">
        <f t="shared" si="9"/>
        <v>0.37701583971077063</v>
      </c>
      <c r="AF119" s="6" t="s">
        <v>70</v>
      </c>
      <c r="AG119" s="18" t="s">
        <v>158</v>
      </c>
      <c r="AH119" s="23">
        <v>36.719764011799413</v>
      </c>
      <c r="AI119" s="6" t="s">
        <v>69</v>
      </c>
      <c r="AJ119" s="6" t="s">
        <v>69</v>
      </c>
      <c r="AK119" s="6">
        <v>4.0642412323828286E-2</v>
      </c>
      <c r="AL119" s="6" t="s">
        <v>65</v>
      </c>
      <c r="AM119" s="6" t="s">
        <v>65</v>
      </c>
      <c r="AN119" s="6">
        <v>1.3517109144542774</v>
      </c>
      <c r="AO119" s="6">
        <v>1.056047197640118</v>
      </c>
      <c r="AP119" s="6" t="s">
        <v>71</v>
      </c>
      <c r="AQ119" s="6">
        <v>1.0585644051130778</v>
      </c>
      <c r="AR119" s="6">
        <v>4.5722713864306784E-2</v>
      </c>
      <c r="AS119" s="5" t="s">
        <v>158</v>
      </c>
      <c r="AT119" s="5" t="s">
        <v>158</v>
      </c>
      <c r="AU119" s="5" t="s">
        <v>158</v>
      </c>
      <c r="AV119" s="5" t="s">
        <v>158</v>
      </c>
      <c r="AW119" s="5" t="s">
        <v>158</v>
      </c>
      <c r="BC119" s="6">
        <v>587</v>
      </c>
      <c r="BD119" s="6" t="s">
        <v>69</v>
      </c>
      <c r="BE119" s="6" t="s">
        <v>65</v>
      </c>
      <c r="BF119" s="6">
        <v>0.60899999999999999</v>
      </c>
      <c r="BG119" s="6" t="s">
        <v>69</v>
      </c>
      <c r="BH119" s="6">
        <v>0.54630310994305742</v>
      </c>
      <c r="BI119" s="6">
        <v>19.587483574244416</v>
      </c>
      <c r="BJ119" s="6">
        <v>14.8</v>
      </c>
      <c r="BK119" s="6">
        <v>1.7</v>
      </c>
      <c r="BL119" s="6">
        <v>13.677463863337712</v>
      </c>
      <c r="BM119" s="6">
        <v>0.28830705212439772</v>
      </c>
      <c r="BN119" s="24">
        <v>68</v>
      </c>
      <c r="BO119" s="6">
        <v>0.95745339478638347</v>
      </c>
      <c r="BP119" s="6">
        <v>0.55054281442904895</v>
      </c>
      <c r="BQ119" s="6">
        <v>4.031719246854939</v>
      </c>
      <c r="BR119" s="6">
        <v>5.2795278025854735</v>
      </c>
      <c r="BS119" s="6" t="s">
        <v>69</v>
      </c>
      <c r="BT119" s="6">
        <v>2.7754233961210208</v>
      </c>
      <c r="BU119" s="6" t="s">
        <v>168</v>
      </c>
      <c r="BV119" s="6" t="s">
        <v>69</v>
      </c>
      <c r="BW119" s="6" t="s">
        <v>69</v>
      </c>
      <c r="BX119" s="6">
        <v>0.75246197355842348</v>
      </c>
      <c r="BY119" s="6">
        <v>1.1208792380866111</v>
      </c>
      <c r="BZ119" s="6">
        <v>3.8334489820177549</v>
      </c>
      <c r="CA119" s="6" t="s">
        <v>69</v>
      </c>
      <c r="CB119" s="6" t="s">
        <v>69</v>
      </c>
      <c r="CC119" s="6" t="s">
        <v>69</v>
      </c>
      <c r="CD119" s="6" t="s">
        <v>69</v>
      </c>
      <c r="CE119" s="6">
        <v>0.54570643268730235</v>
      </c>
      <c r="CF119" s="6" t="s">
        <v>69</v>
      </c>
      <c r="CG119" s="6" t="s">
        <v>69</v>
      </c>
      <c r="CH119" s="6" t="s">
        <v>69</v>
      </c>
      <c r="CI119" s="17" t="s">
        <v>158</v>
      </c>
      <c r="CJ119" s="17" t="s">
        <v>158</v>
      </c>
      <c r="CK119" s="17" t="s">
        <v>158</v>
      </c>
      <c r="CL119" s="17" t="s">
        <v>158</v>
      </c>
      <c r="CM119" s="17" t="s">
        <v>158</v>
      </c>
      <c r="CN119" s="17" t="s">
        <v>158</v>
      </c>
      <c r="CO119" s="17" t="s">
        <v>158</v>
      </c>
      <c r="CP119" s="17" t="s">
        <v>158</v>
      </c>
      <c r="CQ119" s="17" t="s">
        <v>158</v>
      </c>
      <c r="CR119" s="17" t="s">
        <v>158</v>
      </c>
      <c r="CS119" s="17" t="s">
        <v>158</v>
      </c>
      <c r="CT119" s="17" t="s">
        <v>158</v>
      </c>
      <c r="CU119" s="17" t="s">
        <v>158</v>
      </c>
      <c r="CV119" s="17" t="s">
        <v>158</v>
      </c>
      <c r="CW119" s="17" t="s">
        <v>158</v>
      </c>
      <c r="CX119" s="17" t="s">
        <v>158</v>
      </c>
      <c r="CY119" s="67" t="s">
        <v>158</v>
      </c>
    </row>
    <row r="120" spans="1:103" x14ac:dyDescent="0.2">
      <c r="A120" s="35" t="s">
        <v>22</v>
      </c>
      <c r="B120" s="57" t="s">
        <v>22</v>
      </c>
      <c r="C120" s="14" t="s">
        <v>20</v>
      </c>
      <c r="E120" s="12"/>
      <c r="F120" s="13"/>
      <c r="G120" s="4">
        <v>42985</v>
      </c>
      <c r="H120" s="16">
        <v>2017</v>
      </c>
      <c r="I120" s="135" t="s">
        <v>33</v>
      </c>
      <c r="J120" s="135">
        <v>10</v>
      </c>
      <c r="K120" s="136">
        <v>0.42030051486814662</v>
      </c>
      <c r="L120" s="5">
        <v>4.7704590818362007</v>
      </c>
      <c r="M120" s="6">
        <v>0.71336541616537241</v>
      </c>
      <c r="N120" s="6">
        <v>1.6686700207809251</v>
      </c>
      <c r="O120" s="6">
        <v>3.7139943125888655</v>
      </c>
      <c r="P120" s="6">
        <v>2.6614568522366837</v>
      </c>
      <c r="Q120" s="6">
        <v>5.305080389368916</v>
      </c>
      <c r="R120" s="6">
        <v>4.9528929235480685</v>
      </c>
      <c r="S120" s="6">
        <v>1.9803237449414852</v>
      </c>
      <c r="T120" s="6">
        <v>20.995783659630316</v>
      </c>
      <c r="U120" s="17">
        <f t="shared" si="11"/>
        <v>218.10973528244824</v>
      </c>
      <c r="V120" s="6" t="s">
        <v>60</v>
      </c>
      <c r="W120" s="6">
        <v>0.25535616727969934</v>
      </c>
      <c r="X120" s="6">
        <v>9.5357270999735233E-2</v>
      </c>
      <c r="Y120" s="6">
        <v>0.26902597589390986</v>
      </c>
      <c r="Z120" s="6" t="s">
        <v>60</v>
      </c>
      <c r="AA120" s="6">
        <v>3.1730525449955339E-2</v>
      </c>
      <c r="AB120" s="6">
        <v>2.6055483691934601E-2</v>
      </c>
      <c r="AC120" s="6" t="s">
        <v>158</v>
      </c>
      <c r="AD120" s="6" t="s">
        <v>158</v>
      </c>
      <c r="AE120" s="17">
        <f t="shared" si="9"/>
        <v>0.67752542331523435</v>
      </c>
      <c r="AF120" s="6" t="s">
        <v>70</v>
      </c>
      <c r="AG120" s="18" t="s">
        <v>158</v>
      </c>
      <c r="AH120" s="23">
        <v>17.311219512195123</v>
      </c>
      <c r="AI120" s="6" t="s">
        <v>69</v>
      </c>
      <c r="AJ120" s="6" t="s">
        <v>69</v>
      </c>
      <c r="AK120" s="6" t="s">
        <v>56</v>
      </c>
      <c r="AL120" s="6" t="s">
        <v>65</v>
      </c>
      <c r="AM120" s="6" t="s">
        <v>65</v>
      </c>
      <c r="AN120" s="6">
        <v>0.57725853658536586</v>
      </c>
      <c r="AO120" s="6">
        <v>0.28390243902439027</v>
      </c>
      <c r="AP120" s="6" t="s">
        <v>71</v>
      </c>
      <c r="AQ120" s="6">
        <v>0.71176585365853662</v>
      </c>
      <c r="AR120" s="6">
        <v>7.8439024390243903E-2</v>
      </c>
      <c r="AS120" s="5" t="s">
        <v>158</v>
      </c>
      <c r="AT120" s="5" t="s">
        <v>158</v>
      </c>
      <c r="AU120" s="5" t="s">
        <v>158</v>
      </c>
      <c r="AV120" s="5" t="s">
        <v>158</v>
      </c>
      <c r="AW120" s="5" t="s">
        <v>158</v>
      </c>
      <c r="BC120" s="6">
        <v>192</v>
      </c>
      <c r="BD120" s="6" t="s">
        <v>69</v>
      </c>
      <c r="BE120" s="6" t="s">
        <v>65</v>
      </c>
      <c r="BF120" s="6">
        <v>0.26500000000000001</v>
      </c>
      <c r="BG120" s="6" t="s">
        <v>69</v>
      </c>
      <c r="BH120" s="6">
        <v>0.42019573503657154</v>
      </c>
      <c r="BI120" s="6">
        <v>7.5175543422272577</v>
      </c>
      <c r="BJ120" s="6">
        <v>2.85</v>
      </c>
      <c r="BK120" s="6" t="s">
        <v>71</v>
      </c>
      <c r="BL120" s="6">
        <v>8.3241578242505394</v>
      </c>
      <c r="BM120" s="6">
        <v>0.2990439888740084</v>
      </c>
      <c r="BN120" s="24">
        <v>83</v>
      </c>
      <c r="BO120" s="6">
        <v>2.9999785292300758</v>
      </c>
      <c r="BP120" s="6">
        <v>0.18418420460123613</v>
      </c>
      <c r="BQ120" s="6">
        <v>0.29240110574376638</v>
      </c>
      <c r="BR120" s="6">
        <v>6.3669350065018637</v>
      </c>
      <c r="BS120" s="6" t="s">
        <v>69</v>
      </c>
      <c r="BT120" s="6">
        <v>16.233059670336107</v>
      </c>
      <c r="BU120" s="6" t="s">
        <v>168</v>
      </c>
      <c r="BV120" s="6" t="s">
        <v>69</v>
      </c>
      <c r="BW120" s="6" t="s">
        <v>69</v>
      </c>
      <c r="BX120" s="6">
        <v>0.84820274349753311</v>
      </c>
      <c r="BY120" s="6">
        <v>1.5876104345265103</v>
      </c>
      <c r="BZ120" s="6">
        <v>4.9392908468709829</v>
      </c>
      <c r="CA120" s="6" t="s">
        <v>69</v>
      </c>
      <c r="CB120" s="6" t="s">
        <v>69</v>
      </c>
      <c r="CC120" s="6" t="s">
        <v>69</v>
      </c>
      <c r="CD120" s="6">
        <v>0.42577950477359999</v>
      </c>
      <c r="CE120" s="6">
        <v>1.6028701491040183</v>
      </c>
      <c r="CF120" s="6" t="s">
        <v>69</v>
      </c>
      <c r="CG120" s="6" t="s">
        <v>69</v>
      </c>
      <c r="CH120" s="6" t="s">
        <v>69</v>
      </c>
      <c r="CI120" s="17" t="s">
        <v>158</v>
      </c>
      <c r="CJ120" s="17" t="s">
        <v>158</v>
      </c>
      <c r="CK120" s="17" t="s">
        <v>158</v>
      </c>
      <c r="CL120" s="17" t="s">
        <v>158</v>
      </c>
      <c r="CM120" s="17" t="s">
        <v>158</v>
      </c>
      <c r="CN120" s="17" t="s">
        <v>158</v>
      </c>
      <c r="CO120" s="17" t="s">
        <v>158</v>
      </c>
      <c r="CP120" s="17" t="s">
        <v>158</v>
      </c>
      <c r="CQ120" s="17" t="s">
        <v>158</v>
      </c>
      <c r="CR120" s="17" t="s">
        <v>158</v>
      </c>
      <c r="CS120" s="17" t="s">
        <v>158</v>
      </c>
      <c r="CT120" s="17" t="s">
        <v>158</v>
      </c>
      <c r="CU120" s="17" t="s">
        <v>158</v>
      </c>
      <c r="CV120" s="17" t="s">
        <v>158</v>
      </c>
      <c r="CW120" s="17" t="s">
        <v>158</v>
      </c>
      <c r="CX120" s="17" t="s">
        <v>158</v>
      </c>
      <c r="CY120" s="67" t="s">
        <v>158</v>
      </c>
    </row>
    <row r="121" spans="1:103" x14ac:dyDescent="0.2">
      <c r="A121" s="35" t="s">
        <v>25</v>
      </c>
      <c r="B121" s="57" t="s">
        <v>25</v>
      </c>
      <c r="C121" s="14" t="s">
        <v>20</v>
      </c>
      <c r="E121" s="12"/>
      <c r="F121" s="13"/>
      <c r="G121" s="4">
        <v>42962</v>
      </c>
      <c r="H121" s="1">
        <v>2017</v>
      </c>
      <c r="I121" s="142" t="s">
        <v>33</v>
      </c>
      <c r="J121" s="142">
        <v>10</v>
      </c>
      <c r="K121" s="136">
        <v>0.45115831094437497</v>
      </c>
      <c r="L121" s="5">
        <v>3.6928386540120557</v>
      </c>
      <c r="M121" s="6">
        <v>3.4289932638184001E-2</v>
      </c>
      <c r="N121" s="6">
        <v>9.1302943619082769E-2</v>
      </c>
      <c r="O121" s="6">
        <v>0.38661068561409989</v>
      </c>
      <c r="P121" s="6">
        <v>0.29720402325366801</v>
      </c>
      <c r="Q121" s="6">
        <v>0.82254775306819228</v>
      </c>
      <c r="R121" s="6">
        <v>0.77604503091261423</v>
      </c>
      <c r="S121" s="6">
        <v>0.32070683768570635</v>
      </c>
      <c r="T121" s="6">
        <v>2.7287072067915479</v>
      </c>
      <c r="U121" s="17">
        <f t="shared" si="11"/>
        <v>26.947338933513173</v>
      </c>
      <c r="V121" s="6" t="s">
        <v>60</v>
      </c>
      <c r="W121" s="6">
        <v>5.6953680545536747E-2</v>
      </c>
      <c r="X121" s="6" t="s">
        <v>72</v>
      </c>
      <c r="Y121" s="6">
        <v>6.0711184030465694E-2</v>
      </c>
      <c r="Z121" s="6">
        <v>1.2471803597822488E-2</v>
      </c>
      <c r="AA121" s="6" t="s">
        <v>56</v>
      </c>
      <c r="AB121" s="6">
        <v>1.3801074500573902E-2</v>
      </c>
      <c r="AC121" s="6" t="s">
        <v>158</v>
      </c>
      <c r="AD121" s="7" t="s">
        <v>158</v>
      </c>
      <c r="AE121" s="17">
        <f t="shared" si="9"/>
        <v>0.13146593907657636</v>
      </c>
      <c r="AF121" s="6" t="s">
        <v>70</v>
      </c>
      <c r="AG121" s="18" t="s">
        <v>158</v>
      </c>
      <c r="AH121" s="23">
        <v>35.969260326609032</v>
      </c>
      <c r="AI121" s="6" t="s">
        <v>69</v>
      </c>
      <c r="AJ121" s="6" t="s">
        <v>69</v>
      </c>
      <c r="AK121" s="6" t="s">
        <v>56</v>
      </c>
      <c r="AL121" s="6" t="s">
        <v>65</v>
      </c>
      <c r="AM121" s="6" t="s">
        <v>65</v>
      </c>
      <c r="AN121" s="6">
        <v>0.85945244956772338</v>
      </c>
      <c r="AO121" s="6">
        <v>0.41690682036503357</v>
      </c>
      <c r="AP121" s="6" t="s">
        <v>71</v>
      </c>
      <c r="AQ121" s="6">
        <v>0.40303554274735831</v>
      </c>
      <c r="AR121" s="6" t="s">
        <v>71</v>
      </c>
      <c r="AS121" s="5" t="s">
        <v>158</v>
      </c>
      <c r="AT121" s="5" t="s">
        <v>158</v>
      </c>
      <c r="AU121" s="5" t="s">
        <v>158</v>
      </c>
      <c r="AV121" s="5" t="s">
        <v>158</v>
      </c>
      <c r="AW121" s="5" t="s">
        <v>158</v>
      </c>
      <c r="BC121" s="6">
        <v>579</v>
      </c>
      <c r="BD121" s="6" t="s">
        <v>69</v>
      </c>
      <c r="BE121" s="6" t="s">
        <v>65</v>
      </c>
      <c r="BF121" s="6">
        <v>0.42699999999999999</v>
      </c>
      <c r="BG121" s="6" t="s">
        <v>69</v>
      </c>
      <c r="BH121" s="6">
        <v>0.63869239228231534</v>
      </c>
      <c r="BI121" s="6">
        <v>12.783454963510948</v>
      </c>
      <c r="BJ121" s="6">
        <v>7.17</v>
      </c>
      <c r="BK121" s="6">
        <v>3.2</v>
      </c>
      <c r="BL121" s="6">
        <v>6.3783464960511846</v>
      </c>
      <c r="BM121" s="6">
        <v>0.25720483854843551</v>
      </c>
      <c r="BN121" s="24">
        <v>130</v>
      </c>
      <c r="BO121" s="6">
        <v>0.86808938352401754</v>
      </c>
      <c r="BP121" s="6">
        <v>0.30351418923293927</v>
      </c>
      <c r="BQ121" s="6">
        <v>0.23707257465100043</v>
      </c>
      <c r="BR121" s="6">
        <v>4.9382036276577743</v>
      </c>
      <c r="BS121" s="6" t="s">
        <v>69</v>
      </c>
      <c r="BT121" s="6">
        <v>2.4737963202353841</v>
      </c>
      <c r="BU121" s="6" t="s">
        <v>168</v>
      </c>
      <c r="BV121" s="6" t="s">
        <v>69</v>
      </c>
      <c r="BW121" s="6" t="s">
        <v>69</v>
      </c>
      <c r="BX121" s="6">
        <v>1.334697716239625</v>
      </c>
      <c r="BY121" s="6">
        <v>1.3162901845739678</v>
      </c>
      <c r="BZ121" s="6">
        <v>2.9396617180144951</v>
      </c>
      <c r="CA121" s="6" t="s">
        <v>69</v>
      </c>
      <c r="CB121" s="6" t="s">
        <v>69</v>
      </c>
      <c r="CC121" s="6" t="s">
        <v>69</v>
      </c>
      <c r="CD121" s="6" t="s">
        <v>69</v>
      </c>
      <c r="CE121" s="6" t="s">
        <v>46</v>
      </c>
      <c r="CF121" s="6" t="s">
        <v>69</v>
      </c>
      <c r="CG121" s="6" t="s">
        <v>69</v>
      </c>
      <c r="CH121" s="6" t="s">
        <v>69</v>
      </c>
      <c r="CI121" s="17" t="s">
        <v>158</v>
      </c>
      <c r="CJ121" s="17" t="s">
        <v>158</v>
      </c>
      <c r="CK121" s="17" t="s">
        <v>158</v>
      </c>
      <c r="CL121" s="17" t="s">
        <v>158</v>
      </c>
      <c r="CM121" s="17" t="s">
        <v>158</v>
      </c>
      <c r="CN121" s="17" t="s">
        <v>158</v>
      </c>
      <c r="CO121" s="17" t="s">
        <v>158</v>
      </c>
      <c r="CP121" s="17" t="s">
        <v>158</v>
      </c>
      <c r="CQ121" s="17" t="s">
        <v>158</v>
      </c>
      <c r="CR121" s="17" t="s">
        <v>158</v>
      </c>
      <c r="CS121" s="17" t="s">
        <v>158</v>
      </c>
      <c r="CT121" s="17" t="s">
        <v>158</v>
      </c>
      <c r="CU121" s="17" t="s">
        <v>158</v>
      </c>
      <c r="CV121" s="17" t="s">
        <v>158</v>
      </c>
      <c r="CW121" s="17" t="s">
        <v>158</v>
      </c>
      <c r="CX121" s="17" t="s">
        <v>158</v>
      </c>
      <c r="CY121" s="67" t="s">
        <v>158</v>
      </c>
    </row>
    <row r="122" spans="1:103" x14ac:dyDescent="0.2">
      <c r="A122" s="35" t="s">
        <v>5</v>
      </c>
      <c r="B122" s="57" t="s">
        <v>5</v>
      </c>
      <c r="C122" s="14" t="s">
        <v>20</v>
      </c>
      <c r="E122" s="12"/>
      <c r="F122" s="13"/>
      <c r="G122" s="4">
        <v>42968</v>
      </c>
      <c r="H122" s="16">
        <v>2017</v>
      </c>
      <c r="I122" s="135" t="s">
        <v>33</v>
      </c>
      <c r="J122" s="135">
        <v>10</v>
      </c>
      <c r="K122" s="136">
        <v>0.32914989344067203</v>
      </c>
      <c r="L122" s="5">
        <v>7.303705468843205</v>
      </c>
      <c r="M122" s="6">
        <v>0.85847941888619861</v>
      </c>
      <c r="N122" s="6">
        <v>1.8717142857142859</v>
      </c>
      <c r="O122" s="6">
        <v>4.2495108958837768</v>
      </c>
      <c r="P122" s="6">
        <v>3.3886585956416471</v>
      </c>
      <c r="Q122" s="6">
        <v>4.8051961259079903</v>
      </c>
      <c r="R122" s="6">
        <v>4.73496368038741</v>
      </c>
      <c r="S122" s="6">
        <v>1.4049588377723972</v>
      </c>
      <c r="T122" s="6">
        <v>21.313481840193706</v>
      </c>
      <c r="U122" s="17">
        <f t="shared" si="11"/>
        <v>272.28967108541593</v>
      </c>
      <c r="V122" s="6">
        <v>1.4188479380229126E-2</v>
      </c>
      <c r="W122" s="6">
        <v>0.31560819344274726</v>
      </c>
      <c r="X122" s="6">
        <v>0.12461929479743412</v>
      </c>
      <c r="Y122" s="6">
        <v>0.28000000000000003</v>
      </c>
      <c r="Z122" s="6">
        <v>2.5940984890961076E-2</v>
      </c>
      <c r="AA122" s="6">
        <v>4.4061211569325985E-2</v>
      </c>
      <c r="AB122" s="6">
        <v>3.5086570997494314E-2</v>
      </c>
      <c r="AC122" s="6" t="s">
        <v>158</v>
      </c>
      <c r="AD122" s="6" t="s">
        <v>158</v>
      </c>
      <c r="AE122" s="17">
        <f t="shared" si="9"/>
        <v>0.81356375018723093</v>
      </c>
      <c r="AF122" s="6" t="s">
        <v>70</v>
      </c>
      <c r="AG122" s="18" t="s">
        <v>158</v>
      </c>
      <c r="AH122" s="23">
        <v>14.945098039215686</v>
      </c>
      <c r="AI122" s="6" t="s">
        <v>69</v>
      </c>
      <c r="AJ122" s="6" t="s">
        <v>69</v>
      </c>
      <c r="AK122" s="6" t="s">
        <v>56</v>
      </c>
      <c r="AL122" s="6" t="s">
        <v>65</v>
      </c>
      <c r="AM122" s="6" t="s">
        <v>65</v>
      </c>
      <c r="AN122" s="6">
        <v>0.42910784313725492</v>
      </c>
      <c r="AO122" s="6">
        <v>0.16666666666666666</v>
      </c>
      <c r="AP122" s="6" t="s">
        <v>71</v>
      </c>
      <c r="AQ122" s="6">
        <v>0.43682352941176472</v>
      </c>
      <c r="AR122" s="6">
        <v>6.0392156862745093E-2</v>
      </c>
      <c r="AS122" s="5" t="s">
        <v>158</v>
      </c>
      <c r="AT122" s="5" t="s">
        <v>158</v>
      </c>
      <c r="AU122" s="5" t="s">
        <v>158</v>
      </c>
      <c r="AV122" s="5" t="s">
        <v>158</v>
      </c>
      <c r="AW122" s="5" t="s">
        <v>158</v>
      </c>
      <c r="BC122" s="6">
        <v>306</v>
      </c>
      <c r="BD122" s="6" t="s">
        <v>69</v>
      </c>
      <c r="BE122" s="6" t="s">
        <v>65</v>
      </c>
      <c r="BF122" s="6">
        <v>0.20699999999999999</v>
      </c>
      <c r="BG122" s="6" t="s">
        <v>69</v>
      </c>
      <c r="BH122" s="6">
        <v>0.34745155126922028</v>
      </c>
      <c r="BI122" s="6">
        <v>9.4507233190792466</v>
      </c>
      <c r="BJ122" s="6">
        <v>4.55</v>
      </c>
      <c r="BK122" s="6" t="s">
        <v>71</v>
      </c>
      <c r="BL122" s="6">
        <v>9.5444090619597848</v>
      </c>
      <c r="BM122" s="6">
        <v>0.24500227458829954</v>
      </c>
      <c r="BN122" s="24">
        <v>110</v>
      </c>
      <c r="BO122" s="6">
        <v>0.97729124279127555</v>
      </c>
      <c r="BP122" s="6">
        <v>0.42200429980447113</v>
      </c>
      <c r="BQ122" s="6" t="s">
        <v>65</v>
      </c>
      <c r="BR122" s="6">
        <v>2.5612225038126497</v>
      </c>
      <c r="BS122" s="6" t="s">
        <v>69</v>
      </c>
      <c r="BT122" s="6">
        <v>1.7169193010677768</v>
      </c>
      <c r="BU122" s="6" t="s">
        <v>168</v>
      </c>
      <c r="BV122" s="6" t="s">
        <v>69</v>
      </c>
      <c r="BW122" s="6" t="s">
        <v>69</v>
      </c>
      <c r="BX122" s="6">
        <v>0.70619700486637704</v>
      </c>
      <c r="BY122" s="6">
        <v>0.88274755045956688</v>
      </c>
      <c r="BZ122" s="6">
        <v>5.1620708424307242</v>
      </c>
      <c r="CA122" s="6" t="s">
        <v>69</v>
      </c>
      <c r="CB122" s="6" t="s">
        <v>69</v>
      </c>
      <c r="CC122" s="6" t="s">
        <v>69</v>
      </c>
      <c r="CD122" s="6" t="s">
        <v>69</v>
      </c>
      <c r="CE122" s="6">
        <v>0.76036983173790562</v>
      </c>
      <c r="CF122" s="6" t="s">
        <v>69</v>
      </c>
      <c r="CG122" s="6" t="s">
        <v>69</v>
      </c>
      <c r="CH122" s="6" t="s">
        <v>69</v>
      </c>
      <c r="CI122" s="17" t="s">
        <v>158</v>
      </c>
      <c r="CJ122" s="17" t="s">
        <v>158</v>
      </c>
      <c r="CK122" s="17" t="s">
        <v>158</v>
      </c>
      <c r="CL122" s="17" t="s">
        <v>158</v>
      </c>
      <c r="CM122" s="17" t="s">
        <v>158</v>
      </c>
      <c r="CN122" s="17" t="s">
        <v>158</v>
      </c>
      <c r="CO122" s="17" t="s">
        <v>158</v>
      </c>
      <c r="CP122" s="17" t="s">
        <v>158</v>
      </c>
      <c r="CQ122" s="17" t="s">
        <v>158</v>
      </c>
      <c r="CR122" s="17" t="s">
        <v>158</v>
      </c>
      <c r="CS122" s="17" t="s">
        <v>158</v>
      </c>
      <c r="CT122" s="17" t="s">
        <v>158</v>
      </c>
      <c r="CU122" s="17" t="s">
        <v>158</v>
      </c>
      <c r="CV122" s="17" t="s">
        <v>158</v>
      </c>
      <c r="CW122" s="17" t="s">
        <v>158</v>
      </c>
      <c r="CX122" s="17" t="s">
        <v>158</v>
      </c>
      <c r="CY122" s="67" t="s">
        <v>158</v>
      </c>
    </row>
    <row r="123" spans="1:103" x14ac:dyDescent="0.2">
      <c r="A123" s="35" t="s">
        <v>23</v>
      </c>
      <c r="B123" s="57" t="s">
        <v>23</v>
      </c>
      <c r="C123" s="14" t="s">
        <v>20</v>
      </c>
      <c r="E123" s="12"/>
      <c r="F123" s="13"/>
      <c r="G123" s="4">
        <v>42969</v>
      </c>
      <c r="H123" s="1">
        <v>2017</v>
      </c>
      <c r="I123" s="142" t="s">
        <v>33</v>
      </c>
      <c r="J123" s="142">
        <v>10</v>
      </c>
      <c r="K123" s="136">
        <v>0.37161564324900703</v>
      </c>
      <c r="L123" s="5">
        <v>4.7382042604022478</v>
      </c>
      <c r="M123" s="6">
        <v>0.32140354292388557</v>
      </c>
      <c r="N123" s="6">
        <v>1.2512993965349426</v>
      </c>
      <c r="O123" s="6">
        <v>3.3881253649990271</v>
      </c>
      <c r="P123" s="6">
        <v>2.9017130620985014</v>
      </c>
      <c r="Q123" s="6">
        <v>5.0958876776328603</v>
      </c>
      <c r="R123" s="6">
        <v>4.7924274868600349</v>
      </c>
      <c r="S123" s="6">
        <v>1.9367821685808837</v>
      </c>
      <c r="T123" s="6">
        <v>19.687638699630135</v>
      </c>
      <c r="U123" s="17">
        <f t="shared" si="11"/>
        <v>225.85063280401189</v>
      </c>
      <c r="V123" s="6" t="s">
        <v>60</v>
      </c>
      <c r="W123" s="6">
        <v>9.9613608519580982E-2</v>
      </c>
      <c r="X123" s="6">
        <v>3.8676569267013919E-2</v>
      </c>
      <c r="Y123" s="6">
        <v>4.7492991967385323E-2</v>
      </c>
      <c r="Z123" s="6" t="s">
        <v>60</v>
      </c>
      <c r="AA123" s="6" t="s">
        <v>56</v>
      </c>
      <c r="AB123" s="6" t="s">
        <v>60</v>
      </c>
      <c r="AC123" s="6" t="s">
        <v>158</v>
      </c>
      <c r="AD123" s="6" t="s">
        <v>158</v>
      </c>
      <c r="AE123" s="17">
        <f t="shared" si="9"/>
        <v>0.18578316975398024</v>
      </c>
      <c r="AF123" s="6" t="s">
        <v>70</v>
      </c>
      <c r="AG123" s="18" t="s">
        <v>158</v>
      </c>
      <c r="AH123" s="23">
        <v>10.774634146341462</v>
      </c>
      <c r="AI123" s="6" t="s">
        <v>69</v>
      </c>
      <c r="AJ123" s="6" t="s">
        <v>69</v>
      </c>
      <c r="AK123" s="6">
        <v>2.3739837398373997E-2</v>
      </c>
      <c r="AL123" s="6" t="s">
        <v>65</v>
      </c>
      <c r="AM123" s="6" t="s">
        <v>65</v>
      </c>
      <c r="AN123" s="6">
        <v>0.48360000000000009</v>
      </c>
      <c r="AO123" s="6">
        <v>0.22731707317073171</v>
      </c>
      <c r="AP123" s="6" t="s">
        <v>71</v>
      </c>
      <c r="AQ123" s="6">
        <v>0.7224975609756098</v>
      </c>
      <c r="AR123" s="6">
        <v>2.9073170731707319E-2</v>
      </c>
      <c r="AS123" s="5" t="s">
        <v>158</v>
      </c>
      <c r="AT123" s="5" t="s">
        <v>158</v>
      </c>
      <c r="AU123" s="5" t="s">
        <v>158</v>
      </c>
      <c r="AV123" s="5" t="s">
        <v>158</v>
      </c>
      <c r="AW123" s="5" t="s">
        <v>158</v>
      </c>
      <c r="BC123" s="6">
        <v>177</v>
      </c>
      <c r="BD123" s="6" t="s">
        <v>69</v>
      </c>
      <c r="BE123" s="6" t="s">
        <v>65</v>
      </c>
      <c r="BF123" s="6">
        <v>0.378</v>
      </c>
      <c r="BG123" s="6" t="s">
        <v>69</v>
      </c>
      <c r="BH123" s="6">
        <v>0.6286248794599808</v>
      </c>
      <c r="BI123" s="6">
        <v>8.3773288331726139</v>
      </c>
      <c r="BJ123" s="6">
        <v>2.61</v>
      </c>
      <c r="BK123" s="6" t="s">
        <v>71</v>
      </c>
      <c r="BL123" s="6">
        <v>9.3830858244937314</v>
      </c>
      <c r="BM123" s="6">
        <v>0.21531533269045325</v>
      </c>
      <c r="BN123" s="24">
        <v>320</v>
      </c>
      <c r="BO123" s="6">
        <v>0.92128477383202068</v>
      </c>
      <c r="BP123" s="6">
        <v>0.13728450199393563</v>
      </c>
      <c r="BQ123" s="6">
        <v>0.34650635190176066</v>
      </c>
      <c r="BR123" s="6">
        <v>5.6675155314329482</v>
      </c>
      <c r="BS123" s="6" t="s">
        <v>69</v>
      </c>
      <c r="BT123" s="6">
        <v>2.0823541043755656</v>
      </c>
      <c r="BU123" s="6" t="s">
        <v>168</v>
      </c>
      <c r="BV123" s="6" t="s">
        <v>69</v>
      </c>
      <c r="BW123" s="6" t="s">
        <v>69</v>
      </c>
      <c r="BX123" s="6">
        <v>0.60062519480696819</v>
      </c>
      <c r="BY123" s="6">
        <v>1.1188270596144783</v>
      </c>
      <c r="BZ123" s="6">
        <v>2.6917106200840069</v>
      </c>
      <c r="CA123" s="6" t="s">
        <v>69</v>
      </c>
      <c r="CB123" s="6" t="s">
        <v>69</v>
      </c>
      <c r="CC123" s="6" t="s">
        <v>69</v>
      </c>
      <c r="CD123" s="6" t="s">
        <v>69</v>
      </c>
      <c r="CE123" s="6">
        <v>0.87598084948298449</v>
      </c>
      <c r="CF123" s="6" t="s">
        <v>69</v>
      </c>
      <c r="CG123" s="6" t="s">
        <v>69</v>
      </c>
      <c r="CH123" s="6" t="s">
        <v>69</v>
      </c>
      <c r="CI123" s="17" t="s">
        <v>158</v>
      </c>
      <c r="CJ123" s="17" t="s">
        <v>158</v>
      </c>
      <c r="CK123" s="17" t="s">
        <v>158</v>
      </c>
      <c r="CL123" s="17" t="s">
        <v>158</v>
      </c>
      <c r="CM123" s="17" t="s">
        <v>158</v>
      </c>
      <c r="CN123" s="17" t="s">
        <v>158</v>
      </c>
      <c r="CO123" s="17" t="s">
        <v>158</v>
      </c>
      <c r="CP123" s="17" t="s">
        <v>158</v>
      </c>
      <c r="CQ123" s="17" t="s">
        <v>158</v>
      </c>
      <c r="CR123" s="17" t="s">
        <v>158</v>
      </c>
      <c r="CS123" s="17" t="s">
        <v>158</v>
      </c>
      <c r="CT123" s="17" t="s">
        <v>158</v>
      </c>
      <c r="CU123" s="17" t="s">
        <v>158</v>
      </c>
      <c r="CV123" s="17" t="s">
        <v>158</v>
      </c>
      <c r="CW123" s="17" t="s">
        <v>158</v>
      </c>
      <c r="CX123" s="17" t="s">
        <v>158</v>
      </c>
      <c r="CY123" s="67" t="s">
        <v>158</v>
      </c>
    </row>
    <row r="124" spans="1:103" x14ac:dyDescent="0.2">
      <c r="A124" s="35" t="s">
        <v>6</v>
      </c>
      <c r="B124" s="57" t="s">
        <v>6</v>
      </c>
      <c r="C124" s="14" t="s">
        <v>20</v>
      </c>
      <c r="E124" s="12"/>
      <c r="F124" s="13"/>
      <c r="G124" s="4">
        <v>42957</v>
      </c>
      <c r="H124" s="16">
        <v>2017</v>
      </c>
      <c r="I124" s="135" t="s">
        <v>33</v>
      </c>
      <c r="J124" s="135">
        <v>10</v>
      </c>
      <c r="K124" s="136">
        <v>0.48081485464840734</v>
      </c>
      <c r="L124" s="5">
        <v>3.2548551589453578</v>
      </c>
      <c r="M124" s="6">
        <v>8.2224723141090181E-2</v>
      </c>
      <c r="N124" s="6">
        <v>0.32061577808622999</v>
      </c>
      <c r="O124" s="6">
        <v>1.2296579169630801</v>
      </c>
      <c r="P124" s="6">
        <v>0.98014140774538916</v>
      </c>
      <c r="Q124" s="6">
        <v>2.5194324532310421</v>
      </c>
      <c r="R124" s="6">
        <v>2.1226321948808735</v>
      </c>
      <c r="S124" s="6">
        <v>0.9565257534529541</v>
      </c>
      <c r="T124" s="6">
        <v>8.2112302275006606</v>
      </c>
      <c r="U124" s="17">
        <f t="shared" si="11"/>
        <v>75.196187782540079</v>
      </c>
      <c r="V124" s="6" t="s">
        <v>60</v>
      </c>
      <c r="W124" s="6">
        <v>0.11200465291645169</v>
      </c>
      <c r="X124" s="6">
        <v>3.2600730663002821E-2</v>
      </c>
      <c r="Y124" s="6">
        <v>8.0072189468369498E-2</v>
      </c>
      <c r="Z124" s="6">
        <v>1.4072387936954478E-2</v>
      </c>
      <c r="AA124" s="6" t="s">
        <v>56</v>
      </c>
      <c r="AB124" s="6">
        <v>1.6514954792030481E-2</v>
      </c>
      <c r="AC124" s="6" t="s">
        <v>158</v>
      </c>
      <c r="AD124" s="6" t="s">
        <v>158</v>
      </c>
      <c r="AE124" s="17">
        <f t="shared" si="9"/>
        <v>0.24119252783985451</v>
      </c>
      <c r="AF124" s="6" t="s">
        <v>70</v>
      </c>
      <c r="AG124" s="18" t="s">
        <v>158</v>
      </c>
      <c r="AH124" s="23">
        <v>5.368318756073859</v>
      </c>
      <c r="AI124" s="6" t="s">
        <v>69</v>
      </c>
      <c r="AJ124" s="6" t="s">
        <v>69</v>
      </c>
      <c r="AK124" s="6" t="s">
        <v>56</v>
      </c>
      <c r="AL124" s="6" t="s">
        <v>65</v>
      </c>
      <c r="AM124" s="6" t="s">
        <v>65</v>
      </c>
      <c r="AN124" s="6">
        <v>0.26694849368318763</v>
      </c>
      <c r="AO124" s="6">
        <v>9.3294460641399429E-2</v>
      </c>
      <c r="AP124" s="6" t="s">
        <v>71</v>
      </c>
      <c r="AQ124" s="6">
        <v>7.6151603498542275E-2</v>
      </c>
      <c r="AR124" s="6" t="s">
        <v>71</v>
      </c>
      <c r="AS124" s="5" t="s">
        <v>158</v>
      </c>
      <c r="AT124" s="5" t="s">
        <v>158</v>
      </c>
      <c r="AU124" s="5" t="s">
        <v>158</v>
      </c>
      <c r="AV124" s="5" t="s">
        <v>158</v>
      </c>
      <c r="AW124" s="5" t="s">
        <v>158</v>
      </c>
      <c r="BC124" s="6">
        <v>109</v>
      </c>
      <c r="BD124" s="6" t="s">
        <v>69</v>
      </c>
      <c r="BE124" s="6" t="s">
        <v>65</v>
      </c>
      <c r="BF124" s="6">
        <v>0.69499999999999995</v>
      </c>
      <c r="BG124" s="6" t="s">
        <v>69</v>
      </c>
      <c r="BH124" s="6">
        <v>0.28119681908548705</v>
      </c>
      <c r="BI124" s="6">
        <v>6.7965109343936376</v>
      </c>
      <c r="BJ124" s="6">
        <v>1.98</v>
      </c>
      <c r="BK124" s="6" t="s">
        <v>71</v>
      </c>
      <c r="BL124" s="6">
        <v>2.8929025844930418</v>
      </c>
      <c r="BM124" s="6">
        <v>0.241831013916501</v>
      </c>
      <c r="BN124" s="24">
        <v>21</v>
      </c>
      <c r="BO124" s="6">
        <v>1.2145236651513172</v>
      </c>
      <c r="BP124" s="6">
        <v>0.89553904943832818</v>
      </c>
      <c r="BQ124" s="6">
        <v>0.30758130386348109</v>
      </c>
      <c r="BR124" s="6">
        <v>3.0280272724070523</v>
      </c>
      <c r="BS124" s="6" t="s">
        <v>69</v>
      </c>
      <c r="BT124" s="6" t="s">
        <v>165</v>
      </c>
      <c r="BU124" s="6" t="s">
        <v>168</v>
      </c>
      <c r="BV124" s="6" t="s">
        <v>69</v>
      </c>
      <c r="BW124" s="6" t="s">
        <v>69</v>
      </c>
      <c r="BX124" s="6">
        <v>1.5837381982123049</v>
      </c>
      <c r="BY124" s="6">
        <v>0.93085258534294002</v>
      </c>
      <c r="BZ124" s="6">
        <v>3.3816033005238704</v>
      </c>
      <c r="CA124" s="6" t="s">
        <v>69</v>
      </c>
      <c r="CB124" s="6">
        <v>0.22565808572658203</v>
      </c>
      <c r="CC124" s="6" t="s">
        <v>69</v>
      </c>
      <c r="CD124" s="6" t="s">
        <v>69</v>
      </c>
      <c r="CE124" s="6">
        <v>0.54499501303601094</v>
      </c>
      <c r="CF124" s="6" t="s">
        <v>69</v>
      </c>
      <c r="CG124" s="6" t="s">
        <v>69</v>
      </c>
      <c r="CH124" s="6" t="s">
        <v>69</v>
      </c>
      <c r="CI124" s="17" t="s">
        <v>158</v>
      </c>
      <c r="CJ124" s="17" t="s">
        <v>158</v>
      </c>
      <c r="CK124" s="17" t="s">
        <v>158</v>
      </c>
      <c r="CL124" s="17" t="s">
        <v>158</v>
      </c>
      <c r="CM124" s="17" t="s">
        <v>158</v>
      </c>
      <c r="CN124" s="17" t="s">
        <v>158</v>
      </c>
      <c r="CO124" s="17" t="s">
        <v>158</v>
      </c>
      <c r="CP124" s="17" t="s">
        <v>158</v>
      </c>
      <c r="CQ124" s="17" t="s">
        <v>158</v>
      </c>
      <c r="CR124" s="17" t="s">
        <v>158</v>
      </c>
      <c r="CS124" s="17" t="s">
        <v>158</v>
      </c>
      <c r="CT124" s="17" t="s">
        <v>158</v>
      </c>
      <c r="CU124" s="17" t="s">
        <v>158</v>
      </c>
      <c r="CV124" s="17" t="s">
        <v>158</v>
      </c>
      <c r="CW124" s="17" t="s">
        <v>158</v>
      </c>
      <c r="CX124" s="17" t="s">
        <v>158</v>
      </c>
      <c r="CY124" s="67" t="s">
        <v>158</v>
      </c>
    </row>
    <row r="125" spans="1:103" x14ac:dyDescent="0.2">
      <c r="A125" s="35" t="s">
        <v>81</v>
      </c>
      <c r="B125" s="57" t="s">
        <v>81</v>
      </c>
      <c r="C125" s="14" t="s">
        <v>20</v>
      </c>
      <c r="E125" s="12"/>
      <c r="F125" s="13"/>
      <c r="G125" s="4">
        <v>42964</v>
      </c>
      <c r="H125" s="1">
        <v>2017</v>
      </c>
      <c r="I125" s="142" t="s">
        <v>33</v>
      </c>
      <c r="J125" s="142">
        <v>10</v>
      </c>
      <c r="K125" s="136">
        <v>0.82981511136988539</v>
      </c>
      <c r="L125" s="5">
        <v>5.8032829261988059</v>
      </c>
      <c r="M125" s="6">
        <v>9.6332518337408315E-2</v>
      </c>
      <c r="N125" s="6">
        <v>0.19850855745721271</v>
      </c>
      <c r="O125" s="6">
        <v>0.60342298288508556</v>
      </c>
      <c r="P125" s="6">
        <v>0.49694865525672371</v>
      </c>
      <c r="Q125" s="6">
        <v>1.2166601466992664</v>
      </c>
      <c r="R125" s="6">
        <v>1.1225330073349633</v>
      </c>
      <c r="S125" s="6">
        <v>0.57712469437652814</v>
      </c>
      <c r="T125" s="6">
        <v>4.3115305623471887</v>
      </c>
      <c r="U125" s="17">
        <f t="shared" si="11"/>
        <v>22.984529052461038</v>
      </c>
      <c r="V125" s="6" t="s">
        <v>60</v>
      </c>
      <c r="W125" s="6">
        <v>0.16390767365384104</v>
      </c>
      <c r="X125" s="6">
        <v>7.6315005839863906E-2</v>
      </c>
      <c r="Y125" s="6">
        <v>0.22087258579075278</v>
      </c>
      <c r="Z125" s="6">
        <v>2.2385735046360079E-2</v>
      </c>
      <c r="AA125" s="6">
        <v>6.2646140349434942E-2</v>
      </c>
      <c r="AB125" s="6">
        <v>4.0497829765687783E-2</v>
      </c>
      <c r="AC125" s="6" t="s">
        <v>158</v>
      </c>
      <c r="AD125" s="6" t="s">
        <v>158</v>
      </c>
      <c r="AE125" s="17">
        <f t="shared" si="9"/>
        <v>0.56423923539958043</v>
      </c>
      <c r="AF125" s="6">
        <v>0.03</v>
      </c>
      <c r="AG125" s="18">
        <f>(AF125/K125)*5</f>
        <v>0.18076315789474498</v>
      </c>
      <c r="AH125" s="23">
        <v>9.7039999999999988</v>
      </c>
      <c r="AI125" s="6" t="s">
        <v>69</v>
      </c>
      <c r="AJ125" s="6" t="s">
        <v>69</v>
      </c>
      <c r="AK125" s="6" t="s">
        <v>56</v>
      </c>
      <c r="AL125" s="6" t="s">
        <v>65</v>
      </c>
      <c r="AM125" s="6" t="s">
        <v>65</v>
      </c>
      <c r="AN125" s="6">
        <v>1.96469</v>
      </c>
      <c r="AO125" s="6">
        <v>1.6240000000000001</v>
      </c>
      <c r="AP125" s="6" t="s">
        <v>71</v>
      </c>
      <c r="AQ125" s="6">
        <v>1.7265599999999999</v>
      </c>
      <c r="AR125" s="6">
        <v>0.55840000000000001</v>
      </c>
      <c r="AS125" s="5" t="s">
        <v>158</v>
      </c>
      <c r="AT125" s="5" t="s">
        <v>158</v>
      </c>
      <c r="AU125" s="5" t="s">
        <v>158</v>
      </c>
      <c r="AV125" s="5" t="s">
        <v>158</v>
      </c>
      <c r="AW125" s="5" t="s">
        <v>158</v>
      </c>
      <c r="BC125" s="6">
        <v>132</v>
      </c>
      <c r="BD125" s="6" t="s">
        <v>69</v>
      </c>
      <c r="BE125" s="6" t="s">
        <v>65</v>
      </c>
      <c r="BF125" s="6">
        <v>0.26100000000000001</v>
      </c>
      <c r="BG125" s="6" t="s">
        <v>69</v>
      </c>
      <c r="BH125" s="6">
        <v>0.44500000000000001</v>
      </c>
      <c r="BI125" s="6">
        <v>20.437106374807989</v>
      </c>
      <c r="BJ125" s="6">
        <v>18.399999999999999</v>
      </c>
      <c r="BK125" s="6" t="s">
        <v>71</v>
      </c>
      <c r="BL125" s="6">
        <v>16.407699692780337</v>
      </c>
      <c r="BM125" s="6">
        <v>4.5115994623655915</v>
      </c>
      <c r="BN125" s="24">
        <v>27</v>
      </c>
      <c r="BO125" s="6">
        <v>1.3611720482917833</v>
      </c>
      <c r="BP125" s="6">
        <v>1.6444438182484455</v>
      </c>
      <c r="BQ125" s="6">
        <v>9.7071580569010898</v>
      </c>
      <c r="BR125" s="6">
        <v>15.005279966887915</v>
      </c>
      <c r="BS125" s="6" t="s">
        <v>69</v>
      </c>
      <c r="BT125" s="6">
        <v>2.0702666919764683</v>
      </c>
      <c r="BU125" s="6">
        <v>2.9984145867685736</v>
      </c>
      <c r="BV125" s="6">
        <v>0.29066590515646618</v>
      </c>
      <c r="BW125" s="6" t="s">
        <v>69</v>
      </c>
      <c r="BX125" s="6">
        <v>2.4973528841141155</v>
      </c>
      <c r="BY125" s="6">
        <v>8.3150129123901717</v>
      </c>
      <c r="BZ125" s="6">
        <v>3.2680258926121724</v>
      </c>
      <c r="CA125" s="6" t="s">
        <v>69</v>
      </c>
      <c r="CB125" s="6">
        <v>0.41465581003103635</v>
      </c>
      <c r="CC125" s="6">
        <v>40.090261065902574</v>
      </c>
      <c r="CD125" s="6">
        <v>0.30592828108136355</v>
      </c>
      <c r="CE125" s="6">
        <v>1.3980677827969616</v>
      </c>
      <c r="CF125" s="6" t="s">
        <v>69</v>
      </c>
      <c r="CG125" s="6" t="s">
        <v>69</v>
      </c>
      <c r="CH125" s="6" t="s">
        <v>69</v>
      </c>
      <c r="CI125" s="17" t="s">
        <v>158</v>
      </c>
      <c r="CJ125" s="17" t="s">
        <v>158</v>
      </c>
      <c r="CK125" s="17" t="s">
        <v>158</v>
      </c>
      <c r="CL125" s="17" t="s">
        <v>158</v>
      </c>
      <c r="CM125" s="17" t="s">
        <v>158</v>
      </c>
      <c r="CN125" s="17" t="s">
        <v>158</v>
      </c>
      <c r="CO125" s="17" t="s">
        <v>158</v>
      </c>
      <c r="CP125" s="17" t="s">
        <v>158</v>
      </c>
      <c r="CQ125" s="17" t="s">
        <v>158</v>
      </c>
      <c r="CR125" s="17" t="s">
        <v>158</v>
      </c>
      <c r="CS125" s="17" t="s">
        <v>158</v>
      </c>
      <c r="CT125" s="17" t="s">
        <v>158</v>
      </c>
      <c r="CU125" s="17" t="s">
        <v>158</v>
      </c>
      <c r="CV125" s="17" t="s">
        <v>158</v>
      </c>
      <c r="CW125" s="17" t="s">
        <v>158</v>
      </c>
      <c r="CX125" s="17" t="s">
        <v>158</v>
      </c>
      <c r="CY125" s="67" t="s">
        <v>158</v>
      </c>
    </row>
    <row r="126" spans="1:103" x14ac:dyDescent="0.2">
      <c r="A126" s="35" t="s">
        <v>26</v>
      </c>
      <c r="B126" s="57" t="s">
        <v>26</v>
      </c>
      <c r="C126" s="14" t="s">
        <v>20</v>
      </c>
      <c r="E126" s="12"/>
      <c r="F126" s="13"/>
      <c r="G126" s="4">
        <v>42954</v>
      </c>
      <c r="H126" s="16">
        <v>2017</v>
      </c>
      <c r="I126" s="135" t="s">
        <v>33</v>
      </c>
      <c r="J126" s="135">
        <v>10</v>
      </c>
      <c r="K126" s="136">
        <v>0.43270805070873586</v>
      </c>
      <c r="L126" s="5">
        <v>8.1821929101401167</v>
      </c>
      <c r="M126" s="6">
        <v>5.03813286777543E-2</v>
      </c>
      <c r="N126" s="6">
        <v>8.2500229716070947E-2</v>
      </c>
      <c r="O126" s="6">
        <v>0.41545529725259583</v>
      </c>
      <c r="P126" s="6">
        <v>0.4735826518423229</v>
      </c>
      <c r="Q126" s="6">
        <v>1.0826380593586327</v>
      </c>
      <c r="R126" s="6">
        <v>1.0548470090967565</v>
      </c>
      <c r="S126" s="6">
        <v>0.47786455940457595</v>
      </c>
      <c r="T126" s="6">
        <v>3.6372691353487094</v>
      </c>
      <c r="U126" s="17">
        <f t="shared" si="11"/>
        <v>36.556824842114203</v>
      </c>
      <c r="V126" s="6" t="s">
        <v>60</v>
      </c>
      <c r="W126" s="6">
        <v>2.2025394862093706E-2</v>
      </c>
      <c r="X126" s="6" t="s">
        <v>72</v>
      </c>
      <c r="Y126" s="6">
        <v>2.2455996196163387E-2</v>
      </c>
      <c r="Z126" s="6" t="s">
        <v>60</v>
      </c>
      <c r="AA126" s="6" t="s">
        <v>56</v>
      </c>
      <c r="AB126" s="6" t="s">
        <v>60</v>
      </c>
      <c r="AC126" s="6" t="s">
        <v>158</v>
      </c>
      <c r="AD126" s="6" t="s">
        <v>158</v>
      </c>
      <c r="AE126" s="17">
        <f t="shared" si="9"/>
        <v>4.4481391058257089E-2</v>
      </c>
      <c r="AF126" s="6" t="s">
        <v>70</v>
      </c>
      <c r="AG126" s="18" t="s">
        <v>158</v>
      </c>
      <c r="AH126" s="23">
        <v>4.3474827245804546</v>
      </c>
      <c r="AI126" s="6" t="s">
        <v>69</v>
      </c>
      <c r="AJ126" s="6" t="s">
        <v>69</v>
      </c>
      <c r="AK126" s="6" t="s">
        <v>56</v>
      </c>
      <c r="AL126" s="6" t="s">
        <v>65</v>
      </c>
      <c r="AM126" s="6" t="s">
        <v>65</v>
      </c>
      <c r="AN126" s="6">
        <v>0.14974333662388944</v>
      </c>
      <c r="AO126" s="6" t="s">
        <v>56</v>
      </c>
      <c r="AP126" s="6" t="s">
        <v>71</v>
      </c>
      <c r="AQ126" s="6">
        <v>9.1470878578479783E-2</v>
      </c>
      <c r="AR126" s="6" t="s">
        <v>71</v>
      </c>
      <c r="AS126" s="5" t="s">
        <v>158</v>
      </c>
      <c r="AT126" s="5" t="s">
        <v>158</v>
      </c>
      <c r="AU126" s="5" t="s">
        <v>158</v>
      </c>
      <c r="AV126" s="5" t="s">
        <v>158</v>
      </c>
      <c r="AW126" s="5" t="s">
        <v>158</v>
      </c>
      <c r="BC126" s="6">
        <v>91.4</v>
      </c>
      <c r="BD126" s="6" t="s">
        <v>69</v>
      </c>
      <c r="BE126" s="6" t="s">
        <v>65</v>
      </c>
      <c r="BF126" s="6">
        <v>0.40799999999999997</v>
      </c>
      <c r="BG126" s="6" t="s">
        <v>69</v>
      </c>
      <c r="BH126" s="6">
        <v>0.53300000000000003</v>
      </c>
      <c r="BI126" s="6">
        <v>4.3335108868330066</v>
      </c>
      <c r="BJ126" s="6">
        <v>0.504</v>
      </c>
      <c r="BK126" s="6" t="s">
        <v>71</v>
      </c>
      <c r="BL126" s="6">
        <v>2.8130641996075134</v>
      </c>
      <c r="BM126" s="6" t="s">
        <v>71</v>
      </c>
      <c r="BN126" s="24">
        <v>40</v>
      </c>
      <c r="BO126" s="6">
        <v>0.76673258977894021</v>
      </c>
      <c r="BP126" s="6">
        <v>4.672681813702078E-2</v>
      </c>
      <c r="BQ126" s="6">
        <v>0.29004837542681988</v>
      </c>
      <c r="BR126" s="6">
        <v>2.948287810410855</v>
      </c>
      <c r="BS126" s="6" t="s">
        <v>69</v>
      </c>
      <c r="BT126" s="6" t="s">
        <v>165</v>
      </c>
      <c r="BU126" s="6" t="s">
        <v>168</v>
      </c>
      <c r="BV126" s="6" t="s">
        <v>69</v>
      </c>
      <c r="BW126" s="6" t="s">
        <v>69</v>
      </c>
      <c r="BX126" s="6">
        <v>0.85883562054246732</v>
      </c>
      <c r="BY126" s="6">
        <v>0.77377127161330528</v>
      </c>
      <c r="BZ126" s="6">
        <v>2.9813387349800138</v>
      </c>
      <c r="CA126" s="6" t="s">
        <v>69</v>
      </c>
      <c r="CB126" s="6" t="s">
        <v>69</v>
      </c>
      <c r="CC126" s="6" t="s">
        <v>69</v>
      </c>
      <c r="CD126" s="6">
        <v>0.16991732975048457</v>
      </c>
      <c r="CE126" s="6">
        <v>0.54</v>
      </c>
      <c r="CF126" s="6" t="s">
        <v>69</v>
      </c>
      <c r="CG126" s="6" t="s">
        <v>69</v>
      </c>
      <c r="CH126" s="6" t="s">
        <v>69</v>
      </c>
      <c r="CI126" s="17" t="s">
        <v>158</v>
      </c>
      <c r="CJ126" s="17" t="s">
        <v>158</v>
      </c>
      <c r="CK126" s="17" t="s">
        <v>158</v>
      </c>
      <c r="CL126" s="17" t="s">
        <v>158</v>
      </c>
      <c r="CM126" s="17" t="s">
        <v>158</v>
      </c>
      <c r="CN126" s="17" t="s">
        <v>158</v>
      </c>
      <c r="CO126" s="17" t="s">
        <v>158</v>
      </c>
      <c r="CP126" s="17" t="s">
        <v>158</v>
      </c>
      <c r="CQ126" s="17" t="s">
        <v>158</v>
      </c>
      <c r="CR126" s="17" t="s">
        <v>158</v>
      </c>
      <c r="CS126" s="17" t="s">
        <v>158</v>
      </c>
      <c r="CT126" s="17" t="s">
        <v>158</v>
      </c>
      <c r="CU126" s="17" t="s">
        <v>158</v>
      </c>
      <c r="CV126" s="17" t="s">
        <v>158</v>
      </c>
      <c r="CW126" s="17" t="s">
        <v>158</v>
      </c>
      <c r="CX126" s="17" t="s">
        <v>158</v>
      </c>
      <c r="CY126" s="67" t="s">
        <v>158</v>
      </c>
    </row>
    <row r="127" spans="1:103" x14ac:dyDescent="0.2">
      <c r="A127" s="35" t="s">
        <v>7</v>
      </c>
      <c r="B127" s="57" t="s">
        <v>7</v>
      </c>
      <c r="C127" s="14" t="s">
        <v>20</v>
      </c>
      <c r="E127" s="12"/>
      <c r="F127" s="13"/>
      <c r="G127" s="4">
        <v>42956</v>
      </c>
      <c r="H127" s="1">
        <v>2017</v>
      </c>
      <c r="I127" s="142" t="s">
        <v>33</v>
      </c>
      <c r="J127" s="142">
        <v>10</v>
      </c>
      <c r="K127" s="136">
        <v>0.46805819101833057</v>
      </c>
      <c r="L127" s="5">
        <v>3.1455884252680653</v>
      </c>
      <c r="M127" s="6">
        <v>7.6562804284323271E-2</v>
      </c>
      <c r="N127" s="6">
        <v>0.40957643622200585</v>
      </c>
      <c r="O127" s="6">
        <v>1.5403992210321324</v>
      </c>
      <c r="P127" s="6">
        <v>1.3516553067185979</v>
      </c>
      <c r="Q127" s="6">
        <v>3.1436757546251219</v>
      </c>
      <c r="R127" s="6">
        <v>2.7204284323271666</v>
      </c>
      <c r="S127" s="6">
        <v>1.2466309639727362</v>
      </c>
      <c r="T127" s="6">
        <v>10.488928919182083</v>
      </c>
      <c r="U127" s="17">
        <f t="shared" si="11"/>
        <v>97.608307981791555</v>
      </c>
      <c r="V127" s="6" t="s">
        <v>60</v>
      </c>
      <c r="W127" s="6">
        <v>0.12084940924830651</v>
      </c>
      <c r="X127" s="6">
        <v>4.4641664891511834E-2</v>
      </c>
      <c r="Y127" s="6">
        <v>0.12377145078534192</v>
      </c>
      <c r="Z127" s="6" t="s">
        <v>60</v>
      </c>
      <c r="AA127" s="6">
        <v>2.6555868919140128E-2</v>
      </c>
      <c r="AB127" s="6">
        <v>2.2398682882786458E-2</v>
      </c>
      <c r="AC127" s="6" t="s">
        <v>158</v>
      </c>
      <c r="AD127" s="6" t="s">
        <v>158</v>
      </c>
      <c r="AE127" s="17">
        <f t="shared" si="9"/>
        <v>0.33821707672708684</v>
      </c>
      <c r="AF127" s="6">
        <v>0.12</v>
      </c>
      <c r="AG127" s="18">
        <f>(AF127/K127)*5</f>
        <v>1.2818918918919253</v>
      </c>
      <c r="AH127" s="23">
        <v>11.090217203388498</v>
      </c>
      <c r="AI127" s="6" t="s">
        <v>69</v>
      </c>
      <c r="AJ127" s="6" t="s">
        <v>69</v>
      </c>
      <c r="AK127" s="6" t="s">
        <v>56</v>
      </c>
      <c r="AL127" s="6" t="s">
        <v>65</v>
      </c>
      <c r="AM127" s="6" t="s">
        <v>65</v>
      </c>
      <c r="AN127" s="6">
        <v>1.6104819986012227</v>
      </c>
      <c r="AO127" s="6">
        <v>1.1080751882062645</v>
      </c>
      <c r="AP127" s="6" t="s">
        <v>71</v>
      </c>
      <c r="AQ127" s="6">
        <v>0.90754027378314239</v>
      </c>
      <c r="AR127" s="6" t="s">
        <v>71</v>
      </c>
      <c r="AS127" s="5" t="s">
        <v>158</v>
      </c>
      <c r="AT127" s="5" t="s">
        <v>158</v>
      </c>
      <c r="AU127" s="5" t="s">
        <v>158</v>
      </c>
      <c r="AV127" s="5" t="s">
        <v>158</v>
      </c>
      <c r="AW127" s="5" t="s">
        <v>158</v>
      </c>
      <c r="BC127" s="6">
        <v>235</v>
      </c>
      <c r="BD127" s="6" t="s">
        <v>69</v>
      </c>
      <c r="BE127" s="6" t="s">
        <v>65</v>
      </c>
      <c r="BF127" s="6">
        <v>0.40799999999999997</v>
      </c>
      <c r="BG127" s="6" t="s">
        <v>69</v>
      </c>
      <c r="BH127" s="6">
        <v>0.58099999999999996</v>
      </c>
      <c r="BI127" s="6">
        <v>26.279533630620588</v>
      </c>
      <c r="BJ127" s="6">
        <v>18.899999999999999</v>
      </c>
      <c r="BK127" s="6" t="s">
        <v>71</v>
      </c>
      <c r="BL127" s="6">
        <v>14.762411742846524</v>
      </c>
      <c r="BM127" s="6">
        <v>0.42110925306577479</v>
      </c>
      <c r="BN127" s="24">
        <v>160</v>
      </c>
      <c r="BO127" s="6">
        <v>1.02959689227896</v>
      </c>
      <c r="BP127" s="6">
        <v>0.43569599142915366</v>
      </c>
      <c r="BQ127" s="6">
        <v>0.14792084186189128</v>
      </c>
      <c r="BR127" s="6">
        <v>2.4661024357520311</v>
      </c>
      <c r="BS127" s="6">
        <v>0.2216714311777937</v>
      </c>
      <c r="BT127" s="6">
        <v>1.9359517680412279</v>
      </c>
      <c r="BU127" s="6" t="s">
        <v>168</v>
      </c>
      <c r="BV127" s="6" t="s">
        <v>69</v>
      </c>
      <c r="BW127" s="6" t="s">
        <v>69</v>
      </c>
      <c r="BX127" s="6">
        <v>1.6030273911431345</v>
      </c>
      <c r="BY127" s="6">
        <v>2.0619313969650945</v>
      </c>
      <c r="BZ127" s="6">
        <v>2.1148820418676868</v>
      </c>
      <c r="CA127" s="6" t="s">
        <v>69</v>
      </c>
      <c r="CB127" s="6">
        <v>0.22514680442846036</v>
      </c>
      <c r="CC127" s="6">
        <v>10.00967189666185</v>
      </c>
      <c r="CD127" s="6">
        <v>0.22868096315545913</v>
      </c>
      <c r="CE127" s="6" t="s">
        <v>46</v>
      </c>
      <c r="CF127" s="6" t="s">
        <v>69</v>
      </c>
      <c r="CG127" s="6" t="s">
        <v>69</v>
      </c>
      <c r="CH127" s="6" t="s">
        <v>69</v>
      </c>
      <c r="CI127" s="17" t="s">
        <v>158</v>
      </c>
      <c r="CJ127" s="17" t="s">
        <v>158</v>
      </c>
      <c r="CK127" s="17" t="s">
        <v>158</v>
      </c>
      <c r="CL127" s="17" t="s">
        <v>158</v>
      </c>
      <c r="CM127" s="17" t="s">
        <v>158</v>
      </c>
      <c r="CN127" s="17" t="s">
        <v>158</v>
      </c>
      <c r="CO127" s="17" t="s">
        <v>158</v>
      </c>
      <c r="CP127" s="17" t="s">
        <v>158</v>
      </c>
      <c r="CQ127" s="17" t="s">
        <v>158</v>
      </c>
      <c r="CR127" s="17" t="s">
        <v>158</v>
      </c>
      <c r="CS127" s="17" t="s">
        <v>158</v>
      </c>
      <c r="CT127" s="17" t="s">
        <v>158</v>
      </c>
      <c r="CU127" s="17" t="s">
        <v>158</v>
      </c>
      <c r="CV127" s="17" t="s">
        <v>158</v>
      </c>
      <c r="CW127" s="17" t="s">
        <v>158</v>
      </c>
      <c r="CX127" s="17" t="s">
        <v>158</v>
      </c>
      <c r="CY127" s="67" t="s">
        <v>158</v>
      </c>
    </row>
    <row r="128" spans="1:103" x14ac:dyDescent="0.2">
      <c r="A128" s="32" t="s">
        <v>32</v>
      </c>
      <c r="B128" s="14" t="s">
        <v>32</v>
      </c>
      <c r="C128" s="14" t="s">
        <v>31</v>
      </c>
      <c r="G128" s="16" t="s">
        <v>31</v>
      </c>
      <c r="H128" s="16">
        <v>2016</v>
      </c>
      <c r="I128" s="142" t="s">
        <v>3</v>
      </c>
      <c r="J128" s="142" t="s">
        <v>158</v>
      </c>
      <c r="K128" s="136" t="s">
        <v>158</v>
      </c>
      <c r="L128" s="5" t="s">
        <v>158</v>
      </c>
      <c r="M128" s="5">
        <v>1.4999999999999999E-2</v>
      </c>
      <c r="N128" s="5">
        <v>2.3E-2</v>
      </c>
      <c r="O128" s="5">
        <v>0.01</v>
      </c>
      <c r="P128" s="5">
        <v>0.01</v>
      </c>
      <c r="Q128" s="5">
        <v>5.0000000000000001E-3</v>
      </c>
      <c r="R128" s="5">
        <v>0.01</v>
      </c>
      <c r="S128" s="5">
        <v>5.0000000000000001E-3</v>
      </c>
      <c r="T128" s="5" t="s">
        <v>158</v>
      </c>
      <c r="U128" s="17" t="s">
        <v>158</v>
      </c>
      <c r="V128" s="5">
        <v>1.2999999999999999E-2</v>
      </c>
      <c r="W128" s="5">
        <v>0.01</v>
      </c>
      <c r="X128" s="5">
        <v>1.2999999999999999E-2</v>
      </c>
      <c r="Y128" s="5">
        <v>1.4999999999999999E-2</v>
      </c>
      <c r="Z128" s="5">
        <v>0.01</v>
      </c>
      <c r="AA128" s="5">
        <v>0.02</v>
      </c>
      <c r="AB128" s="5">
        <v>1.2999999999999999E-2</v>
      </c>
      <c r="AC128" s="5">
        <v>0.1</v>
      </c>
      <c r="AD128" s="5" t="s">
        <v>158</v>
      </c>
      <c r="AE128" s="17">
        <f t="shared" si="9"/>
        <v>8.4000000000000005E-2</v>
      </c>
      <c r="AF128" s="5">
        <v>0.3</v>
      </c>
      <c r="AG128" s="18" t="s">
        <v>158</v>
      </c>
      <c r="AH128" s="18">
        <v>0.2</v>
      </c>
      <c r="AI128" s="5">
        <v>0.2</v>
      </c>
      <c r="AJ128" s="5">
        <v>0.2</v>
      </c>
      <c r="AK128" s="5">
        <v>0.02</v>
      </c>
      <c r="AL128" s="5">
        <v>0.1</v>
      </c>
      <c r="AM128" s="5">
        <v>0.1</v>
      </c>
      <c r="AN128" s="5">
        <v>0.1</v>
      </c>
      <c r="AO128" s="5">
        <v>0.02</v>
      </c>
      <c r="AP128" s="5">
        <v>0.05</v>
      </c>
      <c r="AQ128" s="5">
        <v>0.1</v>
      </c>
      <c r="AR128" s="5">
        <v>0.05</v>
      </c>
      <c r="AS128" s="5" t="s">
        <v>158</v>
      </c>
      <c r="AT128" s="5" t="s">
        <v>158</v>
      </c>
      <c r="AU128" s="5" t="s">
        <v>158</v>
      </c>
      <c r="AV128" s="5" t="s">
        <v>158</v>
      </c>
      <c r="AW128" s="5" t="s">
        <v>158</v>
      </c>
      <c r="BC128" s="5">
        <v>0.2</v>
      </c>
      <c r="BD128" s="5">
        <v>0.2</v>
      </c>
      <c r="BE128" s="5">
        <v>0.21</v>
      </c>
      <c r="BF128" s="5">
        <v>0.02</v>
      </c>
      <c r="BG128" s="5">
        <v>0.2</v>
      </c>
      <c r="BH128" s="5">
        <v>0.05</v>
      </c>
      <c r="BI128" s="5">
        <v>0.1</v>
      </c>
      <c r="BJ128" s="5">
        <v>0.1</v>
      </c>
      <c r="BK128" s="5">
        <v>0.05</v>
      </c>
      <c r="BL128" s="5">
        <v>0.1</v>
      </c>
      <c r="BM128" s="5">
        <v>0.05</v>
      </c>
      <c r="BN128" s="17">
        <v>0.03</v>
      </c>
      <c r="BO128" s="5" t="s">
        <v>158</v>
      </c>
      <c r="BP128" s="5" t="s">
        <v>158</v>
      </c>
      <c r="BQ128" s="5" t="s">
        <v>158</v>
      </c>
      <c r="BR128" s="5" t="s">
        <v>158</v>
      </c>
      <c r="BS128" s="5" t="s">
        <v>158</v>
      </c>
      <c r="BT128" s="5" t="s">
        <v>158</v>
      </c>
      <c r="BU128" s="5" t="s">
        <v>158</v>
      </c>
      <c r="BV128" s="5" t="s">
        <v>158</v>
      </c>
      <c r="BW128" s="5" t="s">
        <v>158</v>
      </c>
      <c r="BX128" s="5" t="s">
        <v>158</v>
      </c>
      <c r="BY128" s="5" t="s">
        <v>158</v>
      </c>
      <c r="BZ128" s="5" t="s">
        <v>158</v>
      </c>
      <c r="CA128" s="5" t="s">
        <v>158</v>
      </c>
      <c r="CB128" s="5" t="s">
        <v>158</v>
      </c>
      <c r="CC128" s="5" t="s">
        <v>158</v>
      </c>
      <c r="CD128" s="5" t="s">
        <v>158</v>
      </c>
      <c r="CE128" s="5" t="s">
        <v>158</v>
      </c>
      <c r="CF128" s="5" t="s">
        <v>158</v>
      </c>
      <c r="CG128" s="5" t="s">
        <v>158</v>
      </c>
      <c r="CH128" s="5" t="s">
        <v>158</v>
      </c>
      <c r="CI128" s="17" t="s">
        <v>158</v>
      </c>
      <c r="CJ128" s="17" t="s">
        <v>158</v>
      </c>
      <c r="CK128" s="17" t="s">
        <v>158</v>
      </c>
      <c r="CL128" s="17" t="s">
        <v>158</v>
      </c>
      <c r="CM128" s="17" t="s">
        <v>158</v>
      </c>
      <c r="CN128" s="17" t="s">
        <v>158</v>
      </c>
      <c r="CO128" s="17" t="s">
        <v>158</v>
      </c>
      <c r="CP128" s="17" t="s">
        <v>158</v>
      </c>
      <c r="CQ128" s="17" t="s">
        <v>158</v>
      </c>
      <c r="CR128" s="17" t="s">
        <v>158</v>
      </c>
      <c r="CS128" s="17" t="s">
        <v>158</v>
      </c>
      <c r="CT128" s="17" t="s">
        <v>158</v>
      </c>
      <c r="CU128" s="17" t="s">
        <v>158</v>
      </c>
      <c r="CV128" s="17" t="s">
        <v>158</v>
      </c>
      <c r="CW128" s="17" t="s">
        <v>158</v>
      </c>
      <c r="CX128" s="17" t="s">
        <v>158</v>
      </c>
      <c r="CY128" s="67" t="s">
        <v>158</v>
      </c>
    </row>
    <row r="129" spans="1:103" x14ac:dyDescent="0.2">
      <c r="A129" s="32" t="s">
        <v>21</v>
      </c>
      <c r="B129" s="14" t="s">
        <v>21</v>
      </c>
      <c r="C129" s="14" t="s">
        <v>20</v>
      </c>
      <c r="G129" s="28">
        <v>42614</v>
      </c>
      <c r="H129" s="16">
        <v>2016</v>
      </c>
      <c r="I129" s="135" t="s">
        <v>33</v>
      </c>
      <c r="J129" s="135">
        <v>10</v>
      </c>
      <c r="K129" s="136">
        <v>0.66067168287758504</v>
      </c>
      <c r="L129" s="5">
        <v>2.8733346589779099</v>
      </c>
      <c r="M129" s="5" t="s">
        <v>62</v>
      </c>
      <c r="N129" s="5">
        <v>0.13023213306525316</v>
      </c>
      <c r="O129" s="5">
        <v>1.297569000182782</v>
      </c>
      <c r="P129" s="5">
        <v>1.0118351306890878</v>
      </c>
      <c r="Q129" s="5">
        <v>5.6161181518598653</v>
      </c>
      <c r="R129" s="5">
        <v>4.4733788756080939</v>
      </c>
      <c r="S129" s="5">
        <v>1.9288064339243283</v>
      </c>
      <c r="T129" s="5">
        <v>14.45793972532941</v>
      </c>
      <c r="U129" s="17">
        <f t="shared" si="11"/>
        <v>101.7608665780499</v>
      </c>
      <c r="V129" s="5" t="s">
        <v>73</v>
      </c>
      <c r="W129" s="5">
        <v>0.2511431386121587</v>
      </c>
      <c r="X129" s="5">
        <v>8.5350901242628369E-2</v>
      </c>
      <c r="Y129" s="5">
        <v>6.2817256224294335E-2</v>
      </c>
      <c r="Z129" s="5">
        <v>2.1274782168147783E-2</v>
      </c>
      <c r="AA129" s="5">
        <v>4.6955584311947463E-2</v>
      </c>
      <c r="AB129" s="5">
        <v>1.2840401071899843E-2</v>
      </c>
      <c r="AC129" s="5" t="s">
        <v>65</v>
      </c>
      <c r="AD129" s="5">
        <v>0.480382063631076</v>
      </c>
      <c r="AE129" s="17">
        <f t="shared" si="9"/>
        <v>0.45910728146292873</v>
      </c>
      <c r="AF129" s="5" t="s">
        <v>65</v>
      </c>
      <c r="AG129" s="18" t="s">
        <v>158</v>
      </c>
      <c r="AH129" s="18">
        <v>19.739661185849528</v>
      </c>
      <c r="AI129" s="5" t="s">
        <v>46</v>
      </c>
      <c r="AJ129" s="5" t="s">
        <v>69</v>
      </c>
      <c r="AK129" s="5" t="s">
        <v>56</v>
      </c>
      <c r="AL129" s="5" t="s">
        <v>65</v>
      </c>
      <c r="AM129" s="5" t="s">
        <v>65</v>
      </c>
      <c r="AN129" s="5">
        <v>0.70112938050157791</v>
      </c>
      <c r="AO129" s="5">
        <v>0.67796047168244478</v>
      </c>
      <c r="AP129" s="5" t="s">
        <v>71</v>
      </c>
      <c r="AQ129" s="5">
        <v>0.39760837070254113</v>
      </c>
      <c r="AR129" s="5" t="s">
        <v>71</v>
      </c>
      <c r="AS129" s="5" t="s">
        <v>158</v>
      </c>
      <c r="AT129" s="5" t="s">
        <v>158</v>
      </c>
      <c r="AU129" s="5" t="s">
        <v>158</v>
      </c>
      <c r="AV129" s="5" t="s">
        <v>158</v>
      </c>
      <c r="AW129" s="5" t="s">
        <v>158</v>
      </c>
      <c r="BC129" s="5">
        <v>320</v>
      </c>
      <c r="BD129" s="5" t="s">
        <v>126</v>
      </c>
      <c r="BE129" s="5" t="s">
        <v>65</v>
      </c>
      <c r="BF129" s="5">
        <v>8.8244978597299975E-2</v>
      </c>
      <c r="BG129" s="5" t="s">
        <v>69</v>
      </c>
      <c r="BH129" s="5">
        <v>0.2446493249917682</v>
      </c>
      <c r="BI129" s="5">
        <v>8.4818077049720113</v>
      </c>
      <c r="BJ129" s="5">
        <v>7.0003292723081998</v>
      </c>
      <c r="BK129" s="5" t="s">
        <v>71</v>
      </c>
      <c r="BL129" s="5">
        <v>6.4260783668093504</v>
      </c>
      <c r="BM129" s="5">
        <v>0.25384425419822187</v>
      </c>
      <c r="BN129" s="17">
        <v>100</v>
      </c>
      <c r="BO129" s="5" t="s">
        <v>158</v>
      </c>
      <c r="BP129" s="5" t="s">
        <v>158</v>
      </c>
      <c r="BQ129" s="5" t="s">
        <v>158</v>
      </c>
      <c r="BR129" s="5" t="s">
        <v>158</v>
      </c>
      <c r="BS129" s="5" t="s">
        <v>158</v>
      </c>
      <c r="BT129" s="5" t="s">
        <v>158</v>
      </c>
      <c r="BU129" s="5" t="s">
        <v>158</v>
      </c>
      <c r="BV129" s="5" t="s">
        <v>158</v>
      </c>
      <c r="BW129" s="5" t="s">
        <v>158</v>
      </c>
      <c r="BX129" s="5" t="s">
        <v>158</v>
      </c>
      <c r="BY129" s="5" t="s">
        <v>158</v>
      </c>
      <c r="BZ129" s="5" t="s">
        <v>158</v>
      </c>
      <c r="CA129" s="5" t="s">
        <v>158</v>
      </c>
      <c r="CB129" s="5" t="s">
        <v>158</v>
      </c>
      <c r="CC129" s="5" t="s">
        <v>158</v>
      </c>
      <c r="CD129" s="5" t="s">
        <v>158</v>
      </c>
      <c r="CE129" s="5" t="s">
        <v>158</v>
      </c>
      <c r="CF129" s="5" t="s">
        <v>158</v>
      </c>
      <c r="CG129" s="5" t="s">
        <v>158</v>
      </c>
      <c r="CH129" s="5" t="s">
        <v>158</v>
      </c>
      <c r="CI129" s="17" t="s">
        <v>158</v>
      </c>
      <c r="CJ129" s="17" t="s">
        <v>158</v>
      </c>
      <c r="CK129" s="17" t="s">
        <v>158</v>
      </c>
      <c r="CL129" s="17" t="s">
        <v>158</v>
      </c>
      <c r="CM129" s="17" t="s">
        <v>158</v>
      </c>
      <c r="CN129" s="17" t="s">
        <v>158</v>
      </c>
      <c r="CO129" s="17" t="s">
        <v>158</v>
      </c>
      <c r="CP129" s="17" t="s">
        <v>158</v>
      </c>
      <c r="CQ129" s="17" t="s">
        <v>158</v>
      </c>
      <c r="CR129" s="17" t="s">
        <v>158</v>
      </c>
      <c r="CS129" s="17" t="s">
        <v>158</v>
      </c>
      <c r="CT129" s="17" t="s">
        <v>158</v>
      </c>
      <c r="CU129" s="17" t="s">
        <v>158</v>
      </c>
      <c r="CV129" s="17" t="s">
        <v>158</v>
      </c>
      <c r="CW129" s="17" t="s">
        <v>158</v>
      </c>
      <c r="CX129" s="17" t="s">
        <v>158</v>
      </c>
      <c r="CY129" s="67" t="s">
        <v>158</v>
      </c>
    </row>
    <row r="130" spans="1:103" x14ac:dyDescent="0.2">
      <c r="A130" s="32" t="s">
        <v>22</v>
      </c>
      <c r="B130" s="14" t="s">
        <v>22</v>
      </c>
      <c r="C130" s="14" t="s">
        <v>20</v>
      </c>
      <c r="G130" s="28">
        <v>42622</v>
      </c>
      <c r="H130" s="16">
        <v>2016</v>
      </c>
      <c r="I130" s="135" t="s">
        <v>33</v>
      </c>
      <c r="J130" s="135">
        <v>10</v>
      </c>
      <c r="K130" s="136">
        <v>0.77300741669277995</v>
      </c>
      <c r="L130" s="5">
        <v>3.0766619279000098</v>
      </c>
      <c r="M130" s="5">
        <v>0.12132208709297765</v>
      </c>
      <c r="N130" s="5">
        <v>1.2118477834444881</v>
      </c>
      <c r="O130" s="5">
        <v>4.4219616338628036</v>
      </c>
      <c r="P130" s="5">
        <v>3.2032687649718539</v>
      </c>
      <c r="Q130" s="5">
        <v>9.3394304210469503</v>
      </c>
      <c r="R130" s="5">
        <v>7.8275574323083426</v>
      </c>
      <c r="S130" s="5">
        <v>2.7995292271479011</v>
      </c>
      <c r="T130" s="5">
        <v>28.924917349875319</v>
      </c>
      <c r="U130" s="17">
        <f t="shared" si="11"/>
        <v>166.37387966437936</v>
      </c>
      <c r="V130" s="5" t="s">
        <v>59</v>
      </c>
      <c r="W130" s="5">
        <v>0.19571812144278775</v>
      </c>
      <c r="X130" s="5">
        <v>7.7131717232803432E-2</v>
      </c>
      <c r="Y130" s="5">
        <v>0.15874111842481453</v>
      </c>
      <c r="Z130" s="5">
        <v>2.9321607861908423E-2</v>
      </c>
      <c r="AA130" s="5">
        <v>5.1421144821868957E-2</v>
      </c>
      <c r="AB130" s="5">
        <v>3.2065994804648619E-2</v>
      </c>
      <c r="AC130" s="5" t="s">
        <v>65</v>
      </c>
      <c r="AD130" s="5">
        <v>0.54439970458883169</v>
      </c>
      <c r="AE130" s="17">
        <f t="shared" si="9"/>
        <v>0.51507809672692328</v>
      </c>
      <c r="AF130" s="5" t="s">
        <v>65</v>
      </c>
      <c r="AG130" s="18" t="s">
        <v>158</v>
      </c>
      <c r="AH130" s="18">
        <v>5.9728672696162306</v>
      </c>
      <c r="AI130" s="5" t="s">
        <v>46</v>
      </c>
      <c r="AJ130" s="5" t="s">
        <v>69</v>
      </c>
      <c r="AK130" s="5" t="s">
        <v>56</v>
      </c>
      <c r="AL130" s="5" t="s">
        <v>65</v>
      </c>
      <c r="AM130" s="5" t="s">
        <v>65</v>
      </c>
      <c r="AN130" s="5">
        <v>0.23816507781308563</v>
      </c>
      <c r="AO130" s="5">
        <v>0.12336022162470464</v>
      </c>
      <c r="AP130" s="5" t="s">
        <v>71</v>
      </c>
      <c r="AQ130" s="5">
        <v>0.21494337162877858</v>
      </c>
      <c r="AR130" s="5">
        <v>0.122</v>
      </c>
      <c r="AS130" s="5" t="s">
        <v>158</v>
      </c>
      <c r="AT130" s="5" t="s">
        <v>158</v>
      </c>
      <c r="AU130" s="5" t="s">
        <v>158</v>
      </c>
      <c r="AV130" s="5" t="s">
        <v>158</v>
      </c>
      <c r="AW130" s="5" t="s">
        <v>158</v>
      </c>
      <c r="BC130" s="5">
        <v>130</v>
      </c>
      <c r="BD130" s="5" t="s">
        <v>126</v>
      </c>
      <c r="BE130" s="5" t="s">
        <v>65</v>
      </c>
      <c r="BF130" s="5">
        <v>8.4673255642425158E-2</v>
      </c>
      <c r="BG130" s="5" t="s">
        <v>69</v>
      </c>
      <c r="BH130" s="5">
        <v>0.50685941879333241</v>
      </c>
      <c r="BI130" s="5">
        <v>4.4724148104440182</v>
      </c>
      <c r="BJ130" s="5">
        <v>1.8911343856025964</v>
      </c>
      <c r="BK130" s="5" t="s">
        <v>71</v>
      </c>
      <c r="BL130" s="5">
        <v>4.9907065938929049</v>
      </c>
      <c r="BM130" s="5">
        <v>0.99304469685794383</v>
      </c>
      <c r="BN130" s="17">
        <v>120</v>
      </c>
      <c r="BO130" s="5" t="s">
        <v>158</v>
      </c>
      <c r="BP130" s="5" t="s">
        <v>158</v>
      </c>
      <c r="BQ130" s="5" t="s">
        <v>158</v>
      </c>
      <c r="BR130" s="5" t="s">
        <v>158</v>
      </c>
      <c r="BS130" s="5" t="s">
        <v>158</v>
      </c>
      <c r="BT130" s="5" t="s">
        <v>158</v>
      </c>
      <c r="BU130" s="5" t="s">
        <v>158</v>
      </c>
      <c r="BV130" s="5" t="s">
        <v>158</v>
      </c>
      <c r="BW130" s="5" t="s">
        <v>158</v>
      </c>
      <c r="BX130" s="5" t="s">
        <v>158</v>
      </c>
      <c r="BY130" s="5" t="s">
        <v>158</v>
      </c>
      <c r="BZ130" s="5" t="s">
        <v>158</v>
      </c>
      <c r="CA130" s="5" t="s">
        <v>158</v>
      </c>
      <c r="CB130" s="5" t="s">
        <v>158</v>
      </c>
      <c r="CC130" s="5" t="s">
        <v>158</v>
      </c>
      <c r="CD130" s="5" t="s">
        <v>158</v>
      </c>
      <c r="CE130" s="5" t="s">
        <v>158</v>
      </c>
      <c r="CF130" s="5" t="s">
        <v>158</v>
      </c>
      <c r="CG130" s="5" t="s">
        <v>158</v>
      </c>
      <c r="CH130" s="5" t="s">
        <v>158</v>
      </c>
      <c r="CI130" s="17" t="s">
        <v>158</v>
      </c>
      <c r="CJ130" s="17" t="s">
        <v>158</v>
      </c>
      <c r="CK130" s="17" t="s">
        <v>158</v>
      </c>
      <c r="CL130" s="17" t="s">
        <v>158</v>
      </c>
      <c r="CM130" s="17" t="s">
        <v>158</v>
      </c>
      <c r="CN130" s="17" t="s">
        <v>158</v>
      </c>
      <c r="CO130" s="17" t="s">
        <v>158</v>
      </c>
      <c r="CP130" s="17" t="s">
        <v>158</v>
      </c>
      <c r="CQ130" s="17" t="s">
        <v>158</v>
      </c>
      <c r="CR130" s="17" t="s">
        <v>158</v>
      </c>
      <c r="CS130" s="17" t="s">
        <v>158</v>
      </c>
      <c r="CT130" s="17" t="s">
        <v>158</v>
      </c>
      <c r="CU130" s="17" t="s">
        <v>158</v>
      </c>
      <c r="CV130" s="17" t="s">
        <v>158</v>
      </c>
      <c r="CW130" s="17" t="s">
        <v>158</v>
      </c>
      <c r="CX130" s="17" t="s">
        <v>158</v>
      </c>
      <c r="CY130" s="67" t="s">
        <v>158</v>
      </c>
    </row>
    <row r="131" spans="1:103" x14ac:dyDescent="0.2">
      <c r="A131" s="32" t="s">
        <v>23</v>
      </c>
      <c r="B131" s="14" t="s">
        <v>23</v>
      </c>
      <c r="C131" s="14" t="s">
        <v>20</v>
      </c>
      <c r="G131" s="28">
        <v>42627</v>
      </c>
      <c r="H131" s="16">
        <v>2016</v>
      </c>
      <c r="I131" s="135" t="s">
        <v>33</v>
      </c>
      <c r="J131" s="135">
        <v>10</v>
      </c>
      <c r="K131" s="136">
        <v>0.71662571662572006</v>
      </c>
      <c r="L131" s="5">
        <v>3.1573743713192699</v>
      </c>
      <c r="M131" s="5">
        <v>0.3024430523827647</v>
      </c>
      <c r="N131" s="5">
        <v>1.7931659333722441</v>
      </c>
      <c r="O131" s="5">
        <v>6.4924432824580691</v>
      </c>
      <c r="P131" s="5">
        <v>4.7824289781256848</v>
      </c>
      <c r="Q131" s="5">
        <v>9.8990612258406614</v>
      </c>
      <c r="R131" s="5">
        <v>8.6676067013755986</v>
      </c>
      <c r="S131" s="5">
        <v>3.5683876039350384</v>
      </c>
      <c r="T131" s="5">
        <v>35.505536777490057</v>
      </c>
      <c r="U131" s="17">
        <f t="shared" si="11"/>
        <v>214.35951213156412</v>
      </c>
      <c r="V131" s="5" t="s">
        <v>59</v>
      </c>
      <c r="W131" s="5">
        <v>5.8149948861757832E-2</v>
      </c>
      <c r="X131" s="5">
        <v>1.7721482106999017E-2</v>
      </c>
      <c r="Y131" s="5">
        <v>1.8086875371105329E-2</v>
      </c>
      <c r="Z131" s="5" t="s">
        <v>59</v>
      </c>
      <c r="AA131" s="5">
        <v>2.0214889958979045E-2</v>
      </c>
      <c r="AB131" s="5">
        <v>3.3030907942994653E-2</v>
      </c>
      <c r="AC131" s="5" t="s">
        <v>65</v>
      </c>
      <c r="AD131" s="5">
        <v>0.14720410424183586</v>
      </c>
      <c r="AE131" s="17">
        <f t="shared" si="9"/>
        <v>0.14720410424183586</v>
      </c>
      <c r="AF131" s="5" t="s">
        <v>65</v>
      </c>
      <c r="AG131" s="18" t="s">
        <v>158</v>
      </c>
      <c r="AH131" s="18">
        <v>7.2426350245499185</v>
      </c>
      <c r="AI131" s="5" t="s">
        <v>46</v>
      </c>
      <c r="AJ131" s="5" t="s">
        <v>69</v>
      </c>
      <c r="AK131" s="5" t="s">
        <v>56</v>
      </c>
      <c r="AL131" s="5" t="s">
        <v>65</v>
      </c>
      <c r="AM131" s="5" t="s">
        <v>65</v>
      </c>
      <c r="AN131" s="5">
        <v>0.57144026186579377</v>
      </c>
      <c r="AO131" s="5">
        <v>0.25973813420621927</v>
      </c>
      <c r="AP131" s="5" t="s">
        <v>71</v>
      </c>
      <c r="AQ131" s="5">
        <v>0.54893617021276597</v>
      </c>
      <c r="AR131" s="5">
        <v>7.6972176759410801E-2</v>
      </c>
      <c r="AS131" s="5" t="s">
        <v>158</v>
      </c>
      <c r="AT131" s="5" t="s">
        <v>158</v>
      </c>
      <c r="AU131" s="5" t="s">
        <v>158</v>
      </c>
      <c r="AV131" s="5" t="s">
        <v>158</v>
      </c>
      <c r="AW131" s="5" t="s">
        <v>158</v>
      </c>
      <c r="BC131" s="5">
        <v>120</v>
      </c>
      <c r="BD131" s="5" t="s">
        <v>126</v>
      </c>
      <c r="BE131" s="5" t="s">
        <v>65</v>
      </c>
      <c r="BF131" s="5">
        <v>0.19066286528866713</v>
      </c>
      <c r="BG131" s="5" t="s">
        <v>69</v>
      </c>
      <c r="BH131" s="5">
        <v>0.5659301496792587</v>
      </c>
      <c r="BI131" s="5">
        <v>9.3226122594440479</v>
      </c>
      <c r="BJ131" s="5">
        <v>2.622950819672131</v>
      </c>
      <c r="BK131" s="5" t="s">
        <v>71</v>
      </c>
      <c r="BL131" s="5">
        <v>10.786172487526729</v>
      </c>
      <c r="BM131" s="5">
        <v>0.37630969351389876</v>
      </c>
      <c r="BN131" s="17">
        <v>550</v>
      </c>
      <c r="BO131" s="5" t="s">
        <v>158</v>
      </c>
      <c r="BP131" s="5" t="s">
        <v>158</v>
      </c>
      <c r="BQ131" s="5" t="s">
        <v>158</v>
      </c>
      <c r="BR131" s="5" t="s">
        <v>158</v>
      </c>
      <c r="BS131" s="5" t="s">
        <v>158</v>
      </c>
      <c r="BT131" s="5" t="s">
        <v>158</v>
      </c>
      <c r="BU131" s="5" t="s">
        <v>158</v>
      </c>
      <c r="BV131" s="5" t="s">
        <v>158</v>
      </c>
      <c r="BW131" s="5" t="s">
        <v>158</v>
      </c>
      <c r="BX131" s="5" t="s">
        <v>158</v>
      </c>
      <c r="BY131" s="5" t="s">
        <v>158</v>
      </c>
      <c r="BZ131" s="5" t="s">
        <v>158</v>
      </c>
      <c r="CA131" s="5" t="s">
        <v>158</v>
      </c>
      <c r="CB131" s="5" t="s">
        <v>158</v>
      </c>
      <c r="CC131" s="5" t="s">
        <v>158</v>
      </c>
      <c r="CD131" s="5" t="s">
        <v>158</v>
      </c>
      <c r="CE131" s="5" t="s">
        <v>158</v>
      </c>
      <c r="CF131" s="5" t="s">
        <v>158</v>
      </c>
      <c r="CG131" s="5" t="s">
        <v>158</v>
      </c>
      <c r="CH131" s="5" t="s">
        <v>158</v>
      </c>
      <c r="CI131" s="17" t="s">
        <v>158</v>
      </c>
      <c r="CJ131" s="17" t="s">
        <v>158</v>
      </c>
      <c r="CK131" s="17" t="s">
        <v>158</v>
      </c>
      <c r="CL131" s="17" t="s">
        <v>158</v>
      </c>
      <c r="CM131" s="17" t="s">
        <v>158</v>
      </c>
      <c r="CN131" s="17" t="s">
        <v>158</v>
      </c>
      <c r="CO131" s="17" t="s">
        <v>158</v>
      </c>
      <c r="CP131" s="17" t="s">
        <v>158</v>
      </c>
      <c r="CQ131" s="17" t="s">
        <v>158</v>
      </c>
      <c r="CR131" s="17" t="s">
        <v>158</v>
      </c>
      <c r="CS131" s="17" t="s">
        <v>158</v>
      </c>
      <c r="CT131" s="17" t="s">
        <v>158</v>
      </c>
      <c r="CU131" s="17" t="s">
        <v>158</v>
      </c>
      <c r="CV131" s="17" t="s">
        <v>158</v>
      </c>
      <c r="CW131" s="17" t="s">
        <v>158</v>
      </c>
      <c r="CX131" s="17" t="s">
        <v>158</v>
      </c>
      <c r="CY131" s="67" t="s">
        <v>158</v>
      </c>
    </row>
    <row r="132" spans="1:103" x14ac:dyDescent="0.2">
      <c r="A132" s="32" t="s">
        <v>112</v>
      </c>
      <c r="B132" s="14" t="s">
        <v>24</v>
      </c>
      <c r="C132" s="14" t="s">
        <v>20</v>
      </c>
      <c r="G132" s="28">
        <v>42628</v>
      </c>
      <c r="H132" s="16">
        <v>2016</v>
      </c>
      <c r="I132" s="135" t="s">
        <v>33</v>
      </c>
      <c r="J132" s="135">
        <v>10</v>
      </c>
      <c r="K132" s="136">
        <v>0.86699695121952303</v>
      </c>
      <c r="L132" s="5">
        <v>2.6028627668316702</v>
      </c>
      <c r="M132" s="5">
        <v>0.6131520940484938</v>
      </c>
      <c r="N132" s="5">
        <v>1.5917523879500368</v>
      </c>
      <c r="O132" s="5">
        <v>5.4773144746509921</v>
      </c>
      <c r="P132" s="5">
        <v>4.5570352681851576</v>
      </c>
      <c r="Q132" s="5">
        <v>9.7462750652746166</v>
      </c>
      <c r="R132" s="5">
        <v>8.2110250757482994</v>
      </c>
      <c r="S132" s="5">
        <v>2.4138501102130787</v>
      </c>
      <c r="T132" s="5">
        <v>32.610404476070677</v>
      </c>
      <c r="U132" s="17">
        <f t="shared" si="11"/>
        <v>161.78470505822128</v>
      </c>
      <c r="V132" s="5" t="s">
        <v>73</v>
      </c>
      <c r="W132" s="5">
        <v>0.13278378205448788</v>
      </c>
      <c r="X132" s="5">
        <v>4.4649858232545088E-2</v>
      </c>
      <c r="Y132" s="5">
        <v>3.7305364580716524E-2</v>
      </c>
      <c r="Z132" s="5" t="s">
        <v>73</v>
      </c>
      <c r="AA132" s="5" t="s">
        <v>74</v>
      </c>
      <c r="AB132" s="5">
        <v>1.6437676268378217E-2</v>
      </c>
      <c r="AC132" s="5" t="s">
        <v>65</v>
      </c>
      <c r="AD132" s="5">
        <v>0.23117668113612772</v>
      </c>
      <c r="AE132" s="17">
        <f t="shared" si="9"/>
        <v>0.23117668113612772</v>
      </c>
      <c r="AF132" s="5" t="s">
        <v>65</v>
      </c>
      <c r="AG132" s="18" t="s">
        <v>158</v>
      </c>
      <c r="AH132" s="18">
        <v>3.9796431264136722</v>
      </c>
      <c r="AI132" s="5" t="s">
        <v>46</v>
      </c>
      <c r="AJ132" s="5" t="s">
        <v>69</v>
      </c>
      <c r="AK132" s="5" t="s">
        <v>56</v>
      </c>
      <c r="AL132" s="5" t="s">
        <v>65</v>
      </c>
      <c r="AM132" s="5" t="s">
        <v>65</v>
      </c>
      <c r="AN132" s="5">
        <v>0.34372120298232389</v>
      </c>
      <c r="AO132" s="5">
        <v>8.49459663231968E-2</v>
      </c>
      <c r="AP132" s="5" t="s">
        <v>71</v>
      </c>
      <c r="AQ132" s="5">
        <v>0.26958197201977047</v>
      </c>
      <c r="AR132" s="5">
        <v>5.6597134958532289E-2</v>
      </c>
      <c r="AS132" s="5" t="s">
        <v>158</v>
      </c>
      <c r="AT132" s="5" t="s">
        <v>158</v>
      </c>
      <c r="AU132" s="5" t="s">
        <v>158</v>
      </c>
      <c r="AV132" s="5" t="s">
        <v>158</v>
      </c>
      <c r="AW132" s="5" t="s">
        <v>158</v>
      </c>
      <c r="BC132" s="5">
        <v>58.777171969967824</v>
      </c>
      <c r="BD132" s="5" t="s">
        <v>126</v>
      </c>
      <c r="BE132" s="5" t="s">
        <v>65</v>
      </c>
      <c r="BF132" s="5">
        <v>0.12477654629960672</v>
      </c>
      <c r="BG132" s="5" t="s">
        <v>69</v>
      </c>
      <c r="BH132" s="5">
        <v>0.31212012870933137</v>
      </c>
      <c r="BI132" s="5">
        <v>3.3640507686807295</v>
      </c>
      <c r="BJ132" s="5">
        <v>0.99928494815874136</v>
      </c>
      <c r="BK132" s="5" t="s">
        <v>71</v>
      </c>
      <c r="BL132" s="5">
        <v>3.1519485162674297</v>
      </c>
      <c r="BM132" s="5">
        <v>0.37573292813728992</v>
      </c>
      <c r="BN132" s="17">
        <v>180</v>
      </c>
      <c r="BO132" s="5" t="s">
        <v>158</v>
      </c>
      <c r="BP132" s="5" t="s">
        <v>158</v>
      </c>
      <c r="BQ132" s="5" t="s">
        <v>158</v>
      </c>
      <c r="BR132" s="5" t="s">
        <v>158</v>
      </c>
      <c r="BS132" s="5" t="s">
        <v>158</v>
      </c>
      <c r="BT132" s="5" t="s">
        <v>158</v>
      </c>
      <c r="BU132" s="5" t="s">
        <v>158</v>
      </c>
      <c r="BV132" s="5" t="s">
        <v>158</v>
      </c>
      <c r="BW132" s="5" t="s">
        <v>158</v>
      </c>
      <c r="BX132" s="5" t="s">
        <v>158</v>
      </c>
      <c r="BY132" s="5" t="s">
        <v>158</v>
      </c>
      <c r="BZ132" s="5" t="s">
        <v>158</v>
      </c>
      <c r="CA132" s="5" t="s">
        <v>158</v>
      </c>
      <c r="CB132" s="5" t="s">
        <v>158</v>
      </c>
      <c r="CC132" s="5" t="s">
        <v>158</v>
      </c>
      <c r="CD132" s="5" t="s">
        <v>158</v>
      </c>
      <c r="CE132" s="5" t="s">
        <v>158</v>
      </c>
      <c r="CF132" s="5" t="s">
        <v>158</v>
      </c>
      <c r="CG132" s="5" t="s">
        <v>158</v>
      </c>
      <c r="CH132" s="5" t="s">
        <v>158</v>
      </c>
      <c r="CI132" s="17" t="s">
        <v>158</v>
      </c>
      <c r="CJ132" s="17" t="s">
        <v>158</v>
      </c>
      <c r="CK132" s="17" t="s">
        <v>158</v>
      </c>
      <c r="CL132" s="17" t="s">
        <v>158</v>
      </c>
      <c r="CM132" s="17" t="s">
        <v>158</v>
      </c>
      <c r="CN132" s="17" t="s">
        <v>158</v>
      </c>
      <c r="CO132" s="17" t="s">
        <v>158</v>
      </c>
      <c r="CP132" s="17" t="s">
        <v>158</v>
      </c>
      <c r="CQ132" s="17" t="s">
        <v>158</v>
      </c>
      <c r="CR132" s="17" t="s">
        <v>158</v>
      </c>
      <c r="CS132" s="17" t="s">
        <v>158</v>
      </c>
      <c r="CT132" s="17" t="s">
        <v>158</v>
      </c>
      <c r="CU132" s="17" t="s">
        <v>158</v>
      </c>
      <c r="CV132" s="17" t="s">
        <v>158</v>
      </c>
      <c r="CW132" s="17" t="s">
        <v>158</v>
      </c>
      <c r="CX132" s="17" t="s">
        <v>158</v>
      </c>
      <c r="CY132" s="67" t="s">
        <v>158</v>
      </c>
    </row>
    <row r="133" spans="1:103" x14ac:dyDescent="0.2">
      <c r="A133" s="32" t="s">
        <v>5</v>
      </c>
      <c r="B133" s="14" t="s">
        <v>5</v>
      </c>
      <c r="C133" s="14" t="s">
        <v>20</v>
      </c>
      <c r="G133" s="28">
        <v>42618</v>
      </c>
      <c r="H133" s="16">
        <v>2016</v>
      </c>
      <c r="I133" s="135" t="s">
        <v>33</v>
      </c>
      <c r="J133" s="135">
        <v>10</v>
      </c>
      <c r="K133" s="136">
        <v>0.87816695265973299</v>
      </c>
      <c r="L133" s="5">
        <v>3.8339464762316702</v>
      </c>
      <c r="M133" s="5">
        <v>0.41313978697332454</v>
      </c>
      <c r="N133" s="5">
        <v>1.2746724479215761</v>
      </c>
      <c r="O133" s="5">
        <v>4.0666415307757564</v>
      </c>
      <c r="P133" s="5">
        <v>3.5572516004659125</v>
      </c>
      <c r="Q133" s="5">
        <v>6.2800051138069506</v>
      </c>
      <c r="R133" s="5">
        <v>5.7288372456901753</v>
      </c>
      <c r="S133" s="5">
        <v>1.5359600339334529</v>
      </c>
      <c r="T133" s="5">
        <v>22.856507759567148</v>
      </c>
      <c r="U133" s="17">
        <f t="shared" si="11"/>
        <v>109.88375331506697</v>
      </c>
      <c r="V133" s="5" t="s">
        <v>59</v>
      </c>
      <c r="W133" s="5">
        <v>0.18480389189407989</v>
      </c>
      <c r="X133" s="5">
        <v>6.6627344567112487E-2</v>
      </c>
      <c r="Y133" s="5">
        <v>0.11688781725797104</v>
      </c>
      <c r="Z133" s="5" t="s">
        <v>59</v>
      </c>
      <c r="AA133" s="5">
        <v>3.6213314938798091E-2</v>
      </c>
      <c r="AB133" s="5">
        <v>6.7013963587811406E-2</v>
      </c>
      <c r="AC133" s="5" t="s">
        <v>65</v>
      </c>
      <c r="AD133" s="5">
        <v>0.47154633224577291</v>
      </c>
      <c r="AE133" s="17">
        <f t="shared" si="9"/>
        <v>0.47154633224577291</v>
      </c>
      <c r="AF133" s="5" t="s">
        <v>65</v>
      </c>
      <c r="AG133" s="18" t="s">
        <v>158</v>
      </c>
      <c r="AH133" s="18">
        <v>9.6906600844016246</v>
      </c>
      <c r="AI133" s="5" t="s">
        <v>46</v>
      </c>
      <c r="AJ133" s="5" t="s">
        <v>69</v>
      </c>
      <c r="AK133" s="5" t="s">
        <v>56</v>
      </c>
      <c r="AL133" s="5" t="s">
        <v>65</v>
      </c>
      <c r="AM133" s="5" t="s">
        <v>65</v>
      </c>
      <c r="AN133" s="5">
        <v>0.54168325503622894</v>
      </c>
      <c r="AO133" s="5">
        <v>0.25352336969503936</v>
      </c>
      <c r="AP133" s="5" t="s">
        <v>71</v>
      </c>
      <c r="AQ133" s="5">
        <v>0.35177960028664701</v>
      </c>
      <c r="AR133" s="5">
        <v>6.4941476232184089E-2</v>
      </c>
      <c r="AS133" s="5" t="s">
        <v>158</v>
      </c>
      <c r="AT133" s="5" t="s">
        <v>158</v>
      </c>
      <c r="AU133" s="5" t="s">
        <v>158</v>
      </c>
      <c r="AV133" s="5" t="s">
        <v>158</v>
      </c>
      <c r="AW133" s="5" t="s">
        <v>158</v>
      </c>
      <c r="BC133" s="5">
        <v>130</v>
      </c>
      <c r="BD133" s="5" t="s">
        <v>126</v>
      </c>
      <c r="BE133" s="5" t="s">
        <v>65</v>
      </c>
      <c r="BF133" s="5">
        <v>0.51915740587162051</v>
      </c>
      <c r="BG133" s="5" t="s">
        <v>69</v>
      </c>
      <c r="BH133" s="5">
        <v>0.48034499917067514</v>
      </c>
      <c r="BI133" s="5">
        <v>6.106899983413502</v>
      </c>
      <c r="BJ133" s="5">
        <v>3.9011444684027201</v>
      </c>
      <c r="BK133" s="5" t="s">
        <v>71</v>
      </c>
      <c r="BL133" s="5">
        <v>5.5783712058384474</v>
      </c>
      <c r="BM133" s="5">
        <v>0.43819041300381489</v>
      </c>
      <c r="BN133" s="17">
        <v>79</v>
      </c>
      <c r="BO133" s="5" t="s">
        <v>158</v>
      </c>
      <c r="BP133" s="5" t="s">
        <v>158</v>
      </c>
      <c r="BQ133" s="5" t="s">
        <v>158</v>
      </c>
      <c r="BR133" s="5" t="s">
        <v>158</v>
      </c>
      <c r="BS133" s="5" t="s">
        <v>158</v>
      </c>
      <c r="BT133" s="5" t="s">
        <v>158</v>
      </c>
      <c r="BU133" s="5" t="s">
        <v>158</v>
      </c>
      <c r="BV133" s="5" t="s">
        <v>158</v>
      </c>
      <c r="BW133" s="5" t="s">
        <v>158</v>
      </c>
      <c r="BX133" s="5" t="s">
        <v>158</v>
      </c>
      <c r="BY133" s="5" t="s">
        <v>158</v>
      </c>
      <c r="BZ133" s="5" t="s">
        <v>158</v>
      </c>
      <c r="CA133" s="5" t="s">
        <v>158</v>
      </c>
      <c r="CB133" s="5" t="s">
        <v>158</v>
      </c>
      <c r="CC133" s="5" t="s">
        <v>158</v>
      </c>
      <c r="CD133" s="5" t="s">
        <v>158</v>
      </c>
      <c r="CE133" s="5" t="s">
        <v>158</v>
      </c>
      <c r="CF133" s="5" t="s">
        <v>158</v>
      </c>
      <c r="CG133" s="5" t="s">
        <v>158</v>
      </c>
      <c r="CH133" s="5" t="s">
        <v>158</v>
      </c>
      <c r="CI133" s="17" t="s">
        <v>158</v>
      </c>
      <c r="CJ133" s="17" t="s">
        <v>158</v>
      </c>
      <c r="CK133" s="17" t="s">
        <v>158</v>
      </c>
      <c r="CL133" s="17" t="s">
        <v>158</v>
      </c>
      <c r="CM133" s="17" t="s">
        <v>158</v>
      </c>
      <c r="CN133" s="17" t="s">
        <v>158</v>
      </c>
      <c r="CO133" s="17" t="s">
        <v>158</v>
      </c>
      <c r="CP133" s="17" t="s">
        <v>158</v>
      </c>
      <c r="CQ133" s="17" t="s">
        <v>158</v>
      </c>
      <c r="CR133" s="17" t="s">
        <v>158</v>
      </c>
      <c r="CS133" s="17" t="s">
        <v>158</v>
      </c>
      <c r="CT133" s="17" t="s">
        <v>158</v>
      </c>
      <c r="CU133" s="17" t="s">
        <v>158</v>
      </c>
      <c r="CV133" s="17" t="s">
        <v>158</v>
      </c>
      <c r="CW133" s="17" t="s">
        <v>158</v>
      </c>
      <c r="CX133" s="17" t="s">
        <v>158</v>
      </c>
      <c r="CY133" s="67" t="s">
        <v>158</v>
      </c>
    </row>
    <row r="134" spans="1:103" x14ac:dyDescent="0.2">
      <c r="A134" s="32" t="s">
        <v>25</v>
      </c>
      <c r="B134" s="14" t="s">
        <v>25</v>
      </c>
      <c r="C134" s="14" t="s">
        <v>20</v>
      </c>
      <c r="G134" s="28">
        <v>42614</v>
      </c>
      <c r="H134" s="16">
        <v>2016</v>
      </c>
      <c r="I134" s="135" t="s">
        <v>33</v>
      </c>
      <c r="J134" s="135">
        <v>10</v>
      </c>
      <c r="K134" s="136">
        <v>0.78</v>
      </c>
      <c r="L134" s="5">
        <v>3.4751201893744899</v>
      </c>
      <c r="M134" s="5" t="s">
        <v>62</v>
      </c>
      <c r="N134" s="5">
        <v>9.2588990468780386E-2</v>
      </c>
      <c r="O134" s="5">
        <v>0.60153666601828437</v>
      </c>
      <c r="P134" s="5">
        <v>0.48599494261816767</v>
      </c>
      <c r="Q134" s="5">
        <v>2.1393697724178176</v>
      </c>
      <c r="R134" s="5">
        <v>1.6382999416455941</v>
      </c>
      <c r="S134" s="5">
        <v>1.0202295273293134</v>
      </c>
      <c r="T134" s="5">
        <v>5.9780198404979572</v>
      </c>
      <c r="U134" s="17">
        <f t="shared" si="11"/>
        <v>35.205287806921724</v>
      </c>
      <c r="V134" s="5" t="s">
        <v>59</v>
      </c>
      <c r="W134" s="5">
        <v>0.10290584877190584</v>
      </c>
      <c r="X134" s="5">
        <v>3.6896214685725341E-2</v>
      </c>
      <c r="Y134" s="5" t="s">
        <v>62</v>
      </c>
      <c r="Z134" s="5" t="s">
        <v>59</v>
      </c>
      <c r="AA134" s="5">
        <v>3.2284187850009673E-2</v>
      </c>
      <c r="AB134" s="5">
        <v>3.0842929463848527E-2</v>
      </c>
      <c r="AC134" s="5" t="s">
        <v>65</v>
      </c>
      <c r="AD134" s="5">
        <v>0.20292918077148939</v>
      </c>
      <c r="AE134" s="17">
        <f t="shared" si="9"/>
        <v>0.20292918077148939</v>
      </c>
      <c r="AF134" s="5" t="s">
        <v>65</v>
      </c>
      <c r="AG134" s="18" t="s">
        <v>158</v>
      </c>
      <c r="AH134" s="18">
        <v>25.741143317230275</v>
      </c>
      <c r="AI134" s="5" t="s">
        <v>46</v>
      </c>
      <c r="AJ134" s="5" t="s">
        <v>69</v>
      </c>
      <c r="AK134" s="5" t="s">
        <v>56</v>
      </c>
      <c r="AL134" s="5" t="s">
        <v>65</v>
      </c>
      <c r="AM134" s="5" t="s">
        <v>65</v>
      </c>
      <c r="AN134" s="5">
        <v>1.0735104669887281</v>
      </c>
      <c r="AO134" s="5">
        <v>0.62431561996779394</v>
      </c>
      <c r="AP134" s="5" t="s">
        <v>71</v>
      </c>
      <c r="AQ134" s="5">
        <v>0.65442834138486305</v>
      </c>
      <c r="AR134" s="5" t="s">
        <v>71</v>
      </c>
      <c r="AS134" s="5" t="s">
        <v>158</v>
      </c>
      <c r="AT134" s="5" t="s">
        <v>158</v>
      </c>
      <c r="AU134" s="5" t="s">
        <v>158</v>
      </c>
      <c r="AV134" s="5" t="s">
        <v>158</v>
      </c>
      <c r="AW134" s="5" t="s">
        <v>158</v>
      </c>
      <c r="BC134" s="5">
        <v>400.44162249705528</v>
      </c>
      <c r="BD134" s="5" t="s">
        <v>126</v>
      </c>
      <c r="BE134" s="5" t="s">
        <v>65</v>
      </c>
      <c r="BF134" s="5">
        <v>0.31654888103651352</v>
      </c>
      <c r="BG134" s="5" t="s">
        <v>69</v>
      </c>
      <c r="BH134" s="5">
        <v>0.49705535924617195</v>
      </c>
      <c r="BI134" s="5">
        <v>11.383760306242637</v>
      </c>
      <c r="BJ134" s="5">
        <v>6.4958775029446416</v>
      </c>
      <c r="BK134" s="5" t="s">
        <v>71</v>
      </c>
      <c r="BL134" s="5">
        <v>6.159010600706714</v>
      </c>
      <c r="BM134" s="5">
        <v>0.17400618374558302</v>
      </c>
      <c r="BN134" s="17">
        <v>140</v>
      </c>
      <c r="BO134" s="5" t="s">
        <v>158</v>
      </c>
      <c r="BP134" s="5" t="s">
        <v>158</v>
      </c>
      <c r="BQ134" s="5" t="s">
        <v>158</v>
      </c>
      <c r="BR134" s="5" t="s">
        <v>158</v>
      </c>
      <c r="BS134" s="5" t="s">
        <v>158</v>
      </c>
      <c r="BT134" s="5" t="s">
        <v>158</v>
      </c>
      <c r="BU134" s="5" t="s">
        <v>158</v>
      </c>
      <c r="BV134" s="5" t="s">
        <v>158</v>
      </c>
      <c r="BW134" s="5" t="s">
        <v>158</v>
      </c>
      <c r="BX134" s="5" t="s">
        <v>158</v>
      </c>
      <c r="BY134" s="5" t="s">
        <v>158</v>
      </c>
      <c r="BZ134" s="5" t="s">
        <v>158</v>
      </c>
      <c r="CA134" s="5" t="s">
        <v>158</v>
      </c>
      <c r="CB134" s="5" t="s">
        <v>158</v>
      </c>
      <c r="CC134" s="5" t="s">
        <v>158</v>
      </c>
      <c r="CD134" s="5" t="s">
        <v>158</v>
      </c>
      <c r="CE134" s="5" t="s">
        <v>158</v>
      </c>
      <c r="CF134" s="5" t="s">
        <v>158</v>
      </c>
      <c r="CG134" s="5" t="s">
        <v>158</v>
      </c>
      <c r="CH134" s="5" t="s">
        <v>158</v>
      </c>
      <c r="CI134" s="17" t="s">
        <v>158</v>
      </c>
      <c r="CJ134" s="17" t="s">
        <v>158</v>
      </c>
      <c r="CK134" s="17" t="s">
        <v>158</v>
      </c>
      <c r="CL134" s="17" t="s">
        <v>158</v>
      </c>
      <c r="CM134" s="17" t="s">
        <v>158</v>
      </c>
      <c r="CN134" s="17" t="s">
        <v>158</v>
      </c>
      <c r="CO134" s="17" t="s">
        <v>158</v>
      </c>
      <c r="CP134" s="17" t="s">
        <v>158</v>
      </c>
      <c r="CQ134" s="17" t="s">
        <v>158</v>
      </c>
      <c r="CR134" s="17" t="s">
        <v>158</v>
      </c>
      <c r="CS134" s="17" t="s">
        <v>158</v>
      </c>
      <c r="CT134" s="17" t="s">
        <v>158</v>
      </c>
      <c r="CU134" s="17" t="s">
        <v>158</v>
      </c>
      <c r="CV134" s="17" t="s">
        <v>158</v>
      </c>
      <c r="CW134" s="17" t="s">
        <v>158</v>
      </c>
      <c r="CX134" s="17" t="s">
        <v>158</v>
      </c>
      <c r="CY134" s="67" t="s">
        <v>158</v>
      </c>
    </row>
    <row r="135" spans="1:103" x14ac:dyDescent="0.2">
      <c r="A135" s="32" t="s">
        <v>26</v>
      </c>
      <c r="B135" s="14" t="s">
        <v>26</v>
      </c>
      <c r="C135" s="14" t="s">
        <v>20</v>
      </c>
      <c r="G135" s="28">
        <v>42578</v>
      </c>
      <c r="H135" s="16">
        <v>2016</v>
      </c>
      <c r="I135" s="135" t="s">
        <v>33</v>
      </c>
      <c r="J135" s="135">
        <v>10</v>
      </c>
      <c r="K135" s="136">
        <v>0.72761784245490901</v>
      </c>
      <c r="L135" s="5">
        <v>4.60380932337159</v>
      </c>
      <c r="M135" s="5" t="s">
        <v>62</v>
      </c>
      <c r="N135" s="5">
        <v>6.9868073878627979E-2</v>
      </c>
      <c r="O135" s="5">
        <v>0.17878627968337732</v>
      </c>
      <c r="P135" s="5">
        <v>0.13646437994722954</v>
      </c>
      <c r="Q135" s="5">
        <v>0.36928759894459107</v>
      </c>
      <c r="R135" s="5">
        <v>0.32147757255936676</v>
      </c>
      <c r="S135" s="5">
        <v>0.27313984168865435</v>
      </c>
      <c r="T135" s="5">
        <v>1.3490237467018471</v>
      </c>
      <c r="U135" s="17">
        <f t="shared" si="11"/>
        <v>8.3323916485030427</v>
      </c>
      <c r="V135" s="5" t="s">
        <v>59</v>
      </c>
      <c r="W135" s="5" t="s">
        <v>72</v>
      </c>
      <c r="X135" s="5" t="s">
        <v>72</v>
      </c>
      <c r="Y135" s="5" t="s">
        <v>62</v>
      </c>
      <c r="Z135" s="5">
        <v>1.6173615936354916E-2</v>
      </c>
      <c r="AA135" s="5" t="s">
        <v>56</v>
      </c>
      <c r="AB135" s="5">
        <v>5.5213378541349549E-2</v>
      </c>
      <c r="AC135" s="5" t="s">
        <v>65</v>
      </c>
      <c r="AD135" s="5">
        <v>7.1386994477704468E-2</v>
      </c>
      <c r="AE135" s="17">
        <f t="shared" si="9"/>
        <v>5.5213378541349549E-2</v>
      </c>
      <c r="AF135" s="5" t="s">
        <v>65</v>
      </c>
      <c r="AG135" s="18" t="s">
        <v>158</v>
      </c>
      <c r="AH135" s="18">
        <v>1.7408253268231217</v>
      </c>
      <c r="AI135" s="5" t="s">
        <v>46</v>
      </c>
      <c r="AJ135" s="5" t="s">
        <v>69</v>
      </c>
      <c r="AK135" s="5" t="s">
        <v>56</v>
      </c>
      <c r="AL135" s="5" t="s">
        <v>65</v>
      </c>
      <c r="AM135" s="5" t="s">
        <v>65</v>
      </c>
      <c r="AN135" s="5">
        <v>0.18451724681052134</v>
      </c>
      <c r="AO135" s="5" t="s">
        <v>56</v>
      </c>
      <c r="AP135" s="5" t="s">
        <v>71</v>
      </c>
      <c r="AQ135" s="5" t="s">
        <v>65</v>
      </c>
      <c r="AR135" s="5" t="s">
        <v>71</v>
      </c>
      <c r="AS135" s="5" t="s">
        <v>158</v>
      </c>
      <c r="AT135" s="5" t="s">
        <v>158</v>
      </c>
      <c r="AU135" s="5" t="s">
        <v>158</v>
      </c>
      <c r="AV135" s="5" t="s">
        <v>158</v>
      </c>
      <c r="AW135" s="5" t="s">
        <v>158</v>
      </c>
      <c r="BC135" s="5">
        <v>48.426714871995301</v>
      </c>
      <c r="BD135" s="5" t="s">
        <v>126</v>
      </c>
      <c r="BE135" s="5" t="s">
        <v>65</v>
      </c>
      <c r="BF135" s="5">
        <v>0.12702755520812975</v>
      </c>
      <c r="BG135" s="5" t="s">
        <v>69</v>
      </c>
      <c r="BH135" s="5">
        <v>0.24545632206370915</v>
      </c>
      <c r="BI135" s="5">
        <v>2.1923978893883129</v>
      </c>
      <c r="BJ135" s="5" t="s">
        <v>46</v>
      </c>
      <c r="BK135" s="5" t="s">
        <v>71</v>
      </c>
      <c r="BL135" s="5">
        <v>1.6712917725229623</v>
      </c>
      <c r="BM135" s="5">
        <v>5.7621653312487787E-2</v>
      </c>
      <c r="BN135" s="17">
        <v>46</v>
      </c>
      <c r="BO135" s="5" t="s">
        <v>158</v>
      </c>
      <c r="BP135" s="5" t="s">
        <v>158</v>
      </c>
      <c r="BQ135" s="5" t="s">
        <v>158</v>
      </c>
      <c r="BR135" s="5" t="s">
        <v>158</v>
      </c>
      <c r="BS135" s="5" t="s">
        <v>158</v>
      </c>
      <c r="BT135" s="5" t="s">
        <v>158</v>
      </c>
      <c r="BU135" s="5" t="s">
        <v>158</v>
      </c>
      <c r="BV135" s="5" t="s">
        <v>158</v>
      </c>
      <c r="BW135" s="5" t="s">
        <v>158</v>
      </c>
      <c r="BX135" s="5" t="s">
        <v>158</v>
      </c>
      <c r="BY135" s="5" t="s">
        <v>158</v>
      </c>
      <c r="BZ135" s="5" t="s">
        <v>158</v>
      </c>
      <c r="CA135" s="5" t="s">
        <v>158</v>
      </c>
      <c r="CB135" s="5" t="s">
        <v>158</v>
      </c>
      <c r="CC135" s="5" t="s">
        <v>158</v>
      </c>
      <c r="CD135" s="5" t="s">
        <v>158</v>
      </c>
      <c r="CE135" s="5" t="s">
        <v>158</v>
      </c>
      <c r="CF135" s="5" t="s">
        <v>158</v>
      </c>
      <c r="CG135" s="5" t="s">
        <v>158</v>
      </c>
      <c r="CH135" s="5" t="s">
        <v>158</v>
      </c>
      <c r="CI135" s="17" t="s">
        <v>158</v>
      </c>
      <c r="CJ135" s="17" t="s">
        <v>158</v>
      </c>
      <c r="CK135" s="17" t="s">
        <v>158</v>
      </c>
      <c r="CL135" s="17" t="s">
        <v>158</v>
      </c>
      <c r="CM135" s="17" t="s">
        <v>158</v>
      </c>
      <c r="CN135" s="17" t="s">
        <v>158</v>
      </c>
      <c r="CO135" s="17" t="s">
        <v>158</v>
      </c>
      <c r="CP135" s="17" t="s">
        <v>158</v>
      </c>
      <c r="CQ135" s="17" t="s">
        <v>158</v>
      </c>
      <c r="CR135" s="17" t="s">
        <v>158</v>
      </c>
      <c r="CS135" s="17" t="s">
        <v>158</v>
      </c>
      <c r="CT135" s="17" t="s">
        <v>158</v>
      </c>
      <c r="CU135" s="17" t="s">
        <v>158</v>
      </c>
      <c r="CV135" s="17" t="s">
        <v>158</v>
      </c>
      <c r="CW135" s="17" t="s">
        <v>158</v>
      </c>
      <c r="CX135" s="17" t="s">
        <v>158</v>
      </c>
      <c r="CY135" s="67" t="s">
        <v>158</v>
      </c>
    </row>
    <row r="136" spans="1:103" x14ac:dyDescent="0.2">
      <c r="A136" s="32" t="s">
        <v>81</v>
      </c>
      <c r="B136" s="14" t="s">
        <v>81</v>
      </c>
      <c r="C136" s="14" t="s">
        <v>20</v>
      </c>
      <c r="G136" s="28">
        <v>42577</v>
      </c>
      <c r="H136" s="16">
        <v>2016</v>
      </c>
      <c r="I136" s="135" t="s">
        <v>33</v>
      </c>
      <c r="J136" s="135">
        <v>10</v>
      </c>
      <c r="K136" s="136">
        <v>0.75</v>
      </c>
      <c r="L136" s="5">
        <v>3.0173202973378701</v>
      </c>
      <c r="M136" s="5">
        <v>7.0046631610278784E-2</v>
      </c>
      <c r="N136" s="5">
        <v>0.2133148129774779</v>
      </c>
      <c r="O136" s="5">
        <v>0.96090882031947611</v>
      </c>
      <c r="P136" s="5">
        <v>0.5939081258061315</v>
      </c>
      <c r="Q136" s="5">
        <v>2.0702450639944439</v>
      </c>
      <c r="R136" s="5">
        <v>1.6700069451334458</v>
      </c>
      <c r="S136" s="5">
        <v>0.89641829546581997</v>
      </c>
      <c r="T136" s="5">
        <v>6.4748486953070739</v>
      </c>
      <c r="U136" s="17">
        <f t="shared" si="11"/>
        <v>39.206270463339621</v>
      </c>
      <c r="V136" s="5" t="s">
        <v>59</v>
      </c>
      <c r="W136" s="5">
        <v>0.2919158603780575</v>
      </c>
      <c r="X136" s="5">
        <v>6.7986226580042497E-2</v>
      </c>
      <c r="Y136" s="5">
        <v>0.17081539428235679</v>
      </c>
      <c r="Z136" s="5">
        <v>3.3993113290021248E-2</v>
      </c>
      <c r="AA136" s="5">
        <v>6.4303639306956872E-2</v>
      </c>
      <c r="AB136" s="5">
        <v>6.968588224454357E-2</v>
      </c>
      <c r="AC136" s="5" t="s">
        <v>65</v>
      </c>
      <c r="AD136" s="5">
        <v>0.69870011608197846</v>
      </c>
      <c r="AE136" s="17">
        <f t="shared" si="9"/>
        <v>0.66470700279195727</v>
      </c>
      <c r="AF136" s="5">
        <v>0.18</v>
      </c>
      <c r="AG136" s="18">
        <f>(AF136/K136)*5</f>
        <v>1.2</v>
      </c>
      <c r="AH136" s="18">
        <v>7.4743157399419662</v>
      </c>
      <c r="AI136" s="5" t="s">
        <v>46</v>
      </c>
      <c r="AJ136" s="5" t="s">
        <v>69</v>
      </c>
      <c r="AK136" s="5" t="s">
        <v>56</v>
      </c>
      <c r="AL136" s="5" t="s">
        <v>65</v>
      </c>
      <c r="AM136" s="5" t="s">
        <v>65</v>
      </c>
      <c r="AN136" s="5">
        <v>1.2260214885107052</v>
      </c>
      <c r="AO136" s="5">
        <v>1.461375578386009</v>
      </c>
      <c r="AP136" s="5" t="s">
        <v>71</v>
      </c>
      <c r="AQ136" s="5">
        <v>1.0828954591796722</v>
      </c>
      <c r="AR136" s="5">
        <v>0.42683711081483816</v>
      </c>
      <c r="AS136" s="5" t="s">
        <v>158</v>
      </c>
      <c r="AT136" s="5" t="s">
        <v>158</v>
      </c>
      <c r="AU136" s="5" t="s">
        <v>158</v>
      </c>
      <c r="AV136" s="5" t="s">
        <v>158</v>
      </c>
      <c r="AW136" s="5" t="s">
        <v>158</v>
      </c>
      <c r="BC136" s="5">
        <v>150.10377714825307</v>
      </c>
      <c r="BD136" s="5" t="s">
        <v>126</v>
      </c>
      <c r="BE136" s="5" t="s">
        <v>65</v>
      </c>
      <c r="BF136" s="5">
        <v>0.19641170915958453</v>
      </c>
      <c r="BG136" s="5" t="s">
        <v>69</v>
      </c>
      <c r="BH136" s="5">
        <v>0.67724268177525981</v>
      </c>
      <c r="BI136" s="5">
        <v>25.839187913125588</v>
      </c>
      <c r="BJ136" s="5">
        <v>22.04343720491029</v>
      </c>
      <c r="BK136" s="5" t="s">
        <v>71</v>
      </c>
      <c r="BL136" s="5">
        <v>23.367705382436263</v>
      </c>
      <c r="BM136" s="5">
        <v>4.7727762039660053</v>
      </c>
      <c r="BN136" s="17">
        <v>26</v>
      </c>
      <c r="BO136" s="5" t="s">
        <v>158</v>
      </c>
      <c r="BP136" s="5" t="s">
        <v>158</v>
      </c>
      <c r="BQ136" s="5" t="s">
        <v>158</v>
      </c>
      <c r="BR136" s="5" t="s">
        <v>158</v>
      </c>
      <c r="BS136" s="5" t="s">
        <v>158</v>
      </c>
      <c r="BT136" s="5" t="s">
        <v>158</v>
      </c>
      <c r="BU136" s="5" t="s">
        <v>158</v>
      </c>
      <c r="BV136" s="5" t="s">
        <v>158</v>
      </c>
      <c r="BW136" s="5" t="s">
        <v>158</v>
      </c>
      <c r="BX136" s="5" t="s">
        <v>158</v>
      </c>
      <c r="BY136" s="5" t="s">
        <v>158</v>
      </c>
      <c r="BZ136" s="5" t="s">
        <v>158</v>
      </c>
      <c r="CA136" s="5" t="s">
        <v>158</v>
      </c>
      <c r="CB136" s="5" t="s">
        <v>158</v>
      </c>
      <c r="CC136" s="5" t="s">
        <v>158</v>
      </c>
      <c r="CD136" s="5" t="s">
        <v>158</v>
      </c>
      <c r="CE136" s="5" t="s">
        <v>158</v>
      </c>
      <c r="CF136" s="5" t="s">
        <v>158</v>
      </c>
      <c r="CG136" s="5" t="s">
        <v>158</v>
      </c>
      <c r="CH136" s="5" t="s">
        <v>158</v>
      </c>
      <c r="CI136" s="17" t="s">
        <v>158</v>
      </c>
      <c r="CJ136" s="17" t="s">
        <v>158</v>
      </c>
      <c r="CK136" s="17" t="s">
        <v>158</v>
      </c>
      <c r="CL136" s="17" t="s">
        <v>158</v>
      </c>
      <c r="CM136" s="17" t="s">
        <v>158</v>
      </c>
      <c r="CN136" s="17" t="s">
        <v>158</v>
      </c>
      <c r="CO136" s="17" t="s">
        <v>158</v>
      </c>
      <c r="CP136" s="17" t="s">
        <v>158</v>
      </c>
      <c r="CQ136" s="17" t="s">
        <v>158</v>
      </c>
      <c r="CR136" s="17" t="s">
        <v>158</v>
      </c>
      <c r="CS136" s="17" t="s">
        <v>158</v>
      </c>
      <c r="CT136" s="17" t="s">
        <v>158</v>
      </c>
      <c r="CU136" s="17" t="s">
        <v>158</v>
      </c>
      <c r="CV136" s="17" t="s">
        <v>158</v>
      </c>
      <c r="CW136" s="17" t="s">
        <v>158</v>
      </c>
      <c r="CX136" s="17" t="s">
        <v>158</v>
      </c>
      <c r="CY136" s="67" t="s">
        <v>158</v>
      </c>
    </row>
    <row r="137" spans="1:103" x14ac:dyDescent="0.2">
      <c r="A137" s="32" t="s">
        <v>6</v>
      </c>
      <c r="B137" s="14" t="s">
        <v>6</v>
      </c>
      <c r="C137" s="14" t="s">
        <v>20</v>
      </c>
      <c r="G137" s="28">
        <v>42615</v>
      </c>
      <c r="H137" s="16">
        <v>2016</v>
      </c>
      <c r="I137" s="135" t="s">
        <v>33</v>
      </c>
      <c r="J137" s="135">
        <v>10</v>
      </c>
      <c r="K137" s="136">
        <v>0.80902916500199296</v>
      </c>
      <c r="L137" s="5">
        <v>3.4291477559253898</v>
      </c>
      <c r="M137" s="5">
        <v>4.0583136327817182E-2</v>
      </c>
      <c r="N137" s="5">
        <v>0.16430260047281325</v>
      </c>
      <c r="O137" s="5">
        <v>0.61485421591804579</v>
      </c>
      <c r="P137" s="5">
        <v>0.47488179669030733</v>
      </c>
      <c r="Q137" s="5">
        <v>1.4137115839243499</v>
      </c>
      <c r="R137" s="5">
        <v>1.1817375886524824</v>
      </c>
      <c r="S137" s="5">
        <v>0.67671394799054374</v>
      </c>
      <c r="T137" s="5">
        <v>4.5667848699763596</v>
      </c>
      <c r="U137" s="17">
        <f t="shared" si="11"/>
        <v>25.288971339345796</v>
      </c>
      <c r="V137" s="5" t="s">
        <v>59</v>
      </c>
      <c r="W137" s="5">
        <v>7.1661841444215363E-2</v>
      </c>
      <c r="X137" s="5">
        <v>1.758024384702165E-2</v>
      </c>
      <c r="Y137" s="5">
        <v>3.5905413280781506E-2</v>
      </c>
      <c r="Z137" s="5">
        <v>5.6316374357408334E-2</v>
      </c>
      <c r="AA137" s="5">
        <v>2.0708931311322114E-2</v>
      </c>
      <c r="AB137" s="5">
        <v>4.5142490556335249E-2</v>
      </c>
      <c r="AC137" s="5" t="s">
        <v>65</v>
      </c>
      <c r="AD137" s="5">
        <v>0.2473152947970842</v>
      </c>
      <c r="AE137" s="17">
        <f t="shared" si="9"/>
        <v>0.19099892043967587</v>
      </c>
      <c r="AF137" s="5" t="s">
        <v>65</v>
      </c>
      <c r="AG137" s="18" t="s">
        <v>158</v>
      </c>
      <c r="AH137" s="18">
        <v>1.1459341723136494</v>
      </c>
      <c r="AI137" s="5" t="s">
        <v>46</v>
      </c>
      <c r="AJ137" s="5" t="s">
        <v>69</v>
      </c>
      <c r="AK137" s="5" t="s">
        <v>56</v>
      </c>
      <c r="AL137" s="5" t="s">
        <v>65</v>
      </c>
      <c r="AM137" s="5" t="s">
        <v>65</v>
      </c>
      <c r="AN137" s="5">
        <v>0.17852533075185542</v>
      </c>
      <c r="AO137" s="5">
        <v>2.5653436592449178E-2</v>
      </c>
      <c r="AP137" s="5" t="s">
        <v>71</v>
      </c>
      <c r="AQ137" s="5" t="s">
        <v>65</v>
      </c>
      <c r="AR137" s="5" t="s">
        <v>71</v>
      </c>
      <c r="AS137" s="5" t="s">
        <v>158</v>
      </c>
      <c r="AT137" s="5" t="s">
        <v>158</v>
      </c>
      <c r="AU137" s="5" t="s">
        <v>158</v>
      </c>
      <c r="AV137" s="5" t="s">
        <v>158</v>
      </c>
      <c r="AW137" s="5" t="s">
        <v>158</v>
      </c>
      <c r="BC137" s="5">
        <v>30.385279787391113</v>
      </c>
      <c r="BD137" s="5" t="s">
        <v>126</v>
      </c>
      <c r="BE137" s="5" t="s">
        <v>65</v>
      </c>
      <c r="BF137" s="5" t="s">
        <v>56</v>
      </c>
      <c r="BG137" s="5" t="s">
        <v>69</v>
      </c>
      <c r="BH137" s="5">
        <v>0.12933707367488556</v>
      </c>
      <c r="BI137" s="5">
        <v>2.3650524139967519</v>
      </c>
      <c r="BJ137" s="5">
        <v>0.80761848516167123</v>
      </c>
      <c r="BK137" s="5" t="s">
        <v>71</v>
      </c>
      <c r="BL137" s="5">
        <v>1.4516462424331906</v>
      </c>
      <c r="BM137" s="5">
        <v>6.8928096855160201E-2</v>
      </c>
      <c r="BN137" s="17">
        <v>50</v>
      </c>
      <c r="BO137" s="5" t="s">
        <v>158</v>
      </c>
      <c r="BP137" s="5" t="s">
        <v>158</v>
      </c>
      <c r="BQ137" s="5" t="s">
        <v>158</v>
      </c>
      <c r="BR137" s="5" t="s">
        <v>158</v>
      </c>
      <c r="BS137" s="5" t="s">
        <v>158</v>
      </c>
      <c r="BT137" s="5" t="s">
        <v>158</v>
      </c>
      <c r="BU137" s="5" t="s">
        <v>158</v>
      </c>
      <c r="BV137" s="5" t="s">
        <v>158</v>
      </c>
      <c r="BW137" s="5" t="s">
        <v>158</v>
      </c>
      <c r="BX137" s="5" t="s">
        <v>158</v>
      </c>
      <c r="BY137" s="5" t="s">
        <v>158</v>
      </c>
      <c r="BZ137" s="5" t="s">
        <v>158</v>
      </c>
      <c r="CA137" s="5" t="s">
        <v>158</v>
      </c>
      <c r="CB137" s="5" t="s">
        <v>158</v>
      </c>
      <c r="CC137" s="5" t="s">
        <v>158</v>
      </c>
      <c r="CD137" s="5" t="s">
        <v>158</v>
      </c>
      <c r="CE137" s="5" t="s">
        <v>158</v>
      </c>
      <c r="CF137" s="5" t="s">
        <v>158</v>
      </c>
      <c r="CG137" s="5" t="s">
        <v>158</v>
      </c>
      <c r="CH137" s="5" t="s">
        <v>158</v>
      </c>
      <c r="CI137" s="17" t="s">
        <v>158</v>
      </c>
      <c r="CJ137" s="17" t="s">
        <v>158</v>
      </c>
      <c r="CK137" s="17" t="s">
        <v>158</v>
      </c>
      <c r="CL137" s="17" t="s">
        <v>158</v>
      </c>
      <c r="CM137" s="17" t="s">
        <v>158</v>
      </c>
      <c r="CN137" s="17" t="s">
        <v>158</v>
      </c>
      <c r="CO137" s="17" t="s">
        <v>158</v>
      </c>
      <c r="CP137" s="17" t="s">
        <v>158</v>
      </c>
      <c r="CQ137" s="17" t="s">
        <v>158</v>
      </c>
      <c r="CR137" s="17" t="s">
        <v>158</v>
      </c>
      <c r="CS137" s="17" t="s">
        <v>158</v>
      </c>
      <c r="CT137" s="17" t="s">
        <v>158</v>
      </c>
      <c r="CU137" s="17" t="s">
        <v>158</v>
      </c>
      <c r="CV137" s="17" t="s">
        <v>158</v>
      </c>
      <c r="CW137" s="17" t="s">
        <v>158</v>
      </c>
      <c r="CX137" s="17" t="s">
        <v>158</v>
      </c>
      <c r="CY137" s="67" t="s">
        <v>158</v>
      </c>
    </row>
    <row r="138" spans="1:103" x14ac:dyDescent="0.2">
      <c r="A138" s="32" t="s">
        <v>82</v>
      </c>
      <c r="B138" s="14" t="s">
        <v>82</v>
      </c>
      <c r="C138" s="14" t="s">
        <v>20</v>
      </c>
      <c r="G138" s="28">
        <v>42627</v>
      </c>
      <c r="H138" s="16">
        <v>2016</v>
      </c>
      <c r="I138" s="135" t="s">
        <v>33</v>
      </c>
      <c r="J138" s="135">
        <v>10</v>
      </c>
      <c r="K138" s="136">
        <v>1.16434827408554</v>
      </c>
      <c r="L138" s="5">
        <v>3.5887980332424698</v>
      </c>
      <c r="M138" s="5">
        <v>0.12750635413724937</v>
      </c>
      <c r="N138" s="5">
        <v>1.3024569330697544</v>
      </c>
      <c r="O138" s="5">
        <v>4.3155888167184413</v>
      </c>
      <c r="P138" s="5">
        <v>1.5372776051962724</v>
      </c>
      <c r="Q138" s="5">
        <v>8.3256265781441847</v>
      </c>
      <c r="R138" s="5">
        <v>4.2278025499559302</v>
      </c>
      <c r="S138" s="5">
        <v>2.4538266026546176</v>
      </c>
      <c r="T138" s="5">
        <v>22.290085439876453</v>
      </c>
      <c r="U138" s="17">
        <f t="shared" si="11"/>
        <v>89.117699130782384</v>
      </c>
      <c r="V138" s="5" t="s">
        <v>74</v>
      </c>
      <c r="W138" s="5">
        <v>0.11567622206152006</v>
      </c>
      <c r="X138" s="5">
        <v>5.3375140145840466E-2</v>
      </c>
      <c r="Y138" s="5">
        <v>2.9917073636124961E-2</v>
      </c>
      <c r="Z138" s="5">
        <v>4.481203167653823E-2</v>
      </c>
      <c r="AA138" s="5" t="s">
        <v>75</v>
      </c>
      <c r="AB138" s="5">
        <v>3.6294050825534524E-2</v>
      </c>
      <c r="AC138" s="5" t="s">
        <v>69</v>
      </c>
      <c r="AD138" s="5">
        <v>0.28007451834555824</v>
      </c>
      <c r="AE138" s="17">
        <f t="shared" si="9"/>
        <v>0.23526248666902</v>
      </c>
      <c r="AF138" s="5" t="s">
        <v>65</v>
      </c>
      <c r="AG138" s="18" t="s">
        <v>158</v>
      </c>
      <c r="AH138" s="18">
        <v>3.5701480904130944</v>
      </c>
      <c r="AI138" s="5" t="s">
        <v>46</v>
      </c>
      <c r="AJ138" s="5" t="s">
        <v>69</v>
      </c>
      <c r="AK138" s="5" t="s">
        <v>56</v>
      </c>
      <c r="AL138" s="5" t="s">
        <v>65</v>
      </c>
      <c r="AM138" s="5" t="s">
        <v>65</v>
      </c>
      <c r="AN138" s="5">
        <v>0.25042868277474667</v>
      </c>
      <c r="AO138" s="5">
        <v>4.6297739672642252E-2</v>
      </c>
      <c r="AP138" s="5" t="s">
        <v>71</v>
      </c>
      <c r="AQ138" s="5">
        <v>0.22743569758378801</v>
      </c>
      <c r="AR138" s="5">
        <v>7.0038971161340613E-2</v>
      </c>
      <c r="AS138" s="5" t="s">
        <v>158</v>
      </c>
      <c r="AT138" s="5" t="s">
        <v>158</v>
      </c>
      <c r="AU138" s="5" t="s">
        <v>158</v>
      </c>
      <c r="AV138" s="5" t="s">
        <v>158</v>
      </c>
      <c r="AW138" s="5" t="s">
        <v>158</v>
      </c>
      <c r="BC138" s="5">
        <v>59.335231516056758</v>
      </c>
      <c r="BD138" s="5" t="s">
        <v>126</v>
      </c>
      <c r="BE138" s="5" t="s">
        <v>65</v>
      </c>
      <c r="BF138" s="5">
        <v>5.7318894697535483E-2</v>
      </c>
      <c r="BG138" s="5" t="s">
        <v>69</v>
      </c>
      <c r="BH138" s="5">
        <v>0.26624346527259152</v>
      </c>
      <c r="BI138" s="5">
        <v>2.7853808812546679</v>
      </c>
      <c r="BJ138" s="5">
        <v>0.8644510828976848</v>
      </c>
      <c r="BK138" s="5" t="s">
        <v>71</v>
      </c>
      <c r="BL138" s="5">
        <v>2.9746079163554895</v>
      </c>
      <c r="BM138" s="5">
        <v>0.36255601194921583</v>
      </c>
      <c r="BN138" s="17">
        <v>210</v>
      </c>
      <c r="BO138" s="5" t="s">
        <v>158</v>
      </c>
      <c r="BP138" s="5" t="s">
        <v>158</v>
      </c>
      <c r="BQ138" s="5" t="s">
        <v>158</v>
      </c>
      <c r="BR138" s="5" t="s">
        <v>158</v>
      </c>
      <c r="BS138" s="5" t="s">
        <v>158</v>
      </c>
      <c r="BT138" s="5" t="s">
        <v>158</v>
      </c>
      <c r="BU138" s="5" t="s">
        <v>158</v>
      </c>
      <c r="BV138" s="5" t="s">
        <v>158</v>
      </c>
      <c r="BW138" s="5" t="s">
        <v>158</v>
      </c>
      <c r="BX138" s="5" t="s">
        <v>158</v>
      </c>
      <c r="BY138" s="5" t="s">
        <v>158</v>
      </c>
      <c r="BZ138" s="5" t="s">
        <v>158</v>
      </c>
      <c r="CA138" s="5" t="s">
        <v>158</v>
      </c>
      <c r="CB138" s="5" t="s">
        <v>158</v>
      </c>
      <c r="CC138" s="5" t="s">
        <v>158</v>
      </c>
      <c r="CD138" s="5" t="s">
        <v>158</v>
      </c>
      <c r="CE138" s="5" t="s">
        <v>158</v>
      </c>
      <c r="CF138" s="5" t="s">
        <v>158</v>
      </c>
      <c r="CG138" s="5" t="s">
        <v>158</v>
      </c>
      <c r="CH138" s="5" t="s">
        <v>158</v>
      </c>
      <c r="CI138" s="17" t="s">
        <v>158</v>
      </c>
      <c r="CJ138" s="17" t="s">
        <v>158</v>
      </c>
      <c r="CK138" s="17" t="s">
        <v>158</v>
      </c>
      <c r="CL138" s="17" t="s">
        <v>158</v>
      </c>
      <c r="CM138" s="17" t="s">
        <v>158</v>
      </c>
      <c r="CN138" s="17" t="s">
        <v>158</v>
      </c>
      <c r="CO138" s="17" t="s">
        <v>158</v>
      </c>
      <c r="CP138" s="17" t="s">
        <v>158</v>
      </c>
      <c r="CQ138" s="17" t="s">
        <v>158</v>
      </c>
      <c r="CR138" s="17" t="s">
        <v>158</v>
      </c>
      <c r="CS138" s="17" t="s">
        <v>158</v>
      </c>
      <c r="CT138" s="17" t="s">
        <v>158</v>
      </c>
      <c r="CU138" s="17" t="s">
        <v>158</v>
      </c>
      <c r="CV138" s="17" t="s">
        <v>158</v>
      </c>
      <c r="CW138" s="17" t="s">
        <v>158</v>
      </c>
      <c r="CX138" s="17" t="s">
        <v>158</v>
      </c>
      <c r="CY138" s="67" t="s">
        <v>158</v>
      </c>
    </row>
    <row r="139" spans="1:103" x14ac:dyDescent="0.2">
      <c r="A139" s="32" t="s">
        <v>27</v>
      </c>
      <c r="B139" s="14" t="s">
        <v>27</v>
      </c>
      <c r="C139" s="14" t="s">
        <v>20</v>
      </c>
      <c r="G139" s="28">
        <v>42631</v>
      </c>
      <c r="H139" s="16">
        <v>2016</v>
      </c>
      <c r="I139" s="135" t="s">
        <v>33</v>
      </c>
      <c r="J139" s="135">
        <v>10</v>
      </c>
      <c r="K139" s="136">
        <v>0.85147661133865715</v>
      </c>
      <c r="L139" s="5">
        <v>3.35591784882488</v>
      </c>
      <c r="M139" s="5">
        <v>7.9529872673849172E-2</v>
      </c>
      <c r="N139" s="5">
        <v>0.23006856023506367</v>
      </c>
      <c r="O139" s="5">
        <v>0.392458374142997</v>
      </c>
      <c r="P139" s="5">
        <v>0.385896180215475</v>
      </c>
      <c r="Q139" s="5">
        <v>0.7269343780607247</v>
      </c>
      <c r="R139" s="5">
        <v>0.61704211557296762</v>
      </c>
      <c r="S139" s="5">
        <v>0.23643486777668951</v>
      </c>
      <c r="T139" s="5">
        <v>2.6683643486777666</v>
      </c>
      <c r="U139" s="17">
        <f t="shared" si="11"/>
        <v>13.402999789236064</v>
      </c>
      <c r="V139" s="5" t="s">
        <v>59</v>
      </c>
      <c r="W139" s="5">
        <v>3.7996350584967413E-2</v>
      </c>
      <c r="X139" s="5">
        <v>1.3057165149473337E-2</v>
      </c>
      <c r="Y139" s="5" t="s">
        <v>62</v>
      </c>
      <c r="Z139" s="5">
        <v>3.3687486085641212E-2</v>
      </c>
      <c r="AA139" s="5" t="s">
        <v>56</v>
      </c>
      <c r="AB139" s="5">
        <v>2.2066609102609942E-2</v>
      </c>
      <c r="AC139" s="5" t="s">
        <v>65</v>
      </c>
      <c r="AD139" s="5">
        <v>0.10680761092269189</v>
      </c>
      <c r="AE139" s="17">
        <f t="shared" si="9"/>
        <v>7.3120124837050687E-2</v>
      </c>
      <c r="AF139" s="5" t="s">
        <v>65</v>
      </c>
      <c r="AG139" s="18" t="s">
        <v>158</v>
      </c>
      <c r="AH139" s="18">
        <v>9.4225273852992526</v>
      </c>
      <c r="AI139" s="5" t="s">
        <v>46</v>
      </c>
      <c r="AJ139" s="5" t="s">
        <v>69</v>
      </c>
      <c r="AK139" s="5" t="s">
        <v>56</v>
      </c>
      <c r="AL139" s="5" t="s">
        <v>65</v>
      </c>
      <c r="AM139" s="5" t="s">
        <v>65</v>
      </c>
      <c r="AN139" s="5">
        <v>0.35426258136212097</v>
      </c>
      <c r="AO139" s="5">
        <v>5.1119225273853E-2</v>
      </c>
      <c r="AP139" s="5" t="s">
        <v>71</v>
      </c>
      <c r="AQ139" s="5">
        <v>0.25146848706143832</v>
      </c>
      <c r="AR139" s="5" t="s">
        <v>71</v>
      </c>
      <c r="AS139" s="5" t="s">
        <v>158</v>
      </c>
      <c r="AT139" s="5" t="s">
        <v>158</v>
      </c>
      <c r="AU139" s="5" t="s">
        <v>158</v>
      </c>
      <c r="AV139" s="5" t="s">
        <v>158</v>
      </c>
      <c r="AW139" s="5" t="s">
        <v>158</v>
      </c>
      <c r="BC139" s="5">
        <v>150</v>
      </c>
      <c r="BD139" s="5" t="s">
        <v>126</v>
      </c>
      <c r="BE139" s="5" t="s">
        <v>65</v>
      </c>
      <c r="BF139" s="5">
        <v>4.5298165137614685E-2</v>
      </c>
      <c r="BG139" s="5" t="s">
        <v>69</v>
      </c>
      <c r="BH139" s="5">
        <v>0.67392966360856277</v>
      </c>
      <c r="BI139" s="5">
        <v>4.2466551987767591</v>
      </c>
      <c r="BJ139" s="5">
        <v>0.88685015290519875</v>
      </c>
      <c r="BK139" s="5" t="s">
        <v>71</v>
      </c>
      <c r="BL139" s="5">
        <v>3.6185015290519877</v>
      </c>
      <c r="BM139" s="5">
        <v>0.13299885321100918</v>
      </c>
      <c r="BN139" s="17">
        <v>67</v>
      </c>
      <c r="BO139" s="5" t="s">
        <v>158</v>
      </c>
      <c r="BP139" s="5" t="s">
        <v>158</v>
      </c>
      <c r="BQ139" s="5" t="s">
        <v>158</v>
      </c>
      <c r="BR139" s="5" t="s">
        <v>158</v>
      </c>
      <c r="BS139" s="5" t="s">
        <v>158</v>
      </c>
      <c r="BT139" s="5" t="s">
        <v>158</v>
      </c>
      <c r="BU139" s="5" t="s">
        <v>158</v>
      </c>
      <c r="BV139" s="5" t="s">
        <v>158</v>
      </c>
      <c r="BW139" s="5" t="s">
        <v>158</v>
      </c>
      <c r="BX139" s="5" t="s">
        <v>158</v>
      </c>
      <c r="BY139" s="5" t="s">
        <v>158</v>
      </c>
      <c r="BZ139" s="5" t="s">
        <v>158</v>
      </c>
      <c r="CA139" s="5" t="s">
        <v>158</v>
      </c>
      <c r="CB139" s="5" t="s">
        <v>158</v>
      </c>
      <c r="CC139" s="5" t="s">
        <v>158</v>
      </c>
      <c r="CD139" s="5" t="s">
        <v>158</v>
      </c>
      <c r="CE139" s="5" t="s">
        <v>158</v>
      </c>
      <c r="CF139" s="5" t="s">
        <v>158</v>
      </c>
      <c r="CG139" s="5" t="s">
        <v>158</v>
      </c>
      <c r="CH139" s="5" t="s">
        <v>158</v>
      </c>
      <c r="CI139" s="17" t="s">
        <v>158</v>
      </c>
      <c r="CJ139" s="17" t="s">
        <v>158</v>
      </c>
      <c r="CK139" s="17" t="s">
        <v>158</v>
      </c>
      <c r="CL139" s="17" t="s">
        <v>158</v>
      </c>
      <c r="CM139" s="17" t="s">
        <v>158</v>
      </c>
      <c r="CN139" s="17" t="s">
        <v>158</v>
      </c>
      <c r="CO139" s="17" t="s">
        <v>158</v>
      </c>
      <c r="CP139" s="17" t="s">
        <v>158</v>
      </c>
      <c r="CQ139" s="17" t="s">
        <v>158</v>
      </c>
      <c r="CR139" s="17" t="s">
        <v>158</v>
      </c>
      <c r="CS139" s="17" t="s">
        <v>158</v>
      </c>
      <c r="CT139" s="17" t="s">
        <v>158</v>
      </c>
      <c r="CU139" s="17" t="s">
        <v>158</v>
      </c>
      <c r="CV139" s="17" t="s">
        <v>158</v>
      </c>
      <c r="CW139" s="17" t="s">
        <v>158</v>
      </c>
      <c r="CX139" s="17" t="s">
        <v>158</v>
      </c>
      <c r="CY139" s="67" t="s">
        <v>158</v>
      </c>
    </row>
    <row r="140" spans="1:103" x14ac:dyDescent="0.2">
      <c r="A140" s="32" t="s">
        <v>28</v>
      </c>
      <c r="B140" s="14" t="s">
        <v>28</v>
      </c>
      <c r="C140" s="14" t="s">
        <v>20</v>
      </c>
      <c r="G140" s="28">
        <v>42625</v>
      </c>
      <c r="H140" s="16">
        <v>2016</v>
      </c>
      <c r="I140" s="135" t="s">
        <v>33</v>
      </c>
      <c r="J140" s="135">
        <v>10</v>
      </c>
      <c r="K140" s="136">
        <v>0.91037831276552605</v>
      </c>
      <c r="L140" s="5">
        <v>3.2172423636882699</v>
      </c>
      <c r="M140" s="5">
        <v>0.15026056745801969</v>
      </c>
      <c r="N140" s="5">
        <v>0.55896545068519587</v>
      </c>
      <c r="O140" s="5">
        <v>1.9866821077012158</v>
      </c>
      <c r="P140" s="5">
        <v>1.5251881876085698</v>
      </c>
      <c r="Q140" s="5">
        <v>3.376375217139548</v>
      </c>
      <c r="R140" s="5">
        <v>3.1627099015634044</v>
      </c>
      <c r="S140" s="5">
        <v>0.96303802354757762</v>
      </c>
      <c r="T140" s="5">
        <v>11.72321945570353</v>
      </c>
      <c r="U140" s="17">
        <f t="shared" si="11"/>
        <v>56.00985395354828</v>
      </c>
      <c r="V140" s="5" t="s">
        <v>59</v>
      </c>
      <c r="W140" s="5">
        <v>0.14400579873006539</v>
      </c>
      <c r="X140" s="5">
        <v>4.5196918922819775E-2</v>
      </c>
      <c r="Y140" s="5">
        <v>6.7998968109107216E-2</v>
      </c>
      <c r="Z140" s="5">
        <v>2.3752134569049427E-2</v>
      </c>
      <c r="AA140" s="5">
        <v>2.7959655549852469E-2</v>
      </c>
      <c r="AB140" s="5">
        <v>3.5560338611948288E-2</v>
      </c>
      <c r="AC140" s="5" t="s">
        <v>65</v>
      </c>
      <c r="AD140" s="5">
        <v>0.34447381449284259</v>
      </c>
      <c r="AE140" s="17">
        <f t="shared" si="9"/>
        <v>0.32072167992379313</v>
      </c>
      <c r="AF140" s="5" t="s">
        <v>65</v>
      </c>
      <c r="AG140" s="18" t="s">
        <v>158</v>
      </c>
      <c r="AH140" s="18">
        <v>7.7002870028700281</v>
      </c>
      <c r="AI140" s="5" t="s">
        <v>46</v>
      </c>
      <c r="AJ140" s="5" t="s">
        <v>69</v>
      </c>
      <c r="AK140" s="5" t="s">
        <v>56</v>
      </c>
      <c r="AL140" s="5" t="s">
        <v>65</v>
      </c>
      <c r="AM140" s="5" t="s">
        <v>65</v>
      </c>
      <c r="AN140" s="5">
        <v>0.34218942189421891</v>
      </c>
      <c r="AO140" s="5">
        <v>4.1738417384173838E-2</v>
      </c>
      <c r="AP140" s="5" t="s">
        <v>71</v>
      </c>
      <c r="AQ140" s="5">
        <v>0.37457974579745795</v>
      </c>
      <c r="AR140" s="5" t="s">
        <v>71</v>
      </c>
      <c r="AS140" s="5" t="s">
        <v>158</v>
      </c>
      <c r="AT140" s="5" t="s">
        <v>158</v>
      </c>
      <c r="AU140" s="5" t="s">
        <v>158</v>
      </c>
      <c r="AV140" s="5" t="s">
        <v>158</v>
      </c>
      <c r="AW140" s="5" t="s">
        <v>158</v>
      </c>
      <c r="BC140" s="5">
        <v>130</v>
      </c>
      <c r="BD140" s="5" t="s">
        <v>126</v>
      </c>
      <c r="BE140" s="5" t="s">
        <v>65</v>
      </c>
      <c r="BF140" s="5">
        <v>0.11527265670483215</v>
      </c>
      <c r="BG140" s="5" t="s">
        <v>69</v>
      </c>
      <c r="BH140" s="5">
        <v>0.84339219871919269</v>
      </c>
      <c r="BI140" s="5">
        <v>4.6998835629730253</v>
      </c>
      <c r="BJ140" s="5">
        <v>1.2885697651853287</v>
      </c>
      <c r="BK140" s="5" t="s">
        <v>71</v>
      </c>
      <c r="BL140" s="5">
        <v>3.7321948379584708</v>
      </c>
      <c r="BM140" s="5">
        <v>0.26622355909179118</v>
      </c>
      <c r="BN140" s="17">
        <v>96</v>
      </c>
      <c r="BO140" s="5" t="s">
        <v>158</v>
      </c>
      <c r="BP140" s="5" t="s">
        <v>158</v>
      </c>
      <c r="BQ140" s="5" t="s">
        <v>158</v>
      </c>
      <c r="BR140" s="5" t="s">
        <v>158</v>
      </c>
      <c r="BS140" s="5" t="s">
        <v>158</v>
      </c>
      <c r="BT140" s="5" t="s">
        <v>158</v>
      </c>
      <c r="BU140" s="5" t="s">
        <v>158</v>
      </c>
      <c r="BV140" s="5" t="s">
        <v>158</v>
      </c>
      <c r="BW140" s="5" t="s">
        <v>158</v>
      </c>
      <c r="BX140" s="5" t="s">
        <v>158</v>
      </c>
      <c r="BY140" s="5" t="s">
        <v>158</v>
      </c>
      <c r="BZ140" s="5" t="s">
        <v>158</v>
      </c>
      <c r="CA140" s="5" t="s">
        <v>158</v>
      </c>
      <c r="CB140" s="5" t="s">
        <v>158</v>
      </c>
      <c r="CC140" s="5" t="s">
        <v>158</v>
      </c>
      <c r="CD140" s="5" t="s">
        <v>158</v>
      </c>
      <c r="CE140" s="5" t="s">
        <v>158</v>
      </c>
      <c r="CF140" s="5" t="s">
        <v>158</v>
      </c>
      <c r="CG140" s="5" t="s">
        <v>158</v>
      </c>
      <c r="CH140" s="5" t="s">
        <v>158</v>
      </c>
      <c r="CI140" s="17" t="s">
        <v>158</v>
      </c>
      <c r="CJ140" s="17" t="s">
        <v>158</v>
      </c>
      <c r="CK140" s="17" t="s">
        <v>158</v>
      </c>
      <c r="CL140" s="17" t="s">
        <v>158</v>
      </c>
      <c r="CM140" s="17" t="s">
        <v>158</v>
      </c>
      <c r="CN140" s="17" t="s">
        <v>158</v>
      </c>
      <c r="CO140" s="17" t="s">
        <v>158</v>
      </c>
      <c r="CP140" s="17" t="s">
        <v>158</v>
      </c>
      <c r="CQ140" s="17" t="s">
        <v>158</v>
      </c>
      <c r="CR140" s="17" t="s">
        <v>158</v>
      </c>
      <c r="CS140" s="17" t="s">
        <v>158</v>
      </c>
      <c r="CT140" s="17" t="s">
        <v>158</v>
      </c>
      <c r="CU140" s="17" t="s">
        <v>158</v>
      </c>
      <c r="CV140" s="17" t="s">
        <v>158</v>
      </c>
      <c r="CW140" s="17" t="s">
        <v>158</v>
      </c>
      <c r="CX140" s="17" t="s">
        <v>158</v>
      </c>
      <c r="CY140" s="67" t="s">
        <v>158</v>
      </c>
    </row>
    <row r="141" spans="1:103" x14ac:dyDescent="0.2">
      <c r="A141" s="32" t="s">
        <v>4</v>
      </c>
      <c r="B141" s="14" t="s">
        <v>4</v>
      </c>
      <c r="C141" s="14" t="s">
        <v>20</v>
      </c>
      <c r="G141" s="28">
        <v>42624</v>
      </c>
      <c r="H141" s="16">
        <v>2016</v>
      </c>
      <c r="I141" s="135" t="s">
        <v>33</v>
      </c>
      <c r="J141" s="135">
        <v>14</v>
      </c>
      <c r="K141" s="136">
        <v>0.96251266464033092</v>
      </c>
      <c r="L141" s="5">
        <v>3.1604718450923501</v>
      </c>
      <c r="M141" s="5">
        <v>0.10370961308336657</v>
      </c>
      <c r="N141" s="5">
        <v>0.5758875149581173</v>
      </c>
      <c r="O141" s="5">
        <v>2.7869964100518545</v>
      </c>
      <c r="P141" s="5">
        <v>2.3708615875548462</v>
      </c>
      <c r="Q141" s="5">
        <v>6.4</v>
      </c>
      <c r="R141" s="5">
        <v>5.7</v>
      </c>
      <c r="S141" s="5">
        <v>1.6718189070602314</v>
      </c>
      <c r="T141" s="5">
        <v>19.609274032708417</v>
      </c>
      <c r="U141" s="17">
        <f t="shared" si="11"/>
        <v>89.549016228244511</v>
      </c>
      <c r="V141" s="5" t="s">
        <v>59</v>
      </c>
      <c r="W141" s="5">
        <v>0.19383285346921655</v>
      </c>
      <c r="X141" s="5">
        <v>8.0440634189724872E-2</v>
      </c>
      <c r="Y141" s="5">
        <v>0.21676974112974051</v>
      </c>
      <c r="Z141" s="5">
        <v>2.4229106683652069E-2</v>
      </c>
      <c r="AA141" s="5">
        <v>3.4082276735003907E-2</v>
      </c>
      <c r="AB141" s="5">
        <v>3.6020605269696075E-2</v>
      </c>
      <c r="AC141" s="5" t="s">
        <v>65</v>
      </c>
      <c r="AD141" s="5">
        <v>0.58537521747703392</v>
      </c>
      <c r="AE141" s="17">
        <f t="shared" si="9"/>
        <v>0.56114611079338184</v>
      </c>
      <c r="AF141" s="5" t="s">
        <v>65</v>
      </c>
      <c r="AG141" s="18" t="s">
        <v>158</v>
      </c>
      <c r="AH141" s="18">
        <v>9.8341049382716044</v>
      </c>
      <c r="AI141" s="5" t="s">
        <v>46</v>
      </c>
      <c r="AJ141" s="5" t="s">
        <v>69</v>
      </c>
      <c r="AK141" s="5" t="s">
        <v>56</v>
      </c>
      <c r="AL141" s="5" t="s">
        <v>65</v>
      </c>
      <c r="AM141" s="5" t="s">
        <v>65</v>
      </c>
      <c r="AN141" s="5">
        <v>0.48894032921810698</v>
      </c>
      <c r="AO141" s="5">
        <v>0.10751028806584362</v>
      </c>
      <c r="AP141" s="5" t="s">
        <v>71</v>
      </c>
      <c r="AQ141" s="5">
        <v>0.30932784636488336</v>
      </c>
      <c r="AR141" s="5">
        <v>6.3237311385459516E-2</v>
      </c>
      <c r="AS141" s="5" t="s">
        <v>158</v>
      </c>
      <c r="AT141" s="5" t="s">
        <v>158</v>
      </c>
      <c r="AU141" s="5" t="s">
        <v>158</v>
      </c>
      <c r="AV141" s="5" t="s">
        <v>158</v>
      </c>
      <c r="AW141" s="5" t="s">
        <v>158</v>
      </c>
      <c r="BC141" s="5">
        <v>170.29438510392612</v>
      </c>
      <c r="BD141" s="5" t="s">
        <v>126</v>
      </c>
      <c r="BE141" s="5" t="s">
        <v>65</v>
      </c>
      <c r="BF141" s="5" t="s">
        <v>56</v>
      </c>
      <c r="BG141" s="5" t="s">
        <v>69</v>
      </c>
      <c r="BH141" s="5">
        <v>0.49740184757505779</v>
      </c>
      <c r="BI141" s="5">
        <v>5.5020929561200926</v>
      </c>
      <c r="BJ141" s="5">
        <v>1.5617782909930717</v>
      </c>
      <c r="BK141" s="5" t="s">
        <v>71</v>
      </c>
      <c r="BL141" s="5">
        <v>5.4318706697459582</v>
      </c>
      <c r="BM141" s="5">
        <v>0.2225534064665127</v>
      </c>
      <c r="BN141" s="17">
        <v>89</v>
      </c>
      <c r="BO141" s="5" t="s">
        <v>158</v>
      </c>
      <c r="BP141" s="5" t="s">
        <v>158</v>
      </c>
      <c r="BQ141" s="5" t="s">
        <v>158</v>
      </c>
      <c r="BR141" s="5" t="s">
        <v>158</v>
      </c>
      <c r="BS141" s="5" t="s">
        <v>158</v>
      </c>
      <c r="BT141" s="5" t="s">
        <v>158</v>
      </c>
      <c r="BU141" s="5" t="s">
        <v>158</v>
      </c>
      <c r="BV141" s="5" t="s">
        <v>158</v>
      </c>
      <c r="BW141" s="5" t="s">
        <v>158</v>
      </c>
      <c r="BX141" s="5" t="s">
        <v>158</v>
      </c>
      <c r="BY141" s="5" t="s">
        <v>158</v>
      </c>
      <c r="BZ141" s="5" t="s">
        <v>158</v>
      </c>
      <c r="CA141" s="5" t="s">
        <v>158</v>
      </c>
      <c r="CB141" s="5" t="s">
        <v>158</v>
      </c>
      <c r="CC141" s="5" t="s">
        <v>158</v>
      </c>
      <c r="CD141" s="5" t="s">
        <v>158</v>
      </c>
      <c r="CE141" s="5" t="s">
        <v>158</v>
      </c>
      <c r="CF141" s="5" t="s">
        <v>158</v>
      </c>
      <c r="CG141" s="5" t="s">
        <v>158</v>
      </c>
      <c r="CH141" s="5" t="s">
        <v>158</v>
      </c>
      <c r="CI141" s="17" t="s">
        <v>158</v>
      </c>
      <c r="CJ141" s="17" t="s">
        <v>158</v>
      </c>
      <c r="CK141" s="17" t="s">
        <v>158</v>
      </c>
      <c r="CL141" s="17" t="s">
        <v>158</v>
      </c>
      <c r="CM141" s="17" t="s">
        <v>158</v>
      </c>
      <c r="CN141" s="17" t="s">
        <v>158</v>
      </c>
      <c r="CO141" s="17" t="s">
        <v>158</v>
      </c>
      <c r="CP141" s="17" t="s">
        <v>158</v>
      </c>
      <c r="CQ141" s="17" t="s">
        <v>158</v>
      </c>
      <c r="CR141" s="17" t="s">
        <v>158</v>
      </c>
      <c r="CS141" s="17" t="s">
        <v>158</v>
      </c>
      <c r="CT141" s="17" t="s">
        <v>158</v>
      </c>
      <c r="CU141" s="17" t="s">
        <v>158</v>
      </c>
      <c r="CV141" s="17" t="s">
        <v>158</v>
      </c>
      <c r="CW141" s="17" t="s">
        <v>158</v>
      </c>
      <c r="CX141" s="17" t="s">
        <v>158</v>
      </c>
      <c r="CY141" s="67" t="s">
        <v>158</v>
      </c>
    </row>
    <row r="142" spans="1:103" x14ac:dyDescent="0.2">
      <c r="A142" s="32" t="s">
        <v>32</v>
      </c>
      <c r="B142" s="14" t="s">
        <v>32</v>
      </c>
      <c r="C142" s="14" t="s">
        <v>31</v>
      </c>
      <c r="G142" s="16" t="s">
        <v>31</v>
      </c>
      <c r="H142" s="16">
        <v>2015</v>
      </c>
      <c r="I142" s="135" t="s">
        <v>3</v>
      </c>
      <c r="J142" s="135" t="s">
        <v>158</v>
      </c>
      <c r="K142" s="136" t="s">
        <v>158</v>
      </c>
      <c r="L142" s="5" t="s">
        <v>158</v>
      </c>
      <c r="M142" s="6">
        <v>0.04</v>
      </c>
      <c r="N142" s="6">
        <v>0.05</v>
      </c>
      <c r="O142" s="6">
        <v>0.04</v>
      </c>
      <c r="P142" s="6">
        <v>0.03</v>
      </c>
      <c r="Q142" s="6">
        <v>0.03</v>
      </c>
      <c r="R142" s="6">
        <v>0.03</v>
      </c>
      <c r="S142" s="6">
        <v>0.03</v>
      </c>
      <c r="T142" s="6" t="s">
        <v>158</v>
      </c>
      <c r="U142" s="17" t="s">
        <v>158</v>
      </c>
      <c r="V142" s="6">
        <v>2.5000000000000001E-2</v>
      </c>
      <c r="W142" s="6">
        <v>0.02</v>
      </c>
      <c r="X142" s="6">
        <v>0.02</v>
      </c>
      <c r="Y142" s="6">
        <v>0.02</v>
      </c>
      <c r="Z142" s="6">
        <v>2.5000000000000001E-2</v>
      </c>
      <c r="AA142" s="6">
        <v>2.5000000000000001E-2</v>
      </c>
      <c r="AB142" s="6">
        <v>2.5000000000000001E-2</v>
      </c>
      <c r="AC142" s="6">
        <v>0.1</v>
      </c>
      <c r="AD142" s="6" t="s">
        <v>158</v>
      </c>
      <c r="AE142" s="24">
        <v>0.1</v>
      </c>
      <c r="AF142" s="5">
        <v>0.1</v>
      </c>
      <c r="AG142" s="18" t="s">
        <v>158</v>
      </c>
      <c r="AH142" s="18">
        <v>0.1</v>
      </c>
      <c r="AI142" s="5">
        <v>0.1</v>
      </c>
      <c r="AJ142" s="5">
        <v>0.02</v>
      </c>
      <c r="AK142" s="5">
        <v>0.1</v>
      </c>
      <c r="AL142" s="5">
        <v>0.1</v>
      </c>
      <c r="AM142" s="5">
        <v>0.1</v>
      </c>
      <c r="AN142" s="5">
        <v>0.05</v>
      </c>
      <c r="AO142" s="5">
        <v>0.01</v>
      </c>
      <c r="AP142" s="5">
        <v>0.1</v>
      </c>
      <c r="AQ142" s="5">
        <v>0.02</v>
      </c>
      <c r="AR142" s="5">
        <v>0.1</v>
      </c>
      <c r="AS142" s="5" t="s">
        <v>158</v>
      </c>
      <c r="AT142" s="5" t="s">
        <v>158</v>
      </c>
      <c r="AU142" s="5" t="s">
        <v>158</v>
      </c>
      <c r="AV142" s="5" t="s">
        <v>158</v>
      </c>
      <c r="AW142" s="5" t="s">
        <v>158</v>
      </c>
      <c r="BC142" s="5">
        <v>0.1</v>
      </c>
      <c r="BD142" s="5">
        <v>0.1</v>
      </c>
      <c r="BE142" s="5">
        <v>0.02</v>
      </c>
      <c r="BF142" s="5">
        <v>0.1</v>
      </c>
      <c r="BG142" s="5">
        <v>0.05</v>
      </c>
      <c r="BH142" s="5">
        <v>0.1</v>
      </c>
      <c r="BI142" s="5">
        <v>0.05</v>
      </c>
      <c r="BJ142" s="5">
        <v>0.01</v>
      </c>
      <c r="BK142" s="5">
        <v>0.1</v>
      </c>
      <c r="BL142" s="5">
        <v>0.02</v>
      </c>
      <c r="BM142" s="6">
        <v>0.04</v>
      </c>
      <c r="BN142" s="24"/>
      <c r="BO142" s="5" t="s">
        <v>158</v>
      </c>
      <c r="BP142" s="5" t="s">
        <v>158</v>
      </c>
      <c r="BQ142" s="5" t="s">
        <v>158</v>
      </c>
      <c r="BR142" s="5" t="s">
        <v>158</v>
      </c>
      <c r="BS142" s="5" t="s">
        <v>158</v>
      </c>
      <c r="BT142" s="5" t="s">
        <v>158</v>
      </c>
      <c r="BU142" s="5" t="s">
        <v>158</v>
      </c>
      <c r="BV142" s="5" t="s">
        <v>158</v>
      </c>
      <c r="BW142" s="5" t="s">
        <v>158</v>
      </c>
      <c r="BX142" s="5" t="s">
        <v>158</v>
      </c>
      <c r="BY142" s="5" t="s">
        <v>158</v>
      </c>
      <c r="BZ142" s="5" t="s">
        <v>158</v>
      </c>
      <c r="CA142" s="5" t="s">
        <v>158</v>
      </c>
      <c r="CB142" s="5" t="s">
        <v>158</v>
      </c>
      <c r="CC142" s="5" t="s">
        <v>158</v>
      </c>
      <c r="CD142" s="5" t="s">
        <v>158</v>
      </c>
      <c r="CE142" s="5" t="s">
        <v>158</v>
      </c>
      <c r="CF142" s="5" t="s">
        <v>158</v>
      </c>
      <c r="CG142" s="5" t="s">
        <v>158</v>
      </c>
      <c r="CH142" s="5" t="s">
        <v>158</v>
      </c>
      <c r="CI142" s="17" t="s">
        <v>158</v>
      </c>
      <c r="CJ142" s="17" t="s">
        <v>158</v>
      </c>
      <c r="CK142" s="17" t="s">
        <v>158</v>
      </c>
      <c r="CL142" s="17" t="s">
        <v>158</v>
      </c>
      <c r="CM142" s="17" t="s">
        <v>158</v>
      </c>
      <c r="CN142" s="17" t="s">
        <v>158</v>
      </c>
      <c r="CO142" s="17" t="s">
        <v>158</v>
      </c>
      <c r="CP142" s="17" t="s">
        <v>158</v>
      </c>
      <c r="CQ142" s="17" t="s">
        <v>158</v>
      </c>
      <c r="CR142" s="17" t="s">
        <v>158</v>
      </c>
      <c r="CS142" s="17" t="s">
        <v>158</v>
      </c>
      <c r="CT142" s="17" t="s">
        <v>158</v>
      </c>
      <c r="CU142" s="17" t="s">
        <v>158</v>
      </c>
      <c r="CV142" s="17" t="s">
        <v>158</v>
      </c>
      <c r="CW142" s="17" t="s">
        <v>158</v>
      </c>
      <c r="CX142" s="17" t="s">
        <v>158</v>
      </c>
      <c r="CY142" s="67" t="s">
        <v>158</v>
      </c>
    </row>
    <row r="143" spans="1:103" x14ac:dyDescent="0.2">
      <c r="A143" s="32" t="s">
        <v>22</v>
      </c>
      <c r="B143" s="14" t="s">
        <v>22</v>
      </c>
      <c r="C143" s="14" t="s">
        <v>20</v>
      </c>
      <c r="G143" s="28">
        <v>42251</v>
      </c>
      <c r="H143" s="16">
        <v>2015</v>
      </c>
      <c r="I143" s="135" t="s">
        <v>33</v>
      </c>
      <c r="J143" s="135">
        <v>10</v>
      </c>
      <c r="K143" s="136" t="s">
        <v>158</v>
      </c>
      <c r="L143" s="5" t="s">
        <v>158</v>
      </c>
      <c r="M143" s="5">
        <v>0.52</v>
      </c>
      <c r="N143" s="5">
        <v>1.3</v>
      </c>
      <c r="O143" s="5">
        <v>3</v>
      </c>
      <c r="P143" s="5">
        <v>2.4</v>
      </c>
      <c r="Q143" s="5">
        <v>5.5</v>
      </c>
      <c r="R143" s="5">
        <v>4.9000000000000004</v>
      </c>
      <c r="S143" s="5">
        <v>2.6</v>
      </c>
      <c r="T143" s="5">
        <f>SUM(M143:S143)</f>
        <v>20.220000000000002</v>
      </c>
      <c r="U143" s="17" t="s">
        <v>158</v>
      </c>
      <c r="V143" s="5" t="s">
        <v>76</v>
      </c>
      <c r="W143" s="5">
        <v>0.15</v>
      </c>
      <c r="X143" s="5">
        <v>0.1</v>
      </c>
      <c r="Y143" s="5">
        <v>0.16</v>
      </c>
      <c r="Z143" s="5" t="s">
        <v>76</v>
      </c>
      <c r="AA143" s="5">
        <v>0.05</v>
      </c>
      <c r="AB143" s="5">
        <v>3.1E-2</v>
      </c>
      <c r="AC143" s="5" t="s">
        <v>65</v>
      </c>
      <c r="AD143" s="5">
        <f>SUM(V143:AC143)</f>
        <v>0.49099999999999999</v>
      </c>
      <c r="AE143" s="17">
        <f>SUM(V143,W143,Y143,X143,AB143,AA143)</f>
        <v>0.49100000000000005</v>
      </c>
      <c r="AF143" s="5" t="s">
        <v>65</v>
      </c>
      <c r="AG143" s="18" t="s">
        <v>158</v>
      </c>
      <c r="AH143" s="18">
        <v>17.810970636215334</v>
      </c>
      <c r="AI143" s="5" t="s">
        <v>65</v>
      </c>
      <c r="AJ143" s="5" t="s">
        <v>65</v>
      </c>
      <c r="AK143" s="5" t="s">
        <v>56</v>
      </c>
      <c r="AL143" s="5" t="s">
        <v>65</v>
      </c>
      <c r="AM143" s="5" t="s">
        <v>65</v>
      </c>
      <c r="AN143" s="5">
        <v>0.58049806280587268</v>
      </c>
      <c r="AO143" s="5">
        <v>0.35098898858075034</v>
      </c>
      <c r="AP143" s="5" t="s">
        <v>72</v>
      </c>
      <c r="AQ143" s="5">
        <v>0.62009074225122351</v>
      </c>
      <c r="AR143" s="5">
        <v>6.7546900489396419E-2</v>
      </c>
      <c r="AS143" s="5" t="s">
        <v>158</v>
      </c>
      <c r="AT143" s="5" t="s">
        <v>158</v>
      </c>
      <c r="AU143" s="5" t="s">
        <v>158</v>
      </c>
      <c r="AV143" s="5" t="s">
        <v>158</v>
      </c>
      <c r="AW143" s="5" t="s">
        <v>158</v>
      </c>
      <c r="BC143" s="5">
        <v>210</v>
      </c>
      <c r="BD143" s="5" t="s">
        <v>65</v>
      </c>
      <c r="BE143" s="5" t="s">
        <v>65</v>
      </c>
      <c r="BF143" s="5">
        <v>0.14761991279069767</v>
      </c>
      <c r="BG143" s="5" t="s">
        <v>65</v>
      </c>
      <c r="BH143" s="5">
        <v>0.2397937863372093</v>
      </c>
      <c r="BI143" s="5">
        <v>6.5649573037790701</v>
      </c>
      <c r="BJ143" s="5">
        <v>3.7922420058139537</v>
      </c>
      <c r="BK143" s="5" t="s">
        <v>72</v>
      </c>
      <c r="BL143" s="5">
        <v>7.8546239098837223</v>
      </c>
      <c r="BM143" s="5">
        <v>0.34111555232558138</v>
      </c>
      <c r="BN143" s="17">
        <v>110</v>
      </c>
      <c r="BO143" s="5" t="s">
        <v>158</v>
      </c>
      <c r="BP143" s="5" t="s">
        <v>158</v>
      </c>
      <c r="BQ143" s="5" t="s">
        <v>158</v>
      </c>
      <c r="BR143" s="5" t="s">
        <v>158</v>
      </c>
      <c r="BS143" s="5" t="s">
        <v>158</v>
      </c>
      <c r="BT143" s="5" t="s">
        <v>158</v>
      </c>
      <c r="BU143" s="5" t="s">
        <v>158</v>
      </c>
      <c r="BV143" s="5" t="s">
        <v>158</v>
      </c>
      <c r="BW143" s="5" t="s">
        <v>158</v>
      </c>
      <c r="BX143" s="5" t="s">
        <v>158</v>
      </c>
      <c r="BY143" s="5" t="s">
        <v>158</v>
      </c>
      <c r="BZ143" s="5" t="s">
        <v>158</v>
      </c>
      <c r="CA143" s="5" t="s">
        <v>158</v>
      </c>
      <c r="CB143" s="5" t="s">
        <v>158</v>
      </c>
      <c r="CC143" s="5" t="s">
        <v>158</v>
      </c>
      <c r="CD143" s="5" t="s">
        <v>158</v>
      </c>
      <c r="CE143" s="5" t="s">
        <v>158</v>
      </c>
      <c r="CF143" s="5" t="s">
        <v>158</v>
      </c>
      <c r="CG143" s="5" t="s">
        <v>158</v>
      </c>
      <c r="CH143" s="5" t="s">
        <v>158</v>
      </c>
      <c r="CI143" s="17" t="s">
        <v>158</v>
      </c>
      <c r="CJ143" s="17" t="s">
        <v>158</v>
      </c>
      <c r="CK143" s="17" t="s">
        <v>158</v>
      </c>
      <c r="CL143" s="17" t="s">
        <v>158</v>
      </c>
      <c r="CM143" s="17" t="s">
        <v>158</v>
      </c>
      <c r="CN143" s="17" t="s">
        <v>158</v>
      </c>
      <c r="CO143" s="17" t="s">
        <v>158</v>
      </c>
      <c r="CP143" s="17" t="s">
        <v>158</v>
      </c>
      <c r="CQ143" s="17" t="s">
        <v>158</v>
      </c>
      <c r="CR143" s="17" t="s">
        <v>158</v>
      </c>
      <c r="CS143" s="17" t="s">
        <v>158</v>
      </c>
      <c r="CT143" s="17" t="s">
        <v>158</v>
      </c>
      <c r="CU143" s="17" t="s">
        <v>158</v>
      </c>
      <c r="CV143" s="17" t="s">
        <v>158</v>
      </c>
      <c r="CW143" s="17" t="s">
        <v>158</v>
      </c>
      <c r="CX143" s="17" t="s">
        <v>158</v>
      </c>
      <c r="CY143" s="67" t="s">
        <v>158</v>
      </c>
    </row>
    <row r="144" spans="1:103" x14ac:dyDescent="0.2">
      <c r="A144" s="32" t="s">
        <v>112</v>
      </c>
      <c r="B144" s="14" t="s">
        <v>24</v>
      </c>
      <c r="C144" s="14" t="s">
        <v>20</v>
      </c>
      <c r="G144" s="28">
        <v>42244</v>
      </c>
      <c r="H144" s="16">
        <v>2015</v>
      </c>
      <c r="I144" s="135" t="s">
        <v>33</v>
      </c>
      <c r="J144" s="135">
        <v>10</v>
      </c>
      <c r="K144" s="136" t="s">
        <v>158</v>
      </c>
      <c r="L144" s="5" t="s">
        <v>158</v>
      </c>
      <c r="M144" s="5">
        <v>0.56999999999999995</v>
      </c>
      <c r="N144" s="5">
        <v>1.4</v>
      </c>
      <c r="O144" s="5">
        <v>3.4</v>
      </c>
      <c r="P144" s="5">
        <v>2.8</v>
      </c>
      <c r="Q144" s="5">
        <v>5.3</v>
      </c>
      <c r="R144" s="5">
        <v>4.5999999999999996</v>
      </c>
      <c r="S144" s="5">
        <v>2</v>
      </c>
      <c r="T144" s="5">
        <f t="shared" ref="T144:T152" si="12">SUM(M144:S144)</f>
        <v>20.07</v>
      </c>
      <c r="U144" s="17" t="s">
        <v>158</v>
      </c>
      <c r="V144" s="5" t="s">
        <v>77</v>
      </c>
      <c r="W144" s="5">
        <v>0.17</v>
      </c>
      <c r="X144" s="5">
        <v>5.8000000000000003E-2</v>
      </c>
      <c r="Y144" s="5">
        <v>9.0999999999999998E-2</v>
      </c>
      <c r="Z144" s="5" t="s">
        <v>77</v>
      </c>
      <c r="AA144" s="5">
        <v>3.9E-2</v>
      </c>
      <c r="AB144" s="5" t="s">
        <v>77</v>
      </c>
      <c r="AC144" s="5" t="s">
        <v>65</v>
      </c>
      <c r="AD144" s="5">
        <f t="shared" ref="AD144:AD152" si="13">SUM(V144:AC144)</f>
        <v>0.35799999999999998</v>
      </c>
      <c r="AE144" s="17">
        <f t="shared" si="9"/>
        <v>0.35799999999999998</v>
      </c>
      <c r="AF144" s="5" t="s">
        <v>65</v>
      </c>
      <c r="AG144" s="18" t="s">
        <v>158</v>
      </c>
      <c r="AH144" s="18">
        <v>17.067451420029897</v>
      </c>
      <c r="AI144" s="5" t="s">
        <v>65</v>
      </c>
      <c r="AJ144" s="5">
        <v>0.2</v>
      </c>
      <c r="AK144" s="5" t="s">
        <v>56</v>
      </c>
      <c r="AL144" s="5" t="s">
        <v>65</v>
      </c>
      <c r="AM144" s="5" t="s">
        <v>65</v>
      </c>
      <c r="AN144" s="5">
        <v>1.1148659379671151</v>
      </c>
      <c r="AO144" s="5">
        <v>0.57291666666666663</v>
      </c>
      <c r="AP144" s="5" t="s">
        <v>72</v>
      </c>
      <c r="AQ144" s="5">
        <v>1.2548439835575487</v>
      </c>
      <c r="AR144" s="5" t="s">
        <v>56</v>
      </c>
      <c r="AS144" s="5" t="s">
        <v>158</v>
      </c>
      <c r="AT144" s="5" t="s">
        <v>158</v>
      </c>
      <c r="AU144" s="5" t="s">
        <v>158</v>
      </c>
      <c r="AV144" s="5" t="s">
        <v>158</v>
      </c>
      <c r="AW144" s="5" t="s">
        <v>158</v>
      </c>
      <c r="BC144" s="5">
        <v>200</v>
      </c>
      <c r="BD144" s="5" t="s">
        <v>65</v>
      </c>
      <c r="BE144" s="5" t="s">
        <v>65</v>
      </c>
      <c r="BF144" s="5">
        <v>0.28710087082728586</v>
      </c>
      <c r="BG144" s="5" t="s">
        <v>65</v>
      </c>
      <c r="BH144" s="5">
        <v>0.32290003628447023</v>
      </c>
      <c r="BI144" s="5">
        <v>10.093164912917272</v>
      </c>
      <c r="BJ144" s="5">
        <v>2.7707728592162555</v>
      </c>
      <c r="BK144" s="5" t="s">
        <v>72</v>
      </c>
      <c r="BL144" s="5">
        <v>10.510132438316401</v>
      </c>
      <c r="BM144" s="5">
        <v>0.1809687953555878</v>
      </c>
      <c r="BN144" s="17">
        <v>200</v>
      </c>
      <c r="BO144" s="5" t="s">
        <v>158</v>
      </c>
      <c r="BP144" s="5" t="s">
        <v>158</v>
      </c>
      <c r="BQ144" s="5" t="s">
        <v>158</v>
      </c>
      <c r="BR144" s="5" t="s">
        <v>158</v>
      </c>
      <c r="BS144" s="5" t="s">
        <v>158</v>
      </c>
      <c r="BT144" s="5" t="s">
        <v>158</v>
      </c>
      <c r="BU144" s="5" t="s">
        <v>158</v>
      </c>
      <c r="BV144" s="5" t="s">
        <v>158</v>
      </c>
      <c r="BW144" s="5" t="s">
        <v>158</v>
      </c>
      <c r="BX144" s="5" t="s">
        <v>158</v>
      </c>
      <c r="BY144" s="5" t="s">
        <v>158</v>
      </c>
      <c r="BZ144" s="5" t="s">
        <v>158</v>
      </c>
      <c r="CA144" s="5" t="s">
        <v>158</v>
      </c>
      <c r="CB144" s="5" t="s">
        <v>158</v>
      </c>
      <c r="CC144" s="5" t="s">
        <v>158</v>
      </c>
      <c r="CD144" s="5" t="s">
        <v>158</v>
      </c>
      <c r="CE144" s="5" t="s">
        <v>158</v>
      </c>
      <c r="CF144" s="5" t="s">
        <v>158</v>
      </c>
      <c r="CG144" s="5" t="s">
        <v>158</v>
      </c>
      <c r="CH144" s="5" t="s">
        <v>158</v>
      </c>
      <c r="CI144" s="17" t="s">
        <v>158</v>
      </c>
      <c r="CJ144" s="17" t="s">
        <v>158</v>
      </c>
      <c r="CK144" s="17" t="s">
        <v>158</v>
      </c>
      <c r="CL144" s="17" t="s">
        <v>158</v>
      </c>
      <c r="CM144" s="17" t="s">
        <v>158</v>
      </c>
      <c r="CN144" s="17" t="s">
        <v>158</v>
      </c>
      <c r="CO144" s="17" t="s">
        <v>158</v>
      </c>
      <c r="CP144" s="17" t="s">
        <v>158</v>
      </c>
      <c r="CQ144" s="17" t="s">
        <v>158</v>
      </c>
      <c r="CR144" s="17" t="s">
        <v>158</v>
      </c>
      <c r="CS144" s="17" t="s">
        <v>158</v>
      </c>
      <c r="CT144" s="17" t="s">
        <v>158</v>
      </c>
      <c r="CU144" s="17" t="s">
        <v>158</v>
      </c>
      <c r="CV144" s="17" t="s">
        <v>158</v>
      </c>
      <c r="CW144" s="17" t="s">
        <v>158</v>
      </c>
      <c r="CX144" s="17" t="s">
        <v>158</v>
      </c>
      <c r="CY144" s="67" t="s">
        <v>158</v>
      </c>
    </row>
    <row r="145" spans="1:103" x14ac:dyDescent="0.2">
      <c r="A145" s="32" t="s">
        <v>21</v>
      </c>
      <c r="B145" s="14" t="s">
        <v>21</v>
      </c>
      <c r="C145" s="14" t="s">
        <v>20</v>
      </c>
      <c r="G145" s="28">
        <v>42248</v>
      </c>
      <c r="H145" s="16">
        <v>2015</v>
      </c>
      <c r="I145" s="135" t="s">
        <v>33</v>
      </c>
      <c r="J145" s="135">
        <v>10</v>
      </c>
      <c r="K145" s="136" t="s">
        <v>158</v>
      </c>
      <c r="L145" s="5" t="s">
        <v>158</v>
      </c>
      <c r="M145" s="5" t="s">
        <v>39</v>
      </c>
      <c r="N145" s="5" t="s">
        <v>71</v>
      </c>
      <c r="O145" s="5">
        <v>0.6</v>
      </c>
      <c r="P145" s="5">
        <v>0.43</v>
      </c>
      <c r="Q145" s="5">
        <v>1.9</v>
      </c>
      <c r="R145" s="5">
        <v>1.5</v>
      </c>
      <c r="S145" s="5">
        <v>0.88</v>
      </c>
      <c r="T145" s="5">
        <f t="shared" si="12"/>
        <v>5.31</v>
      </c>
      <c r="U145" s="17" t="s">
        <v>158</v>
      </c>
      <c r="V145" s="5" t="s">
        <v>76</v>
      </c>
      <c r="W145" s="5">
        <v>6.0999999999999999E-2</v>
      </c>
      <c r="X145" s="5">
        <v>3.1E-2</v>
      </c>
      <c r="Y145" s="5">
        <v>5.5E-2</v>
      </c>
      <c r="Z145" s="5" t="s">
        <v>76</v>
      </c>
      <c r="AA145" s="5">
        <v>3.4000000000000002E-2</v>
      </c>
      <c r="AB145" s="5" t="s">
        <v>76</v>
      </c>
      <c r="AC145" s="5" t="s">
        <v>65</v>
      </c>
      <c r="AD145" s="5">
        <f t="shared" si="13"/>
        <v>0.18099999999999999</v>
      </c>
      <c r="AE145" s="17">
        <f t="shared" si="9"/>
        <v>0.18099999999999999</v>
      </c>
      <c r="AF145" s="5" t="s">
        <v>65</v>
      </c>
      <c r="AG145" s="18" t="s">
        <v>158</v>
      </c>
      <c r="AH145" s="18">
        <v>29.020143739244862</v>
      </c>
      <c r="AI145" s="5" t="s">
        <v>65</v>
      </c>
      <c r="AJ145" s="5" t="s">
        <v>65</v>
      </c>
      <c r="AK145" s="5" t="s">
        <v>56</v>
      </c>
      <c r="AL145" s="5" t="s">
        <v>65</v>
      </c>
      <c r="AM145" s="5" t="s">
        <v>65</v>
      </c>
      <c r="AN145" s="5">
        <v>1.0358867294260554</v>
      </c>
      <c r="AO145" s="5">
        <v>0.51245065290009106</v>
      </c>
      <c r="AP145" s="5" t="s">
        <v>72</v>
      </c>
      <c r="AQ145" s="5">
        <v>0.65511185342646017</v>
      </c>
      <c r="AR145" s="5">
        <v>0.12324121874683672</v>
      </c>
      <c r="AS145" s="5" t="s">
        <v>158</v>
      </c>
      <c r="AT145" s="5" t="s">
        <v>158</v>
      </c>
      <c r="AU145" s="5" t="s">
        <v>158</v>
      </c>
      <c r="AV145" s="5" t="s">
        <v>158</v>
      </c>
      <c r="AW145" s="5" t="s">
        <v>158</v>
      </c>
      <c r="BC145" s="5">
        <v>520</v>
      </c>
      <c r="BD145" s="5" t="s">
        <v>65</v>
      </c>
      <c r="BE145" s="5" t="s">
        <v>65</v>
      </c>
      <c r="BF145" s="5">
        <v>0.55040733197556002</v>
      </c>
      <c r="BG145" s="5" t="s">
        <v>65</v>
      </c>
      <c r="BH145" s="5">
        <v>0.44802953156822811</v>
      </c>
      <c r="BI145" s="5">
        <v>12.002754582484727</v>
      </c>
      <c r="BJ145" s="5">
        <v>8.9760692464358467</v>
      </c>
      <c r="BK145" s="5" t="s">
        <v>72</v>
      </c>
      <c r="BL145" s="5">
        <v>7.6846945010183294</v>
      </c>
      <c r="BM145" s="5">
        <v>0.49439918533604893</v>
      </c>
      <c r="BN145" s="17">
        <v>70</v>
      </c>
      <c r="BO145" s="5" t="s">
        <v>158</v>
      </c>
      <c r="BP145" s="5" t="s">
        <v>158</v>
      </c>
      <c r="BQ145" s="5" t="s">
        <v>158</v>
      </c>
      <c r="BR145" s="5" t="s">
        <v>158</v>
      </c>
      <c r="BS145" s="5" t="s">
        <v>158</v>
      </c>
      <c r="BT145" s="5" t="s">
        <v>158</v>
      </c>
      <c r="BU145" s="5" t="s">
        <v>158</v>
      </c>
      <c r="BV145" s="5" t="s">
        <v>158</v>
      </c>
      <c r="BW145" s="5" t="s">
        <v>158</v>
      </c>
      <c r="BX145" s="5" t="s">
        <v>158</v>
      </c>
      <c r="BY145" s="5" t="s">
        <v>158</v>
      </c>
      <c r="BZ145" s="5" t="s">
        <v>158</v>
      </c>
      <c r="CA145" s="5" t="s">
        <v>158</v>
      </c>
      <c r="CB145" s="5" t="s">
        <v>158</v>
      </c>
      <c r="CC145" s="5" t="s">
        <v>158</v>
      </c>
      <c r="CD145" s="5" t="s">
        <v>158</v>
      </c>
      <c r="CE145" s="5" t="s">
        <v>158</v>
      </c>
      <c r="CF145" s="5" t="s">
        <v>158</v>
      </c>
      <c r="CG145" s="5" t="s">
        <v>158</v>
      </c>
      <c r="CH145" s="5" t="s">
        <v>158</v>
      </c>
      <c r="CI145" s="17" t="s">
        <v>158</v>
      </c>
      <c r="CJ145" s="17" t="s">
        <v>158</v>
      </c>
      <c r="CK145" s="17" t="s">
        <v>158</v>
      </c>
      <c r="CL145" s="17" t="s">
        <v>158</v>
      </c>
      <c r="CM145" s="17" t="s">
        <v>158</v>
      </c>
      <c r="CN145" s="17" t="s">
        <v>158</v>
      </c>
      <c r="CO145" s="17" t="s">
        <v>158</v>
      </c>
      <c r="CP145" s="17" t="s">
        <v>158</v>
      </c>
      <c r="CQ145" s="17" t="s">
        <v>158</v>
      </c>
      <c r="CR145" s="17" t="s">
        <v>158</v>
      </c>
      <c r="CS145" s="17" t="s">
        <v>158</v>
      </c>
      <c r="CT145" s="17" t="s">
        <v>158</v>
      </c>
      <c r="CU145" s="17" t="s">
        <v>158</v>
      </c>
      <c r="CV145" s="17" t="s">
        <v>158</v>
      </c>
      <c r="CW145" s="17" t="s">
        <v>158</v>
      </c>
      <c r="CX145" s="17" t="s">
        <v>158</v>
      </c>
      <c r="CY145" s="67" t="s">
        <v>158</v>
      </c>
    </row>
    <row r="146" spans="1:103" x14ac:dyDescent="0.2">
      <c r="A146" s="32" t="s">
        <v>23</v>
      </c>
      <c r="B146" s="14" t="s">
        <v>115</v>
      </c>
      <c r="C146" s="14" t="s">
        <v>20</v>
      </c>
      <c r="D146" s="14" t="s">
        <v>124</v>
      </c>
      <c r="G146" s="28">
        <v>42298</v>
      </c>
      <c r="H146" s="16">
        <v>2015</v>
      </c>
      <c r="I146" s="135" t="s">
        <v>33</v>
      </c>
      <c r="J146" s="135">
        <v>10</v>
      </c>
      <c r="K146" s="136" t="s">
        <v>158</v>
      </c>
      <c r="L146" s="5" t="s">
        <v>158</v>
      </c>
      <c r="M146" s="5">
        <v>0.48</v>
      </c>
      <c r="N146" s="5">
        <v>2.2000000000000002</v>
      </c>
      <c r="O146" s="5">
        <v>5.3</v>
      </c>
      <c r="P146" s="5">
        <v>3.5</v>
      </c>
      <c r="Q146" s="5">
        <v>6.2</v>
      </c>
      <c r="R146" s="5">
        <v>5.9</v>
      </c>
      <c r="S146" s="5">
        <v>2.2999999999999998</v>
      </c>
      <c r="T146" s="5">
        <f t="shared" si="12"/>
        <v>25.88</v>
      </c>
      <c r="U146" s="17" t="s">
        <v>158</v>
      </c>
      <c r="V146" s="5" t="s">
        <v>76</v>
      </c>
      <c r="W146" s="5">
        <v>3.5999999999999997E-2</v>
      </c>
      <c r="X146" s="5" t="s">
        <v>66</v>
      </c>
      <c r="Y146" s="5">
        <v>3.9E-2</v>
      </c>
      <c r="Z146" s="5" t="s">
        <v>76</v>
      </c>
      <c r="AA146" s="5">
        <v>3.6999999999999998E-2</v>
      </c>
      <c r="AB146" s="5" t="s">
        <v>76</v>
      </c>
      <c r="AC146" s="5" t="s">
        <v>65</v>
      </c>
      <c r="AD146" s="5">
        <f t="shared" si="13"/>
        <v>0.11199999999999999</v>
      </c>
      <c r="AE146" s="17">
        <f t="shared" si="9"/>
        <v>0.11199999999999999</v>
      </c>
      <c r="AF146" s="5" t="s">
        <v>65</v>
      </c>
      <c r="AG146" s="18" t="s">
        <v>158</v>
      </c>
      <c r="AH146" s="18">
        <v>16.593638896896323</v>
      </c>
      <c r="AI146" s="5" t="s">
        <v>65</v>
      </c>
      <c r="AJ146" s="5" t="s">
        <v>65</v>
      </c>
      <c r="AK146" s="5" t="s">
        <v>56</v>
      </c>
      <c r="AL146" s="5" t="s">
        <v>65</v>
      </c>
      <c r="AM146" s="5" t="s">
        <v>65</v>
      </c>
      <c r="AN146" s="5">
        <v>0.87475016815604889</v>
      </c>
      <c r="AO146" s="5">
        <v>6.5580859037186495E-2</v>
      </c>
      <c r="AP146" s="5" t="s">
        <v>72</v>
      </c>
      <c r="AQ146" s="5">
        <v>0.80732679926972228</v>
      </c>
      <c r="AR146" s="5">
        <v>0.16503315076390893</v>
      </c>
      <c r="AS146" s="5" t="s">
        <v>158</v>
      </c>
      <c r="AT146" s="5" t="s">
        <v>158</v>
      </c>
      <c r="AU146" s="5" t="s">
        <v>158</v>
      </c>
      <c r="AV146" s="5" t="s">
        <v>158</v>
      </c>
      <c r="AW146" s="5" t="s">
        <v>158</v>
      </c>
      <c r="BC146" s="17" t="s">
        <v>158</v>
      </c>
      <c r="BD146" s="17" t="s">
        <v>158</v>
      </c>
      <c r="BE146" s="17" t="s">
        <v>158</v>
      </c>
      <c r="BF146" s="17" t="s">
        <v>158</v>
      </c>
      <c r="BG146" s="17" t="s">
        <v>158</v>
      </c>
      <c r="BH146" s="17" t="s">
        <v>158</v>
      </c>
      <c r="BI146" s="17" t="s">
        <v>158</v>
      </c>
      <c r="BJ146" s="17" t="s">
        <v>158</v>
      </c>
      <c r="BK146" s="17" t="s">
        <v>158</v>
      </c>
      <c r="BL146" s="17" t="s">
        <v>158</v>
      </c>
      <c r="BM146" s="17" t="s">
        <v>158</v>
      </c>
      <c r="BN146" s="17">
        <v>520</v>
      </c>
      <c r="BO146" s="5" t="s">
        <v>158</v>
      </c>
      <c r="BP146" s="5" t="s">
        <v>158</v>
      </c>
      <c r="BQ146" s="5" t="s">
        <v>158</v>
      </c>
      <c r="BR146" s="5" t="s">
        <v>158</v>
      </c>
      <c r="BS146" s="5" t="s">
        <v>158</v>
      </c>
      <c r="BT146" s="5" t="s">
        <v>158</v>
      </c>
      <c r="BU146" s="5" t="s">
        <v>158</v>
      </c>
      <c r="BV146" s="5" t="s">
        <v>158</v>
      </c>
      <c r="BW146" s="5" t="s">
        <v>158</v>
      </c>
      <c r="BX146" s="5" t="s">
        <v>158</v>
      </c>
      <c r="BY146" s="5" t="s">
        <v>158</v>
      </c>
      <c r="BZ146" s="5" t="s">
        <v>158</v>
      </c>
      <c r="CA146" s="5" t="s">
        <v>158</v>
      </c>
      <c r="CB146" s="5" t="s">
        <v>158</v>
      </c>
      <c r="CC146" s="5" t="s">
        <v>158</v>
      </c>
      <c r="CD146" s="5" t="s">
        <v>158</v>
      </c>
      <c r="CE146" s="5" t="s">
        <v>158</v>
      </c>
      <c r="CF146" s="5" t="s">
        <v>158</v>
      </c>
      <c r="CG146" s="5" t="s">
        <v>158</v>
      </c>
      <c r="CH146" s="5" t="s">
        <v>158</v>
      </c>
      <c r="CI146" s="17" t="s">
        <v>158</v>
      </c>
      <c r="CJ146" s="17" t="s">
        <v>158</v>
      </c>
      <c r="CK146" s="17" t="s">
        <v>158</v>
      </c>
      <c r="CL146" s="17" t="s">
        <v>158</v>
      </c>
      <c r="CM146" s="17" t="s">
        <v>158</v>
      </c>
      <c r="CN146" s="17" t="s">
        <v>158</v>
      </c>
      <c r="CO146" s="17" t="s">
        <v>158</v>
      </c>
      <c r="CP146" s="17" t="s">
        <v>158</v>
      </c>
      <c r="CQ146" s="17" t="s">
        <v>158</v>
      </c>
      <c r="CR146" s="17" t="s">
        <v>158</v>
      </c>
      <c r="CS146" s="17" t="s">
        <v>158</v>
      </c>
      <c r="CT146" s="17" t="s">
        <v>158</v>
      </c>
      <c r="CU146" s="17" t="s">
        <v>158</v>
      </c>
      <c r="CV146" s="17" t="s">
        <v>158</v>
      </c>
      <c r="CW146" s="17" t="s">
        <v>158</v>
      </c>
      <c r="CX146" s="17" t="s">
        <v>158</v>
      </c>
      <c r="CY146" s="67" t="s">
        <v>158</v>
      </c>
    </row>
    <row r="147" spans="1:103" x14ac:dyDescent="0.2">
      <c r="A147" s="32" t="s">
        <v>23</v>
      </c>
      <c r="B147" s="14" t="s">
        <v>116</v>
      </c>
      <c r="C147" s="14" t="s">
        <v>20</v>
      </c>
      <c r="D147" s="14" t="s">
        <v>169</v>
      </c>
      <c r="G147" s="28">
        <v>42298</v>
      </c>
      <c r="H147" s="16">
        <v>2015</v>
      </c>
      <c r="I147" s="135" t="s">
        <v>33</v>
      </c>
      <c r="J147" s="135">
        <v>10</v>
      </c>
      <c r="K147" s="136" t="s">
        <v>158</v>
      </c>
      <c r="L147" s="5" t="s">
        <v>158</v>
      </c>
      <c r="M147" s="5">
        <v>0.35</v>
      </c>
      <c r="N147" s="5">
        <v>2</v>
      </c>
      <c r="O147" s="5">
        <v>5.9</v>
      </c>
      <c r="P147" s="5">
        <v>3.2</v>
      </c>
      <c r="Q147" s="5">
        <v>6.8</v>
      </c>
      <c r="R147" s="5">
        <v>5.8</v>
      </c>
      <c r="S147" s="5">
        <v>2.8</v>
      </c>
      <c r="T147" s="5">
        <f t="shared" si="12"/>
        <v>26.85</v>
      </c>
      <c r="U147" s="17" t="s">
        <v>158</v>
      </c>
      <c r="V147" s="5" t="s">
        <v>76</v>
      </c>
      <c r="W147" s="5">
        <v>5.2999999999999999E-2</v>
      </c>
      <c r="X147" s="5">
        <v>3.5000000000000003E-2</v>
      </c>
      <c r="Y147" s="5">
        <v>2.8000000000000001E-2</v>
      </c>
      <c r="Z147" s="5" t="s">
        <v>76</v>
      </c>
      <c r="AA147" s="5" t="s">
        <v>76</v>
      </c>
      <c r="AB147" s="5" t="s">
        <v>76</v>
      </c>
      <c r="AC147" s="5" t="s">
        <v>65</v>
      </c>
      <c r="AD147" s="5">
        <f t="shared" si="13"/>
        <v>0.11599999999999999</v>
      </c>
      <c r="AE147" s="17">
        <f t="shared" si="9"/>
        <v>0.11600000000000001</v>
      </c>
      <c r="AF147" s="5" t="s">
        <v>65</v>
      </c>
      <c r="AG147" s="18" t="s">
        <v>158</v>
      </c>
      <c r="AH147" s="18">
        <v>15.003734827264239</v>
      </c>
      <c r="AI147" s="5" t="s">
        <v>65</v>
      </c>
      <c r="AJ147" s="5" t="s">
        <v>65</v>
      </c>
      <c r="AK147" s="5" t="s">
        <v>56</v>
      </c>
      <c r="AL147" s="5" t="s">
        <v>65</v>
      </c>
      <c r="AM147" s="5" t="s">
        <v>65</v>
      </c>
      <c r="AN147" s="5">
        <v>1.0675560224089635</v>
      </c>
      <c r="AO147" s="5">
        <v>0.22432306255835666</v>
      </c>
      <c r="AP147" s="5" t="s">
        <v>72</v>
      </c>
      <c r="AQ147" s="5">
        <v>0.78075163398692815</v>
      </c>
      <c r="AR147" s="5">
        <v>0.12394957983193279</v>
      </c>
      <c r="AS147" s="5" t="s">
        <v>158</v>
      </c>
      <c r="AT147" s="5" t="s">
        <v>158</v>
      </c>
      <c r="AU147" s="5" t="s">
        <v>158</v>
      </c>
      <c r="AV147" s="5" t="s">
        <v>158</v>
      </c>
      <c r="AW147" s="5" t="s">
        <v>158</v>
      </c>
      <c r="BC147" s="5">
        <v>140</v>
      </c>
      <c r="BD147" s="5" t="s">
        <v>65</v>
      </c>
      <c r="BE147" s="5" t="s">
        <v>65</v>
      </c>
      <c r="BF147" s="5">
        <v>0.1107142857142857</v>
      </c>
      <c r="BG147" s="5" t="s">
        <v>65</v>
      </c>
      <c r="BH147" s="5">
        <v>0.40404591836734693</v>
      </c>
      <c r="BI147" s="5">
        <v>4.6803112244897953</v>
      </c>
      <c r="BJ147" s="5">
        <v>1.7086734693877552</v>
      </c>
      <c r="BK147" s="5" t="s">
        <v>72</v>
      </c>
      <c r="BL147" s="5">
        <v>3.6187448979591839</v>
      </c>
      <c r="BM147" s="5">
        <v>0.4076530612244898</v>
      </c>
      <c r="BN147" s="17">
        <v>440</v>
      </c>
      <c r="BO147" s="5" t="s">
        <v>158</v>
      </c>
      <c r="BP147" s="5" t="s">
        <v>158</v>
      </c>
      <c r="BQ147" s="5" t="s">
        <v>158</v>
      </c>
      <c r="BR147" s="5" t="s">
        <v>158</v>
      </c>
      <c r="BS147" s="5" t="s">
        <v>158</v>
      </c>
      <c r="BT147" s="5" t="s">
        <v>158</v>
      </c>
      <c r="BU147" s="5" t="s">
        <v>158</v>
      </c>
      <c r="BV147" s="5" t="s">
        <v>158</v>
      </c>
      <c r="BW147" s="5" t="s">
        <v>158</v>
      </c>
      <c r="BX147" s="5" t="s">
        <v>158</v>
      </c>
      <c r="BY147" s="5" t="s">
        <v>158</v>
      </c>
      <c r="BZ147" s="5" t="s">
        <v>158</v>
      </c>
      <c r="CA147" s="5" t="s">
        <v>158</v>
      </c>
      <c r="CB147" s="5" t="s">
        <v>158</v>
      </c>
      <c r="CC147" s="5" t="s">
        <v>158</v>
      </c>
      <c r="CD147" s="5" t="s">
        <v>158</v>
      </c>
      <c r="CE147" s="5" t="s">
        <v>158</v>
      </c>
      <c r="CF147" s="5" t="s">
        <v>158</v>
      </c>
      <c r="CG147" s="5" t="s">
        <v>158</v>
      </c>
      <c r="CH147" s="5" t="s">
        <v>158</v>
      </c>
      <c r="CI147" s="17" t="s">
        <v>158</v>
      </c>
      <c r="CJ147" s="17" t="s">
        <v>158</v>
      </c>
      <c r="CK147" s="17" t="s">
        <v>158</v>
      </c>
      <c r="CL147" s="17" t="s">
        <v>158</v>
      </c>
      <c r="CM147" s="17" t="s">
        <v>158</v>
      </c>
      <c r="CN147" s="17" t="s">
        <v>158</v>
      </c>
      <c r="CO147" s="17" t="s">
        <v>158</v>
      </c>
      <c r="CP147" s="17" t="s">
        <v>158</v>
      </c>
      <c r="CQ147" s="17" t="s">
        <v>158</v>
      </c>
      <c r="CR147" s="17" t="s">
        <v>158</v>
      </c>
      <c r="CS147" s="17" t="s">
        <v>158</v>
      </c>
      <c r="CT147" s="17" t="s">
        <v>158</v>
      </c>
      <c r="CU147" s="17" t="s">
        <v>158</v>
      </c>
      <c r="CV147" s="17" t="s">
        <v>158</v>
      </c>
      <c r="CW147" s="17" t="s">
        <v>158</v>
      </c>
      <c r="CX147" s="17" t="s">
        <v>158</v>
      </c>
      <c r="CY147" s="67" t="s">
        <v>158</v>
      </c>
    </row>
    <row r="148" spans="1:103" x14ac:dyDescent="0.2">
      <c r="A148" s="32" t="s">
        <v>5</v>
      </c>
      <c r="B148" s="14" t="s">
        <v>5</v>
      </c>
      <c r="C148" s="14" t="s">
        <v>20</v>
      </c>
      <c r="G148" s="28">
        <v>42264</v>
      </c>
      <c r="H148" s="16">
        <v>2015</v>
      </c>
      <c r="I148" s="135" t="s">
        <v>33</v>
      </c>
      <c r="J148" s="135">
        <v>10</v>
      </c>
      <c r="K148" s="136" t="s">
        <v>158</v>
      </c>
      <c r="L148" s="5" t="s">
        <v>158</v>
      </c>
      <c r="M148" s="5">
        <v>0.79</v>
      </c>
      <c r="N148" s="5">
        <v>1.8</v>
      </c>
      <c r="O148" s="5">
        <v>3.3</v>
      </c>
      <c r="P148" s="5">
        <v>2.5</v>
      </c>
      <c r="Q148" s="5">
        <v>3.6</v>
      </c>
      <c r="R148" s="5">
        <v>3.5</v>
      </c>
      <c r="S148" s="5">
        <v>1.4</v>
      </c>
      <c r="T148" s="5">
        <f t="shared" si="12"/>
        <v>16.89</v>
      </c>
      <c r="U148" s="17" t="s">
        <v>158</v>
      </c>
      <c r="V148" s="5" t="s">
        <v>78</v>
      </c>
      <c r="W148" s="5">
        <v>0.14000000000000001</v>
      </c>
      <c r="X148" s="5">
        <v>6.9000000000000006E-2</v>
      </c>
      <c r="Y148" s="5">
        <v>0.14000000000000001</v>
      </c>
      <c r="Z148" s="5" t="s">
        <v>78</v>
      </c>
      <c r="AA148" s="5">
        <v>4.1000000000000002E-2</v>
      </c>
      <c r="AB148" s="5" t="s">
        <v>78</v>
      </c>
      <c r="AC148" s="5" t="s">
        <v>65</v>
      </c>
      <c r="AD148" s="5">
        <f t="shared" si="13"/>
        <v>0.39</v>
      </c>
      <c r="AE148" s="17">
        <f t="shared" si="9"/>
        <v>0.39</v>
      </c>
      <c r="AF148" s="5" t="s">
        <v>65</v>
      </c>
      <c r="AG148" s="18" t="s">
        <v>158</v>
      </c>
      <c r="AH148" s="18">
        <v>14.906136455389584</v>
      </c>
      <c r="AI148" s="5" t="s">
        <v>65</v>
      </c>
      <c r="AJ148" s="5" t="s">
        <v>65</v>
      </c>
      <c r="AK148" s="5" t="s">
        <v>56</v>
      </c>
      <c r="AL148" s="5" t="s">
        <v>65</v>
      </c>
      <c r="AM148" s="5" t="s">
        <v>65</v>
      </c>
      <c r="AN148" s="5">
        <v>0.44545064594267264</v>
      </c>
      <c r="AO148" s="5">
        <v>0.2152301170771094</v>
      </c>
      <c r="AP148" s="5" t="s">
        <v>72</v>
      </c>
      <c r="AQ148" s="5">
        <v>0.41399374243035925</v>
      </c>
      <c r="AR148" s="5">
        <v>8.8564796124343967E-2</v>
      </c>
      <c r="AS148" s="5" t="s">
        <v>158</v>
      </c>
      <c r="AT148" s="5" t="s">
        <v>158</v>
      </c>
      <c r="AU148" s="5" t="s">
        <v>158</v>
      </c>
      <c r="AV148" s="5" t="s">
        <v>158</v>
      </c>
      <c r="AW148" s="5" t="s">
        <v>158</v>
      </c>
      <c r="BC148" s="5">
        <v>210</v>
      </c>
      <c r="BD148" s="5" t="s">
        <v>65</v>
      </c>
      <c r="BE148" s="5" t="s">
        <v>65</v>
      </c>
      <c r="BF148" s="5">
        <v>0.19270087916581477</v>
      </c>
      <c r="BG148" s="5" t="s">
        <v>65</v>
      </c>
      <c r="BH148" s="5">
        <v>0.40683398078102639</v>
      </c>
      <c r="BI148" s="5">
        <v>6.4677008791658146</v>
      </c>
      <c r="BJ148" s="5">
        <v>3.9404007360457989</v>
      </c>
      <c r="BK148" s="5" t="s">
        <v>72</v>
      </c>
      <c r="BL148" s="5">
        <v>6.2220098139439788</v>
      </c>
      <c r="BM148" s="5">
        <v>0.80300552034348804</v>
      </c>
      <c r="BN148" s="17">
        <v>71</v>
      </c>
      <c r="BO148" s="5" t="s">
        <v>158</v>
      </c>
      <c r="BP148" s="5" t="s">
        <v>158</v>
      </c>
      <c r="BQ148" s="5" t="s">
        <v>158</v>
      </c>
      <c r="BR148" s="5" t="s">
        <v>158</v>
      </c>
      <c r="BS148" s="5" t="s">
        <v>158</v>
      </c>
      <c r="BT148" s="5" t="s">
        <v>158</v>
      </c>
      <c r="BU148" s="5" t="s">
        <v>158</v>
      </c>
      <c r="BV148" s="5" t="s">
        <v>158</v>
      </c>
      <c r="BW148" s="5" t="s">
        <v>158</v>
      </c>
      <c r="BX148" s="5" t="s">
        <v>158</v>
      </c>
      <c r="BY148" s="5" t="s">
        <v>158</v>
      </c>
      <c r="BZ148" s="5" t="s">
        <v>158</v>
      </c>
      <c r="CA148" s="5" t="s">
        <v>158</v>
      </c>
      <c r="CB148" s="5" t="s">
        <v>158</v>
      </c>
      <c r="CC148" s="5" t="s">
        <v>158</v>
      </c>
      <c r="CD148" s="5" t="s">
        <v>158</v>
      </c>
      <c r="CE148" s="5" t="s">
        <v>158</v>
      </c>
      <c r="CF148" s="5" t="s">
        <v>158</v>
      </c>
      <c r="CG148" s="5" t="s">
        <v>158</v>
      </c>
      <c r="CH148" s="5" t="s">
        <v>158</v>
      </c>
      <c r="CI148" s="17" t="s">
        <v>158</v>
      </c>
      <c r="CJ148" s="17" t="s">
        <v>158</v>
      </c>
      <c r="CK148" s="17" t="s">
        <v>158</v>
      </c>
      <c r="CL148" s="17" t="s">
        <v>158</v>
      </c>
      <c r="CM148" s="17" t="s">
        <v>158</v>
      </c>
      <c r="CN148" s="17" t="s">
        <v>158</v>
      </c>
      <c r="CO148" s="17" t="s">
        <v>158</v>
      </c>
      <c r="CP148" s="17" t="s">
        <v>158</v>
      </c>
      <c r="CQ148" s="17" t="s">
        <v>158</v>
      </c>
      <c r="CR148" s="17" t="s">
        <v>158</v>
      </c>
      <c r="CS148" s="17" t="s">
        <v>158</v>
      </c>
      <c r="CT148" s="17" t="s">
        <v>158</v>
      </c>
      <c r="CU148" s="17" t="s">
        <v>158</v>
      </c>
      <c r="CV148" s="17" t="s">
        <v>158</v>
      </c>
      <c r="CW148" s="17" t="s">
        <v>158</v>
      </c>
      <c r="CX148" s="17" t="s">
        <v>158</v>
      </c>
      <c r="CY148" s="67" t="s">
        <v>158</v>
      </c>
    </row>
    <row r="149" spans="1:103" x14ac:dyDescent="0.2">
      <c r="A149" s="32" t="s">
        <v>25</v>
      </c>
      <c r="B149" s="14" t="s">
        <v>25</v>
      </c>
      <c r="C149" s="14" t="s">
        <v>20</v>
      </c>
      <c r="G149" s="28">
        <v>42264</v>
      </c>
      <c r="H149" s="16">
        <v>2015</v>
      </c>
      <c r="I149" s="135" t="s">
        <v>33</v>
      </c>
      <c r="J149" s="135">
        <v>10</v>
      </c>
      <c r="K149" s="136" t="s">
        <v>158</v>
      </c>
      <c r="L149" s="5" t="s">
        <v>158</v>
      </c>
      <c r="M149" s="5" t="s">
        <v>39</v>
      </c>
      <c r="N149" s="5">
        <v>0.15</v>
      </c>
      <c r="O149" s="5">
        <v>0.86</v>
      </c>
      <c r="P149" s="5">
        <v>0.66</v>
      </c>
      <c r="Q149" s="5">
        <v>2.7</v>
      </c>
      <c r="R149" s="5">
        <v>2</v>
      </c>
      <c r="S149" s="5">
        <v>1.1000000000000001</v>
      </c>
      <c r="T149" s="5">
        <f t="shared" si="12"/>
        <v>7.4700000000000006</v>
      </c>
      <c r="U149" s="17" t="s">
        <v>158</v>
      </c>
      <c r="V149" s="5" t="s">
        <v>78</v>
      </c>
      <c r="W149" s="5">
        <v>0.11</v>
      </c>
      <c r="X149" s="5">
        <v>6.9000000000000006E-2</v>
      </c>
      <c r="Y149" s="5">
        <v>0.13</v>
      </c>
      <c r="Z149" s="5" t="s">
        <v>78</v>
      </c>
      <c r="AA149" s="5">
        <v>4.9000000000000002E-2</v>
      </c>
      <c r="AB149" s="5" t="s">
        <v>78</v>
      </c>
      <c r="AC149" s="5" t="s">
        <v>65</v>
      </c>
      <c r="AD149" s="5">
        <f t="shared" si="13"/>
        <v>0.35799999999999998</v>
      </c>
      <c r="AE149" s="17">
        <f t="shared" si="9"/>
        <v>0.35799999999999998</v>
      </c>
      <c r="AF149" s="5" t="s">
        <v>65</v>
      </c>
      <c r="AG149" s="18" t="s">
        <v>158</v>
      </c>
      <c r="AH149" s="18">
        <v>51.028662420382162</v>
      </c>
      <c r="AI149" s="5" t="s">
        <v>65</v>
      </c>
      <c r="AJ149" s="5" t="s">
        <v>65</v>
      </c>
      <c r="AK149" s="5" t="s">
        <v>56</v>
      </c>
      <c r="AL149" s="5" t="s">
        <v>65</v>
      </c>
      <c r="AM149" s="5" t="s">
        <v>65</v>
      </c>
      <c r="AN149" s="5">
        <v>1.7126884288747348</v>
      </c>
      <c r="AO149" s="5">
        <v>0.62234607218683646</v>
      </c>
      <c r="AP149" s="5" t="s">
        <v>72</v>
      </c>
      <c r="AQ149" s="5">
        <v>0.82079087048832278</v>
      </c>
      <c r="AR149" s="5">
        <v>9.3152866242038238E-2</v>
      </c>
      <c r="AS149" s="5" t="s">
        <v>158</v>
      </c>
      <c r="AT149" s="5" t="s">
        <v>158</v>
      </c>
      <c r="AU149" s="5" t="s">
        <v>158</v>
      </c>
      <c r="AV149" s="5" t="s">
        <v>158</v>
      </c>
      <c r="AW149" s="5" t="s">
        <v>158</v>
      </c>
      <c r="BC149" s="5">
        <v>750</v>
      </c>
      <c r="BD149" s="5" t="s">
        <v>65</v>
      </c>
      <c r="BE149" s="5" t="s">
        <v>65</v>
      </c>
      <c r="BF149" s="5">
        <v>0.52939441604404236</v>
      </c>
      <c r="BG149" s="5" t="s">
        <v>65</v>
      </c>
      <c r="BH149" s="5">
        <v>0.46398446716476593</v>
      </c>
      <c r="BI149" s="5">
        <v>22.008164569406212</v>
      </c>
      <c r="BJ149" s="5">
        <v>11.398446716476601</v>
      </c>
      <c r="BK149" s="5" t="s">
        <v>72</v>
      </c>
      <c r="BL149" s="5">
        <v>9.9354797483287438</v>
      </c>
      <c r="BM149" s="5">
        <v>0.60312622886354694</v>
      </c>
      <c r="BN149" s="17">
        <v>140</v>
      </c>
      <c r="BO149" s="5" t="s">
        <v>158</v>
      </c>
      <c r="BP149" s="5" t="s">
        <v>158</v>
      </c>
      <c r="BQ149" s="5" t="s">
        <v>158</v>
      </c>
      <c r="BR149" s="5" t="s">
        <v>158</v>
      </c>
      <c r="BS149" s="5" t="s">
        <v>158</v>
      </c>
      <c r="BT149" s="5" t="s">
        <v>158</v>
      </c>
      <c r="BU149" s="5" t="s">
        <v>158</v>
      </c>
      <c r="BV149" s="5" t="s">
        <v>158</v>
      </c>
      <c r="BW149" s="5" t="s">
        <v>158</v>
      </c>
      <c r="BX149" s="5" t="s">
        <v>158</v>
      </c>
      <c r="BY149" s="5" t="s">
        <v>158</v>
      </c>
      <c r="BZ149" s="5" t="s">
        <v>158</v>
      </c>
      <c r="CA149" s="5" t="s">
        <v>158</v>
      </c>
      <c r="CB149" s="5" t="s">
        <v>158</v>
      </c>
      <c r="CC149" s="5" t="s">
        <v>158</v>
      </c>
      <c r="CD149" s="5" t="s">
        <v>158</v>
      </c>
      <c r="CE149" s="5" t="s">
        <v>158</v>
      </c>
      <c r="CF149" s="5" t="s">
        <v>158</v>
      </c>
      <c r="CG149" s="5" t="s">
        <v>158</v>
      </c>
      <c r="CH149" s="5" t="s">
        <v>158</v>
      </c>
      <c r="CI149" s="17" t="s">
        <v>158</v>
      </c>
      <c r="CJ149" s="17" t="s">
        <v>158</v>
      </c>
      <c r="CK149" s="17" t="s">
        <v>158</v>
      </c>
      <c r="CL149" s="17" t="s">
        <v>158</v>
      </c>
      <c r="CM149" s="17" t="s">
        <v>158</v>
      </c>
      <c r="CN149" s="17" t="s">
        <v>158</v>
      </c>
      <c r="CO149" s="17" t="s">
        <v>158</v>
      </c>
      <c r="CP149" s="17" t="s">
        <v>158</v>
      </c>
      <c r="CQ149" s="17" t="s">
        <v>158</v>
      </c>
      <c r="CR149" s="17" t="s">
        <v>158</v>
      </c>
      <c r="CS149" s="17" t="s">
        <v>158</v>
      </c>
      <c r="CT149" s="17" t="s">
        <v>158</v>
      </c>
      <c r="CU149" s="17" t="s">
        <v>158</v>
      </c>
      <c r="CV149" s="17" t="s">
        <v>158</v>
      </c>
      <c r="CW149" s="17" t="s">
        <v>158</v>
      </c>
      <c r="CX149" s="17" t="s">
        <v>158</v>
      </c>
      <c r="CY149" s="67" t="s">
        <v>158</v>
      </c>
    </row>
    <row r="150" spans="1:103" x14ac:dyDescent="0.2">
      <c r="A150" s="32" t="s">
        <v>26</v>
      </c>
      <c r="B150" s="14" t="s">
        <v>26</v>
      </c>
      <c r="C150" s="14" t="s">
        <v>20</v>
      </c>
      <c r="G150" s="28">
        <v>42264</v>
      </c>
      <c r="H150" s="16">
        <v>2015</v>
      </c>
      <c r="I150" s="135" t="s">
        <v>33</v>
      </c>
      <c r="J150" s="135">
        <v>10</v>
      </c>
      <c r="K150" s="136" t="s">
        <v>158</v>
      </c>
      <c r="L150" s="5" t="s">
        <v>158</v>
      </c>
      <c r="M150" s="5" t="s">
        <v>39</v>
      </c>
      <c r="N150" s="5">
        <v>0.05</v>
      </c>
      <c r="O150" s="5">
        <v>0.34</v>
      </c>
      <c r="P150" s="5">
        <v>0.31</v>
      </c>
      <c r="Q150" s="5">
        <v>0.98</v>
      </c>
      <c r="R150" s="5">
        <v>0.83</v>
      </c>
      <c r="S150" s="5">
        <v>0.56000000000000005</v>
      </c>
      <c r="T150" s="5">
        <f t="shared" si="12"/>
        <v>3.07</v>
      </c>
      <c r="U150" s="17" t="s">
        <v>158</v>
      </c>
      <c r="V150" s="5" t="s">
        <v>77</v>
      </c>
      <c r="W150" s="5">
        <v>2.1000000000000001E-2</v>
      </c>
      <c r="X150" s="5" t="s">
        <v>66</v>
      </c>
      <c r="Y150" s="5">
        <v>3.7000000000000005E-2</v>
      </c>
      <c r="Z150" s="5" t="s">
        <v>77</v>
      </c>
      <c r="AA150" s="5" t="s">
        <v>77</v>
      </c>
      <c r="AB150" s="5" t="s">
        <v>77</v>
      </c>
      <c r="AC150" s="5" t="s">
        <v>65</v>
      </c>
      <c r="AD150" s="5">
        <f t="shared" si="13"/>
        <v>5.800000000000001E-2</v>
      </c>
      <c r="AE150" s="17">
        <f t="shared" si="9"/>
        <v>5.800000000000001E-2</v>
      </c>
      <c r="AF150" s="5" t="s">
        <v>65</v>
      </c>
      <c r="AG150" s="18" t="s">
        <v>158</v>
      </c>
      <c r="AH150" s="18">
        <v>5.1376970664538018</v>
      </c>
      <c r="AI150" s="5" t="s">
        <v>65</v>
      </c>
      <c r="AJ150" s="5" t="s">
        <v>65</v>
      </c>
      <c r="AK150" s="5" t="s">
        <v>56</v>
      </c>
      <c r="AL150" s="5" t="s">
        <v>65</v>
      </c>
      <c r="AM150" s="5">
        <v>0.13069497106365996</v>
      </c>
      <c r="AN150" s="5">
        <v>0.43040560766314112</v>
      </c>
      <c r="AO150" s="5">
        <v>0.12796846936739173</v>
      </c>
      <c r="AP150" s="5" t="s">
        <v>72</v>
      </c>
      <c r="AQ150" s="5">
        <v>0.28156555577728992</v>
      </c>
      <c r="AR150" s="5" t="s">
        <v>56</v>
      </c>
      <c r="AS150" s="5" t="s">
        <v>158</v>
      </c>
      <c r="AT150" s="5" t="s">
        <v>158</v>
      </c>
      <c r="AU150" s="5" t="s">
        <v>158</v>
      </c>
      <c r="AV150" s="5" t="s">
        <v>158</v>
      </c>
      <c r="AW150" s="5" t="s">
        <v>158</v>
      </c>
      <c r="BC150" s="5">
        <v>65.723857868020303</v>
      </c>
      <c r="BD150" s="5" t="s">
        <v>65</v>
      </c>
      <c r="BE150" s="5" t="s">
        <v>65</v>
      </c>
      <c r="BF150" s="5">
        <v>0.12842639593908631</v>
      </c>
      <c r="BG150" s="5" t="s">
        <v>65</v>
      </c>
      <c r="BH150" s="5">
        <v>1.2263604060913704</v>
      </c>
      <c r="BI150" s="5">
        <v>4.2301573604060909</v>
      </c>
      <c r="BJ150" s="5">
        <v>0.41472081218274109</v>
      </c>
      <c r="BK150" s="5">
        <v>0.4223350253807106</v>
      </c>
      <c r="BL150" s="5">
        <v>2.2602741116751273</v>
      </c>
      <c r="BM150" s="5">
        <v>9.4111675126903563E-2</v>
      </c>
      <c r="BN150" s="17">
        <v>45</v>
      </c>
      <c r="BO150" s="5" t="s">
        <v>158</v>
      </c>
      <c r="BP150" s="5" t="s">
        <v>158</v>
      </c>
      <c r="BQ150" s="5" t="s">
        <v>158</v>
      </c>
      <c r="BR150" s="5" t="s">
        <v>158</v>
      </c>
      <c r="BS150" s="5" t="s">
        <v>158</v>
      </c>
      <c r="BT150" s="5" t="s">
        <v>158</v>
      </c>
      <c r="BU150" s="5" t="s">
        <v>158</v>
      </c>
      <c r="BV150" s="5" t="s">
        <v>158</v>
      </c>
      <c r="BW150" s="5" t="s">
        <v>158</v>
      </c>
      <c r="BX150" s="5" t="s">
        <v>158</v>
      </c>
      <c r="BY150" s="5" t="s">
        <v>158</v>
      </c>
      <c r="BZ150" s="5" t="s">
        <v>158</v>
      </c>
      <c r="CA150" s="5" t="s">
        <v>158</v>
      </c>
      <c r="CB150" s="5" t="s">
        <v>158</v>
      </c>
      <c r="CC150" s="5" t="s">
        <v>158</v>
      </c>
      <c r="CD150" s="5" t="s">
        <v>158</v>
      </c>
      <c r="CE150" s="5" t="s">
        <v>158</v>
      </c>
      <c r="CF150" s="5" t="s">
        <v>158</v>
      </c>
      <c r="CG150" s="5" t="s">
        <v>158</v>
      </c>
      <c r="CH150" s="5" t="s">
        <v>158</v>
      </c>
      <c r="CI150" s="17" t="s">
        <v>158</v>
      </c>
      <c r="CJ150" s="17" t="s">
        <v>158</v>
      </c>
      <c r="CK150" s="17" t="s">
        <v>158</v>
      </c>
      <c r="CL150" s="17" t="s">
        <v>158</v>
      </c>
      <c r="CM150" s="17" t="s">
        <v>158</v>
      </c>
      <c r="CN150" s="17" t="s">
        <v>158</v>
      </c>
      <c r="CO150" s="17" t="s">
        <v>158</v>
      </c>
      <c r="CP150" s="17" t="s">
        <v>158</v>
      </c>
      <c r="CQ150" s="17" t="s">
        <v>158</v>
      </c>
      <c r="CR150" s="17" t="s">
        <v>158</v>
      </c>
      <c r="CS150" s="17" t="s">
        <v>158</v>
      </c>
      <c r="CT150" s="17" t="s">
        <v>158</v>
      </c>
      <c r="CU150" s="17" t="s">
        <v>158</v>
      </c>
      <c r="CV150" s="17" t="s">
        <v>158</v>
      </c>
      <c r="CW150" s="17" t="s">
        <v>158</v>
      </c>
      <c r="CX150" s="17" t="s">
        <v>158</v>
      </c>
      <c r="CY150" s="67" t="s">
        <v>158</v>
      </c>
    </row>
    <row r="151" spans="1:103" x14ac:dyDescent="0.2">
      <c r="A151" s="32" t="s">
        <v>81</v>
      </c>
      <c r="B151" s="14" t="s">
        <v>81</v>
      </c>
      <c r="C151" s="14" t="s">
        <v>20</v>
      </c>
      <c r="G151" s="28">
        <v>42264</v>
      </c>
      <c r="H151" s="16">
        <v>2015</v>
      </c>
      <c r="I151" s="135" t="s">
        <v>33</v>
      </c>
      <c r="J151" s="135">
        <v>10</v>
      </c>
      <c r="K151" s="136" t="s">
        <v>158</v>
      </c>
      <c r="L151" s="5" t="s">
        <v>158</v>
      </c>
      <c r="M151" s="5" t="s">
        <v>39</v>
      </c>
      <c r="N151" s="5">
        <v>0.17</v>
      </c>
      <c r="O151" s="5">
        <v>0.4</v>
      </c>
      <c r="P151" s="5">
        <v>0.24</v>
      </c>
      <c r="Q151" s="5">
        <v>0.63</v>
      </c>
      <c r="R151" s="5">
        <v>0.6</v>
      </c>
      <c r="S151" s="5">
        <v>0.32</v>
      </c>
      <c r="T151" s="5">
        <f t="shared" si="12"/>
        <v>2.36</v>
      </c>
      <c r="U151" s="17" t="s">
        <v>158</v>
      </c>
      <c r="V151" s="5" t="s">
        <v>78</v>
      </c>
      <c r="W151" s="5">
        <v>6.9000000000000006E-2</v>
      </c>
      <c r="X151" s="5" t="s">
        <v>56</v>
      </c>
      <c r="Y151" s="5">
        <v>7.0000000000000007E-2</v>
      </c>
      <c r="Z151" s="5" t="s">
        <v>78</v>
      </c>
      <c r="AA151" s="5">
        <v>3.1E-2</v>
      </c>
      <c r="AB151" s="5" t="s">
        <v>78</v>
      </c>
      <c r="AC151" s="5" t="s">
        <v>65</v>
      </c>
      <c r="AD151" s="5">
        <f t="shared" si="13"/>
        <v>0.17</v>
      </c>
      <c r="AE151" s="17">
        <f>SUM(V151,W151,Y151,X151,AB151,AA151)</f>
        <v>0.17</v>
      </c>
      <c r="AF151" s="5" t="s">
        <v>65</v>
      </c>
      <c r="AG151" s="18" t="s">
        <v>158</v>
      </c>
      <c r="AH151" s="18">
        <v>8.8438274665344583</v>
      </c>
      <c r="AI151" s="5" t="s">
        <v>65</v>
      </c>
      <c r="AJ151" s="5" t="s">
        <v>65</v>
      </c>
      <c r="AK151" s="5" t="s">
        <v>56</v>
      </c>
      <c r="AL151" s="5" t="s">
        <v>65</v>
      </c>
      <c r="AM151" s="5" t="s">
        <v>65</v>
      </c>
      <c r="AN151" s="5">
        <v>0.9205280118988598</v>
      </c>
      <c r="AO151" s="5">
        <v>1.0483391175012395</v>
      </c>
      <c r="AP151" s="5" t="s">
        <v>72</v>
      </c>
      <c r="AQ151" s="5">
        <v>0.96200793257312844</v>
      </c>
      <c r="AR151" s="5">
        <v>0.32994546355974219</v>
      </c>
      <c r="AS151" s="5" t="s">
        <v>158</v>
      </c>
      <c r="AT151" s="5" t="s">
        <v>158</v>
      </c>
      <c r="AU151" s="5" t="s">
        <v>158</v>
      </c>
      <c r="AV151" s="5" t="s">
        <v>158</v>
      </c>
      <c r="AW151" s="5" t="s">
        <v>158</v>
      </c>
      <c r="BC151" s="5">
        <v>99.011305241521072</v>
      </c>
      <c r="BD151" s="5" t="s">
        <v>65</v>
      </c>
      <c r="BE151" s="5" t="s">
        <v>65</v>
      </c>
      <c r="BF151" s="5">
        <v>0.236896197327852</v>
      </c>
      <c r="BG151" s="5" t="s">
        <v>65</v>
      </c>
      <c r="BH151" s="5">
        <v>0.24045734840698868</v>
      </c>
      <c r="BI151" s="5">
        <v>9.7499537512846874</v>
      </c>
      <c r="BJ151" s="5">
        <v>13.005652620760536</v>
      </c>
      <c r="BK151" s="5" t="s">
        <v>72</v>
      </c>
      <c r="BL151" s="5">
        <v>9.6468345323741023</v>
      </c>
      <c r="BM151" s="5">
        <v>3.2697841726618706</v>
      </c>
      <c r="BN151" s="17">
        <v>27</v>
      </c>
      <c r="BO151" s="5" t="s">
        <v>158</v>
      </c>
      <c r="BP151" s="5" t="s">
        <v>158</v>
      </c>
      <c r="BQ151" s="5" t="s">
        <v>158</v>
      </c>
      <c r="BR151" s="5" t="s">
        <v>158</v>
      </c>
      <c r="BS151" s="5" t="s">
        <v>158</v>
      </c>
      <c r="BT151" s="5" t="s">
        <v>158</v>
      </c>
      <c r="BU151" s="5" t="s">
        <v>158</v>
      </c>
      <c r="BV151" s="5" t="s">
        <v>158</v>
      </c>
      <c r="BW151" s="5" t="s">
        <v>158</v>
      </c>
      <c r="BX151" s="5" t="s">
        <v>158</v>
      </c>
      <c r="BY151" s="5" t="s">
        <v>158</v>
      </c>
      <c r="BZ151" s="5" t="s">
        <v>158</v>
      </c>
      <c r="CA151" s="5" t="s">
        <v>158</v>
      </c>
      <c r="CB151" s="5" t="s">
        <v>158</v>
      </c>
      <c r="CC151" s="5" t="s">
        <v>158</v>
      </c>
      <c r="CD151" s="5" t="s">
        <v>158</v>
      </c>
      <c r="CE151" s="5" t="s">
        <v>158</v>
      </c>
      <c r="CF151" s="5" t="s">
        <v>158</v>
      </c>
      <c r="CG151" s="5" t="s">
        <v>158</v>
      </c>
      <c r="CH151" s="5" t="s">
        <v>158</v>
      </c>
      <c r="CI151" s="17" t="s">
        <v>158</v>
      </c>
      <c r="CJ151" s="17" t="s">
        <v>158</v>
      </c>
      <c r="CK151" s="17" t="s">
        <v>158</v>
      </c>
      <c r="CL151" s="17" t="s">
        <v>158</v>
      </c>
      <c r="CM151" s="17" t="s">
        <v>158</v>
      </c>
      <c r="CN151" s="17" t="s">
        <v>158</v>
      </c>
      <c r="CO151" s="17" t="s">
        <v>158</v>
      </c>
      <c r="CP151" s="17" t="s">
        <v>158</v>
      </c>
      <c r="CQ151" s="17" t="s">
        <v>158</v>
      </c>
      <c r="CR151" s="17" t="s">
        <v>158</v>
      </c>
      <c r="CS151" s="17" t="s">
        <v>158</v>
      </c>
      <c r="CT151" s="17" t="s">
        <v>158</v>
      </c>
      <c r="CU151" s="17" t="s">
        <v>158</v>
      </c>
      <c r="CV151" s="17" t="s">
        <v>158</v>
      </c>
      <c r="CW151" s="17" t="s">
        <v>158</v>
      </c>
      <c r="CX151" s="17" t="s">
        <v>158</v>
      </c>
      <c r="CY151" s="67" t="s">
        <v>158</v>
      </c>
    </row>
    <row r="152" spans="1:103" x14ac:dyDescent="0.2">
      <c r="A152" s="32" t="s">
        <v>6</v>
      </c>
      <c r="B152" s="14" t="s">
        <v>6</v>
      </c>
      <c r="C152" s="14" t="s">
        <v>20</v>
      </c>
      <c r="G152" s="28">
        <v>42256</v>
      </c>
      <c r="H152" s="16">
        <v>2015</v>
      </c>
      <c r="I152" s="135" t="s">
        <v>33</v>
      </c>
      <c r="J152" s="135">
        <v>10</v>
      </c>
      <c r="K152" s="136" t="s">
        <v>158</v>
      </c>
      <c r="L152" s="5" t="s">
        <v>158</v>
      </c>
      <c r="M152" s="5">
        <v>9.4E-2</v>
      </c>
      <c r="N152" s="5">
        <v>0.47</v>
      </c>
      <c r="O152" s="5">
        <v>2.5</v>
      </c>
      <c r="P152" s="5">
        <v>1.8</v>
      </c>
      <c r="Q152" s="5">
        <v>5.3</v>
      </c>
      <c r="R152" s="5">
        <v>4</v>
      </c>
      <c r="S152" s="5">
        <v>2</v>
      </c>
      <c r="T152" s="5">
        <f t="shared" si="12"/>
        <v>16.164000000000001</v>
      </c>
      <c r="U152" s="17" t="s">
        <v>158</v>
      </c>
      <c r="V152" s="5" t="s">
        <v>76</v>
      </c>
      <c r="W152" s="5">
        <v>0.32</v>
      </c>
      <c r="X152" s="5">
        <v>9.2999999999999999E-2</v>
      </c>
      <c r="Y152" s="5">
        <v>0.17</v>
      </c>
      <c r="Z152" s="5" t="s">
        <v>76</v>
      </c>
      <c r="AA152" s="5">
        <v>5.6000000000000001E-2</v>
      </c>
      <c r="AB152" s="5">
        <v>2.7E-2</v>
      </c>
      <c r="AC152" s="5" t="s">
        <v>65</v>
      </c>
      <c r="AD152" s="5">
        <f t="shared" si="13"/>
        <v>0.66600000000000015</v>
      </c>
      <c r="AE152" s="17">
        <f t="shared" si="9"/>
        <v>0.66600000000000004</v>
      </c>
      <c r="AF152" s="5" t="s">
        <v>65</v>
      </c>
      <c r="AG152" s="18" t="s">
        <v>158</v>
      </c>
      <c r="AH152" s="18">
        <v>5.6907989616383032</v>
      </c>
      <c r="AI152" s="5" t="s">
        <v>65</v>
      </c>
      <c r="AJ152" s="5" t="s">
        <v>65</v>
      </c>
      <c r="AK152" s="5" t="s">
        <v>56</v>
      </c>
      <c r="AL152" s="5" t="s">
        <v>65</v>
      </c>
      <c r="AM152" s="5" t="s">
        <v>65</v>
      </c>
      <c r="AN152" s="5">
        <v>0.52913421786366699</v>
      </c>
      <c r="AO152" s="5">
        <v>0.16849341409479854</v>
      </c>
      <c r="AP152" s="5" t="s">
        <v>72</v>
      </c>
      <c r="AQ152" s="5">
        <v>0.2664984136140755</v>
      </c>
      <c r="AR152" s="5">
        <v>3.4948562638207871E-2</v>
      </c>
      <c r="AS152" s="5" t="s">
        <v>158</v>
      </c>
      <c r="AT152" s="5" t="s">
        <v>158</v>
      </c>
      <c r="AU152" s="5" t="s">
        <v>158</v>
      </c>
      <c r="AV152" s="5" t="s">
        <v>158</v>
      </c>
      <c r="AW152" s="5" t="s">
        <v>158</v>
      </c>
      <c r="BC152" s="5">
        <v>95.662537537537517</v>
      </c>
      <c r="BD152" s="5" t="s">
        <v>65</v>
      </c>
      <c r="BE152" s="5" t="s">
        <v>65</v>
      </c>
      <c r="BF152" s="5" t="s">
        <v>56</v>
      </c>
      <c r="BG152" s="5" t="s">
        <v>65</v>
      </c>
      <c r="BH152" s="5">
        <v>0.36783502252252248</v>
      </c>
      <c r="BI152" s="5">
        <v>7.6076435810810805</v>
      </c>
      <c r="BJ152" s="5">
        <v>2.2470908408408405</v>
      </c>
      <c r="BK152" s="5" t="s">
        <v>72</v>
      </c>
      <c r="BL152" s="5">
        <v>4.3227946696696691</v>
      </c>
      <c r="BM152" s="5">
        <v>0.25103228228228225</v>
      </c>
      <c r="BN152" s="17">
        <v>62</v>
      </c>
      <c r="BO152" s="5" t="s">
        <v>158</v>
      </c>
      <c r="BP152" s="5" t="s">
        <v>158</v>
      </c>
      <c r="BQ152" s="5" t="s">
        <v>158</v>
      </c>
      <c r="BR152" s="5" t="s">
        <v>158</v>
      </c>
      <c r="BS152" s="5" t="s">
        <v>158</v>
      </c>
      <c r="BT152" s="5" t="s">
        <v>158</v>
      </c>
      <c r="BU152" s="5" t="s">
        <v>158</v>
      </c>
      <c r="BV152" s="5" t="s">
        <v>158</v>
      </c>
      <c r="BW152" s="5" t="s">
        <v>158</v>
      </c>
      <c r="BX152" s="5" t="s">
        <v>158</v>
      </c>
      <c r="BY152" s="5" t="s">
        <v>158</v>
      </c>
      <c r="BZ152" s="5" t="s">
        <v>158</v>
      </c>
      <c r="CA152" s="5" t="s">
        <v>158</v>
      </c>
      <c r="CB152" s="5" t="s">
        <v>158</v>
      </c>
      <c r="CC152" s="5" t="s">
        <v>158</v>
      </c>
      <c r="CD152" s="5" t="s">
        <v>158</v>
      </c>
      <c r="CE152" s="5" t="s">
        <v>158</v>
      </c>
      <c r="CF152" s="5" t="s">
        <v>158</v>
      </c>
      <c r="CG152" s="5" t="s">
        <v>158</v>
      </c>
      <c r="CH152" s="5" t="s">
        <v>158</v>
      </c>
      <c r="CI152" s="17" t="s">
        <v>158</v>
      </c>
      <c r="CJ152" s="17" t="s">
        <v>158</v>
      </c>
      <c r="CK152" s="17" t="s">
        <v>158</v>
      </c>
      <c r="CL152" s="17" t="s">
        <v>158</v>
      </c>
      <c r="CM152" s="17" t="s">
        <v>158</v>
      </c>
      <c r="CN152" s="17" t="s">
        <v>158</v>
      </c>
      <c r="CO152" s="17" t="s">
        <v>158</v>
      </c>
      <c r="CP152" s="17" t="s">
        <v>158</v>
      </c>
      <c r="CQ152" s="17" t="s">
        <v>158</v>
      </c>
      <c r="CR152" s="17" t="s">
        <v>158</v>
      </c>
      <c r="CS152" s="17" t="s">
        <v>158</v>
      </c>
      <c r="CT152" s="17" t="s">
        <v>158</v>
      </c>
      <c r="CU152" s="17" t="s">
        <v>158</v>
      </c>
      <c r="CV152" s="17" t="s">
        <v>158</v>
      </c>
      <c r="CW152" s="17" t="s">
        <v>158</v>
      </c>
      <c r="CX152" s="17" t="s">
        <v>158</v>
      </c>
      <c r="CY152" s="67" t="s">
        <v>158</v>
      </c>
    </row>
    <row r="153" spans="1:103" x14ac:dyDescent="0.2">
      <c r="A153" s="36" t="s">
        <v>112</v>
      </c>
      <c r="B153" s="58" t="s">
        <v>24</v>
      </c>
      <c r="C153" s="25" t="s">
        <v>20</v>
      </c>
      <c r="D153" s="25" t="s">
        <v>125</v>
      </c>
      <c r="E153" s="26"/>
      <c r="F153" s="27"/>
      <c r="G153" s="28">
        <v>41896</v>
      </c>
      <c r="H153" s="29">
        <v>2014</v>
      </c>
      <c r="I153" s="135" t="s">
        <v>33</v>
      </c>
      <c r="J153" s="135">
        <v>10</v>
      </c>
      <c r="K153" s="136" t="s">
        <v>158</v>
      </c>
      <c r="L153" s="5" t="s">
        <v>158</v>
      </c>
      <c r="M153" s="30">
        <v>1</v>
      </c>
      <c r="N153" s="30">
        <v>1.9</v>
      </c>
      <c r="O153" s="30">
        <v>6.2</v>
      </c>
      <c r="P153" s="30">
        <v>5.4</v>
      </c>
      <c r="Q153" s="30">
        <v>11</v>
      </c>
      <c r="R153" s="30">
        <v>9.6</v>
      </c>
      <c r="S153" s="30">
        <v>3.4</v>
      </c>
      <c r="T153" s="30">
        <v>39</v>
      </c>
      <c r="U153" s="17" t="s">
        <v>158</v>
      </c>
      <c r="V153" s="17" t="s">
        <v>77</v>
      </c>
      <c r="W153" s="5">
        <v>0.21</v>
      </c>
      <c r="X153" s="5">
        <v>8.2000000000000003E-2</v>
      </c>
      <c r="Y153" s="5">
        <v>0.1</v>
      </c>
      <c r="Z153" s="5" t="s">
        <v>34</v>
      </c>
      <c r="AA153" s="5" t="s">
        <v>34</v>
      </c>
      <c r="AB153" s="5" t="s">
        <v>34</v>
      </c>
      <c r="AC153" s="5" t="s">
        <v>35</v>
      </c>
      <c r="AD153" s="5">
        <v>0.39200000000000002</v>
      </c>
      <c r="AE153" s="17">
        <f t="shared" si="9"/>
        <v>0.39200000000000002</v>
      </c>
      <c r="AF153" s="30" t="s">
        <v>36</v>
      </c>
      <c r="AG153" s="18" t="s">
        <v>158</v>
      </c>
      <c r="AH153" s="31">
        <f>BC153/18.8</f>
        <v>4.787234042553191</v>
      </c>
      <c r="AI153" s="31">
        <f>BD153/18.8</f>
        <v>3.5638297872340428E-2</v>
      </c>
      <c r="AJ153" s="30" t="s">
        <v>158</v>
      </c>
      <c r="AK153" s="30">
        <f t="shared" ref="AK153:AK159" si="14">BF153/18.8</f>
        <v>2.2340425531914891E-2</v>
      </c>
      <c r="AL153" s="30" t="s">
        <v>158</v>
      </c>
      <c r="AM153" s="30">
        <f t="shared" ref="AM153:AO156" si="15">BH153/18.8</f>
        <v>5.0531914893617018E-2</v>
      </c>
      <c r="AN153" s="30">
        <f t="shared" si="15"/>
        <v>0.32978723404255317</v>
      </c>
      <c r="AO153" s="30">
        <f t="shared" si="15"/>
        <v>7.9787234042553182E-2</v>
      </c>
      <c r="AP153" s="30" t="s">
        <v>158</v>
      </c>
      <c r="AQ153" s="30" t="s">
        <v>158</v>
      </c>
      <c r="AR153" s="30" t="s">
        <v>158</v>
      </c>
      <c r="AS153" s="5" t="s">
        <v>158</v>
      </c>
      <c r="AT153" s="5" t="s">
        <v>158</v>
      </c>
      <c r="AU153" s="5" t="s">
        <v>158</v>
      </c>
      <c r="AV153" s="5" t="s">
        <v>158</v>
      </c>
      <c r="AW153" s="5" t="s">
        <v>158</v>
      </c>
      <c r="BC153" s="30">
        <v>90</v>
      </c>
      <c r="BD153" s="30">
        <v>0.67</v>
      </c>
      <c r="BE153" s="30" t="s">
        <v>160</v>
      </c>
      <c r="BF153" s="30">
        <v>0.42</v>
      </c>
      <c r="BG153" s="30" t="s">
        <v>160</v>
      </c>
      <c r="BH153" s="30">
        <v>0.95</v>
      </c>
      <c r="BI153" s="30">
        <v>6.2</v>
      </c>
      <c r="BJ153" s="30">
        <v>1.5</v>
      </c>
      <c r="BK153" s="30" t="s">
        <v>160</v>
      </c>
      <c r="BL153" s="30" t="s">
        <v>160</v>
      </c>
      <c r="BM153" s="17" t="s">
        <v>158</v>
      </c>
      <c r="BN153" s="5" t="s">
        <v>158</v>
      </c>
      <c r="BO153" s="5" t="s">
        <v>158</v>
      </c>
      <c r="BP153" s="5" t="s">
        <v>158</v>
      </c>
      <c r="BQ153" s="5" t="s">
        <v>158</v>
      </c>
      <c r="BR153" s="5" t="s">
        <v>158</v>
      </c>
      <c r="BS153" s="5" t="s">
        <v>158</v>
      </c>
      <c r="BT153" s="5" t="s">
        <v>158</v>
      </c>
      <c r="BU153" s="5" t="s">
        <v>158</v>
      </c>
      <c r="BV153" s="5" t="s">
        <v>158</v>
      </c>
      <c r="BW153" s="5" t="s">
        <v>158</v>
      </c>
      <c r="BX153" s="5" t="s">
        <v>158</v>
      </c>
      <c r="BY153" s="5" t="s">
        <v>158</v>
      </c>
      <c r="BZ153" s="5" t="s">
        <v>158</v>
      </c>
      <c r="CA153" s="5" t="s">
        <v>158</v>
      </c>
      <c r="CB153" s="5" t="s">
        <v>158</v>
      </c>
      <c r="CC153" s="5" t="s">
        <v>158</v>
      </c>
      <c r="CD153" s="5" t="s">
        <v>158</v>
      </c>
      <c r="CE153" s="5" t="s">
        <v>158</v>
      </c>
      <c r="CF153" s="5" t="s">
        <v>158</v>
      </c>
      <c r="CG153" s="5" t="s">
        <v>158</v>
      </c>
      <c r="CH153" s="5" t="s">
        <v>158</v>
      </c>
      <c r="CI153" s="17" t="s">
        <v>158</v>
      </c>
      <c r="CJ153" s="17" t="s">
        <v>158</v>
      </c>
      <c r="CK153" s="17" t="s">
        <v>158</v>
      </c>
      <c r="CL153" s="17" t="s">
        <v>158</v>
      </c>
      <c r="CM153" s="17" t="s">
        <v>158</v>
      </c>
      <c r="CN153" s="17" t="s">
        <v>158</v>
      </c>
      <c r="CO153" s="17" t="s">
        <v>158</v>
      </c>
      <c r="CP153" s="17" t="s">
        <v>158</v>
      </c>
      <c r="CQ153" s="17" t="s">
        <v>158</v>
      </c>
      <c r="CR153" s="17" t="s">
        <v>158</v>
      </c>
      <c r="CS153" s="17" t="s">
        <v>158</v>
      </c>
      <c r="CT153" s="17" t="s">
        <v>158</v>
      </c>
      <c r="CU153" s="17" t="s">
        <v>158</v>
      </c>
      <c r="CV153" s="17" t="s">
        <v>158</v>
      </c>
      <c r="CW153" s="17" t="s">
        <v>158</v>
      </c>
      <c r="CX153" s="17" t="s">
        <v>158</v>
      </c>
      <c r="CY153" s="67" t="s">
        <v>158</v>
      </c>
    </row>
    <row r="154" spans="1:103" x14ac:dyDescent="0.2">
      <c r="A154" s="36" t="s">
        <v>22</v>
      </c>
      <c r="B154" s="58" t="s">
        <v>22</v>
      </c>
      <c r="C154" s="25" t="s">
        <v>20</v>
      </c>
      <c r="D154" s="25" t="s">
        <v>125</v>
      </c>
      <c r="E154" s="26"/>
      <c r="F154" s="27"/>
      <c r="G154" s="28">
        <v>41899</v>
      </c>
      <c r="H154" s="29">
        <v>2014</v>
      </c>
      <c r="I154" s="135" t="s">
        <v>33</v>
      </c>
      <c r="J154" s="135">
        <v>10</v>
      </c>
      <c r="K154" s="136" t="s">
        <v>158</v>
      </c>
      <c r="L154" s="5" t="s">
        <v>158</v>
      </c>
      <c r="M154" s="30">
        <v>0.95</v>
      </c>
      <c r="N154" s="30">
        <v>2</v>
      </c>
      <c r="O154" s="30">
        <v>6.2</v>
      </c>
      <c r="P154" s="30">
        <v>5</v>
      </c>
      <c r="Q154" s="30">
        <v>12</v>
      </c>
      <c r="R154" s="30">
        <v>11</v>
      </c>
      <c r="S154" s="30">
        <v>4.2</v>
      </c>
      <c r="T154" s="30">
        <v>42</v>
      </c>
      <c r="U154" s="17" t="s">
        <v>158</v>
      </c>
      <c r="V154" s="17" t="s">
        <v>76</v>
      </c>
      <c r="W154" s="5">
        <v>0.28000000000000003</v>
      </c>
      <c r="X154" s="5">
        <v>0.14000000000000001</v>
      </c>
      <c r="Y154" s="5">
        <v>0.28000000000000003</v>
      </c>
      <c r="Z154" s="5" t="s">
        <v>34</v>
      </c>
      <c r="AA154" s="5">
        <v>5.7000000000000002E-2</v>
      </c>
      <c r="AB154" s="5">
        <v>4.7E-2</v>
      </c>
      <c r="AC154" s="5" t="s">
        <v>37</v>
      </c>
      <c r="AD154" s="5">
        <v>0.80400000000000016</v>
      </c>
      <c r="AE154" s="17">
        <f>SUM(V154,W154,Y154,X154,AB154,AA154)</f>
        <v>0.80400000000000016</v>
      </c>
      <c r="AF154" s="30" t="s">
        <v>38</v>
      </c>
      <c r="AG154" s="18" t="s">
        <v>158</v>
      </c>
      <c r="AH154" s="31">
        <f>BC154/18.8</f>
        <v>9.5744680851063819</v>
      </c>
      <c r="AI154" s="31">
        <f>BD154/18.8</f>
        <v>4.5212765957446804E-2</v>
      </c>
      <c r="AJ154" s="30" t="s">
        <v>158</v>
      </c>
      <c r="AK154" s="30">
        <f t="shared" si="14"/>
        <v>6.382978723404255E-3</v>
      </c>
      <c r="AL154" s="30" t="s">
        <v>158</v>
      </c>
      <c r="AM154" s="30">
        <f t="shared" si="15"/>
        <v>1.1702127659574468E-2</v>
      </c>
      <c r="AN154" s="30">
        <f t="shared" si="15"/>
        <v>0.25</v>
      </c>
      <c r="AO154" s="30">
        <f t="shared" si="15"/>
        <v>0.20744680851063829</v>
      </c>
      <c r="AP154" s="30" t="s">
        <v>158</v>
      </c>
      <c r="AQ154" s="30" t="s">
        <v>158</v>
      </c>
      <c r="AR154" s="30" t="s">
        <v>158</v>
      </c>
      <c r="AS154" s="5" t="s">
        <v>158</v>
      </c>
      <c r="AT154" s="5" t="s">
        <v>158</v>
      </c>
      <c r="AU154" s="5" t="s">
        <v>158</v>
      </c>
      <c r="AV154" s="5" t="s">
        <v>158</v>
      </c>
      <c r="AW154" s="5" t="s">
        <v>158</v>
      </c>
      <c r="BC154" s="30">
        <v>180</v>
      </c>
      <c r="BD154" s="30">
        <v>0.85</v>
      </c>
      <c r="BE154" s="30" t="s">
        <v>160</v>
      </c>
      <c r="BF154" s="30">
        <v>0.12</v>
      </c>
      <c r="BG154" s="30" t="s">
        <v>160</v>
      </c>
      <c r="BH154" s="30">
        <v>0.22</v>
      </c>
      <c r="BI154" s="30">
        <v>4.7</v>
      </c>
      <c r="BJ154" s="30">
        <v>3.9</v>
      </c>
      <c r="BK154" s="30" t="s">
        <v>160</v>
      </c>
      <c r="BL154" s="30" t="s">
        <v>160</v>
      </c>
      <c r="BM154" s="17" t="s">
        <v>158</v>
      </c>
      <c r="BN154" s="5" t="s">
        <v>158</v>
      </c>
      <c r="BO154" s="5" t="s">
        <v>158</v>
      </c>
      <c r="BP154" s="5" t="s">
        <v>158</v>
      </c>
      <c r="BQ154" s="5" t="s">
        <v>158</v>
      </c>
      <c r="BR154" s="5" t="s">
        <v>158</v>
      </c>
      <c r="BS154" s="5" t="s">
        <v>158</v>
      </c>
      <c r="BT154" s="5" t="s">
        <v>158</v>
      </c>
      <c r="BU154" s="5" t="s">
        <v>158</v>
      </c>
      <c r="BV154" s="5" t="s">
        <v>158</v>
      </c>
      <c r="BW154" s="5" t="s">
        <v>158</v>
      </c>
      <c r="BX154" s="5" t="s">
        <v>158</v>
      </c>
      <c r="BY154" s="5" t="s">
        <v>158</v>
      </c>
      <c r="BZ154" s="5" t="s">
        <v>158</v>
      </c>
      <c r="CA154" s="5" t="s">
        <v>158</v>
      </c>
      <c r="CB154" s="5" t="s">
        <v>158</v>
      </c>
      <c r="CC154" s="5" t="s">
        <v>158</v>
      </c>
      <c r="CD154" s="5" t="s">
        <v>158</v>
      </c>
      <c r="CE154" s="5" t="s">
        <v>158</v>
      </c>
      <c r="CF154" s="5" t="s">
        <v>158</v>
      </c>
      <c r="CG154" s="5" t="s">
        <v>158</v>
      </c>
      <c r="CH154" s="5" t="s">
        <v>158</v>
      </c>
      <c r="CI154" s="17" t="s">
        <v>158</v>
      </c>
      <c r="CJ154" s="17" t="s">
        <v>158</v>
      </c>
      <c r="CK154" s="17" t="s">
        <v>158</v>
      </c>
      <c r="CL154" s="17" t="s">
        <v>158</v>
      </c>
      <c r="CM154" s="17" t="s">
        <v>158</v>
      </c>
      <c r="CN154" s="17" t="s">
        <v>158</v>
      </c>
      <c r="CO154" s="17" t="s">
        <v>158</v>
      </c>
      <c r="CP154" s="17" t="s">
        <v>158</v>
      </c>
      <c r="CQ154" s="17" t="s">
        <v>158</v>
      </c>
      <c r="CR154" s="17" t="s">
        <v>158</v>
      </c>
      <c r="CS154" s="17" t="s">
        <v>158</v>
      </c>
      <c r="CT154" s="17" t="s">
        <v>158</v>
      </c>
      <c r="CU154" s="17" t="s">
        <v>158</v>
      </c>
      <c r="CV154" s="17" t="s">
        <v>158</v>
      </c>
      <c r="CW154" s="17" t="s">
        <v>158</v>
      </c>
      <c r="CX154" s="17" t="s">
        <v>158</v>
      </c>
      <c r="CY154" s="67" t="s">
        <v>158</v>
      </c>
    </row>
    <row r="155" spans="1:103" x14ac:dyDescent="0.2">
      <c r="A155" s="36" t="s">
        <v>21</v>
      </c>
      <c r="B155" s="58" t="s">
        <v>21</v>
      </c>
      <c r="C155" s="25" t="s">
        <v>20</v>
      </c>
      <c r="D155" s="25" t="s">
        <v>125</v>
      </c>
      <c r="E155" s="26"/>
      <c r="F155" s="27"/>
      <c r="G155" s="28">
        <v>41986</v>
      </c>
      <c r="H155" s="29">
        <v>2014</v>
      </c>
      <c r="I155" s="135" t="s">
        <v>33</v>
      </c>
      <c r="J155" s="135">
        <v>10</v>
      </c>
      <c r="K155" s="136" t="s">
        <v>158</v>
      </c>
      <c r="L155" s="5" t="s">
        <v>158</v>
      </c>
      <c r="M155" s="30" t="s">
        <v>39</v>
      </c>
      <c r="N155" s="30">
        <v>0.23</v>
      </c>
      <c r="O155" s="30">
        <v>1.7</v>
      </c>
      <c r="P155" s="30">
        <v>1.4</v>
      </c>
      <c r="Q155" s="30">
        <v>6.4</v>
      </c>
      <c r="R155" s="30">
        <v>5.4</v>
      </c>
      <c r="S155" s="30">
        <v>2.7</v>
      </c>
      <c r="T155" s="30">
        <v>18</v>
      </c>
      <c r="U155" s="17" t="s">
        <v>158</v>
      </c>
      <c r="V155" s="17" t="s">
        <v>76</v>
      </c>
      <c r="W155" s="5">
        <v>0.28000000000000003</v>
      </c>
      <c r="X155" s="5">
        <v>0.13</v>
      </c>
      <c r="Y155" s="5">
        <v>0.2</v>
      </c>
      <c r="Z155" s="5" t="s">
        <v>34</v>
      </c>
      <c r="AA155" s="5">
        <v>4.3999999999999997E-2</v>
      </c>
      <c r="AB155" s="5">
        <v>3.5000000000000003E-2</v>
      </c>
      <c r="AC155" s="5" t="s">
        <v>35</v>
      </c>
      <c r="AD155" s="5">
        <v>0.68900000000000017</v>
      </c>
      <c r="AE155" s="17">
        <f t="shared" si="9"/>
        <v>0.68900000000000017</v>
      </c>
      <c r="AF155" s="30" t="s">
        <v>38</v>
      </c>
      <c r="AG155" s="18" t="s">
        <v>158</v>
      </c>
      <c r="AH155" s="31">
        <f t="shared" ref="AH155:AH192" si="16">BC155/18.8</f>
        <v>11.702127659574467</v>
      </c>
      <c r="AI155" s="31">
        <f>BD155/18.8</f>
        <v>4.0425531914893613E-2</v>
      </c>
      <c r="AJ155" s="30">
        <f>BE155/18.8</f>
        <v>1.276595744680851E-2</v>
      </c>
      <c r="AK155" s="30">
        <f t="shared" si="14"/>
        <v>5.8510638297872338E-3</v>
      </c>
      <c r="AL155" s="30" t="s">
        <v>158</v>
      </c>
      <c r="AM155" s="30">
        <f t="shared" si="15"/>
        <v>1.276595744680851E-2</v>
      </c>
      <c r="AN155" s="30">
        <f t="shared" si="15"/>
        <v>0.27659574468085107</v>
      </c>
      <c r="AO155" s="30">
        <f t="shared" si="15"/>
        <v>0.25</v>
      </c>
      <c r="AP155" s="30" t="s">
        <v>158</v>
      </c>
      <c r="AQ155" s="30" t="s">
        <v>158</v>
      </c>
      <c r="AR155" s="30" t="s">
        <v>158</v>
      </c>
      <c r="AS155" s="5" t="s">
        <v>158</v>
      </c>
      <c r="AT155" s="5" t="s">
        <v>158</v>
      </c>
      <c r="AU155" s="5" t="s">
        <v>158</v>
      </c>
      <c r="AV155" s="5" t="s">
        <v>158</v>
      </c>
      <c r="AW155" s="5" t="s">
        <v>158</v>
      </c>
      <c r="BC155" s="30">
        <v>220</v>
      </c>
      <c r="BD155" s="30">
        <v>0.76</v>
      </c>
      <c r="BE155" s="30">
        <v>0.24</v>
      </c>
      <c r="BF155" s="30">
        <v>0.11</v>
      </c>
      <c r="BG155" s="30" t="s">
        <v>160</v>
      </c>
      <c r="BH155" s="30">
        <v>0.24</v>
      </c>
      <c r="BI155" s="30">
        <v>5.2</v>
      </c>
      <c r="BJ155" s="30">
        <v>4.7</v>
      </c>
      <c r="BK155" s="30" t="s">
        <v>160</v>
      </c>
      <c r="BL155" s="30" t="s">
        <v>160</v>
      </c>
      <c r="BM155" s="17" t="s">
        <v>158</v>
      </c>
      <c r="BN155" s="5" t="s">
        <v>158</v>
      </c>
      <c r="BO155" s="5" t="s">
        <v>158</v>
      </c>
      <c r="BP155" s="5" t="s">
        <v>158</v>
      </c>
      <c r="BQ155" s="5" t="s">
        <v>158</v>
      </c>
      <c r="BR155" s="5" t="s">
        <v>158</v>
      </c>
      <c r="BS155" s="5" t="s">
        <v>158</v>
      </c>
      <c r="BT155" s="5" t="s">
        <v>158</v>
      </c>
      <c r="BU155" s="5" t="s">
        <v>158</v>
      </c>
      <c r="BV155" s="5" t="s">
        <v>158</v>
      </c>
      <c r="BW155" s="5" t="s">
        <v>158</v>
      </c>
      <c r="BX155" s="5" t="s">
        <v>158</v>
      </c>
      <c r="BY155" s="5" t="s">
        <v>158</v>
      </c>
      <c r="BZ155" s="5" t="s">
        <v>158</v>
      </c>
      <c r="CA155" s="5" t="s">
        <v>158</v>
      </c>
      <c r="CB155" s="5" t="s">
        <v>158</v>
      </c>
      <c r="CC155" s="5" t="s">
        <v>158</v>
      </c>
      <c r="CD155" s="5" t="s">
        <v>158</v>
      </c>
      <c r="CE155" s="5" t="s">
        <v>158</v>
      </c>
      <c r="CF155" s="5" t="s">
        <v>158</v>
      </c>
      <c r="CG155" s="5" t="s">
        <v>158</v>
      </c>
      <c r="CH155" s="5" t="s">
        <v>158</v>
      </c>
      <c r="CI155" s="17" t="s">
        <v>158</v>
      </c>
      <c r="CJ155" s="17" t="s">
        <v>158</v>
      </c>
      <c r="CK155" s="17" t="s">
        <v>158</v>
      </c>
      <c r="CL155" s="17" t="s">
        <v>158</v>
      </c>
      <c r="CM155" s="17" t="s">
        <v>158</v>
      </c>
      <c r="CN155" s="17" t="s">
        <v>158</v>
      </c>
      <c r="CO155" s="17" t="s">
        <v>158</v>
      </c>
      <c r="CP155" s="17" t="s">
        <v>158</v>
      </c>
      <c r="CQ155" s="17" t="s">
        <v>158</v>
      </c>
      <c r="CR155" s="17" t="s">
        <v>158</v>
      </c>
      <c r="CS155" s="17" t="s">
        <v>158</v>
      </c>
      <c r="CT155" s="17" t="s">
        <v>158</v>
      </c>
      <c r="CU155" s="17" t="s">
        <v>158</v>
      </c>
      <c r="CV155" s="17" t="s">
        <v>158</v>
      </c>
      <c r="CW155" s="17" t="s">
        <v>158</v>
      </c>
      <c r="CX155" s="17" t="s">
        <v>158</v>
      </c>
      <c r="CY155" s="67" t="s">
        <v>158</v>
      </c>
    </row>
    <row r="156" spans="1:103" x14ac:dyDescent="0.2">
      <c r="A156" s="36" t="s">
        <v>23</v>
      </c>
      <c r="B156" s="58" t="s">
        <v>23</v>
      </c>
      <c r="C156" s="25" t="s">
        <v>20</v>
      </c>
      <c r="D156" s="25" t="s">
        <v>125</v>
      </c>
      <c r="E156" s="26"/>
      <c r="F156" s="27"/>
      <c r="G156" s="28">
        <v>41898</v>
      </c>
      <c r="H156" s="29">
        <v>2014</v>
      </c>
      <c r="I156" s="135" t="s">
        <v>33</v>
      </c>
      <c r="J156" s="135">
        <v>10</v>
      </c>
      <c r="K156" s="136" t="s">
        <v>158</v>
      </c>
      <c r="L156" s="5" t="s">
        <v>158</v>
      </c>
      <c r="M156" s="30">
        <v>0.4</v>
      </c>
      <c r="N156" s="30">
        <v>1.7</v>
      </c>
      <c r="O156" s="30">
        <v>6.6</v>
      </c>
      <c r="P156" s="30">
        <v>5.5</v>
      </c>
      <c r="Q156" s="30">
        <v>11</v>
      </c>
      <c r="R156" s="30">
        <v>11</v>
      </c>
      <c r="S156" s="30">
        <v>4.3</v>
      </c>
      <c r="T156" s="30">
        <v>41</v>
      </c>
      <c r="U156" s="17" t="s">
        <v>158</v>
      </c>
      <c r="V156" s="17" t="s">
        <v>76</v>
      </c>
      <c r="W156" s="5">
        <v>6.9000000000000006E-2</v>
      </c>
      <c r="X156" s="5">
        <v>4.4999999999999998E-2</v>
      </c>
      <c r="Y156" s="5">
        <v>3.7999999999999999E-2</v>
      </c>
      <c r="Z156" s="5">
        <v>5.1999999999999998E-2</v>
      </c>
      <c r="AA156" s="5" t="s">
        <v>40</v>
      </c>
      <c r="AB156" s="5" t="s">
        <v>40</v>
      </c>
      <c r="AC156" s="5" t="s">
        <v>41</v>
      </c>
      <c r="AD156" s="5">
        <v>0.20400000000000001</v>
      </c>
      <c r="AE156" s="17">
        <f>SUM(V156,W156,Y156,X156,AB156,AA156)</f>
        <v>0.15200000000000002</v>
      </c>
      <c r="AF156" s="30" t="s">
        <v>42</v>
      </c>
      <c r="AG156" s="18" t="s">
        <v>158</v>
      </c>
      <c r="AH156" s="31">
        <f t="shared" si="16"/>
        <v>6.914893617021276</v>
      </c>
      <c r="AI156" s="31">
        <f>BD156/18.8</f>
        <v>4.9468085106382981E-2</v>
      </c>
      <c r="AJ156" s="30">
        <f>BE156/18.8</f>
        <v>2.3404255319148935E-2</v>
      </c>
      <c r="AK156" s="30">
        <f t="shared" si="14"/>
        <v>2.5000000000000001E-3</v>
      </c>
      <c r="AL156" s="30" t="s">
        <v>158</v>
      </c>
      <c r="AM156" s="30">
        <f t="shared" si="15"/>
        <v>2.7659574468085105E-2</v>
      </c>
      <c r="AN156" s="30">
        <f t="shared" si="15"/>
        <v>0.3457446808510638</v>
      </c>
      <c r="AO156" s="30">
        <f t="shared" si="15"/>
        <v>0.1702127659574468</v>
      </c>
      <c r="AP156" s="30" t="s">
        <v>158</v>
      </c>
      <c r="AQ156" s="30" t="s">
        <v>158</v>
      </c>
      <c r="AR156" s="30" t="s">
        <v>158</v>
      </c>
      <c r="AS156" s="5" t="s">
        <v>158</v>
      </c>
      <c r="AT156" s="5" t="s">
        <v>158</v>
      </c>
      <c r="AU156" s="5" t="s">
        <v>158</v>
      </c>
      <c r="AV156" s="5" t="s">
        <v>158</v>
      </c>
      <c r="AW156" s="5" t="s">
        <v>158</v>
      </c>
      <c r="BC156" s="30">
        <v>130</v>
      </c>
      <c r="BD156" s="30">
        <v>0.93</v>
      </c>
      <c r="BE156" s="30">
        <v>0.44</v>
      </c>
      <c r="BF156" s="30">
        <v>4.7E-2</v>
      </c>
      <c r="BG156" s="30" t="s">
        <v>160</v>
      </c>
      <c r="BH156" s="30">
        <v>0.52</v>
      </c>
      <c r="BI156" s="30">
        <v>6.5</v>
      </c>
      <c r="BJ156" s="30">
        <v>3.2</v>
      </c>
      <c r="BK156" s="30" t="s">
        <v>160</v>
      </c>
      <c r="BL156" s="30" t="s">
        <v>160</v>
      </c>
      <c r="BM156" s="17" t="s">
        <v>158</v>
      </c>
      <c r="BN156" s="5" t="s">
        <v>158</v>
      </c>
      <c r="BO156" s="5" t="s">
        <v>158</v>
      </c>
      <c r="BP156" s="5" t="s">
        <v>158</v>
      </c>
      <c r="BQ156" s="5" t="s">
        <v>158</v>
      </c>
      <c r="BR156" s="5" t="s">
        <v>158</v>
      </c>
      <c r="BS156" s="5" t="s">
        <v>158</v>
      </c>
      <c r="BT156" s="5" t="s">
        <v>158</v>
      </c>
      <c r="BU156" s="5" t="s">
        <v>158</v>
      </c>
      <c r="BV156" s="5" t="s">
        <v>158</v>
      </c>
      <c r="BW156" s="5" t="s">
        <v>158</v>
      </c>
      <c r="BX156" s="5" t="s">
        <v>158</v>
      </c>
      <c r="BY156" s="5" t="s">
        <v>158</v>
      </c>
      <c r="BZ156" s="5" t="s">
        <v>158</v>
      </c>
      <c r="CA156" s="5" t="s">
        <v>158</v>
      </c>
      <c r="CB156" s="5" t="s">
        <v>158</v>
      </c>
      <c r="CC156" s="5" t="s">
        <v>158</v>
      </c>
      <c r="CD156" s="5" t="s">
        <v>158</v>
      </c>
      <c r="CE156" s="5" t="s">
        <v>158</v>
      </c>
      <c r="CF156" s="5" t="s">
        <v>158</v>
      </c>
      <c r="CG156" s="5" t="s">
        <v>158</v>
      </c>
      <c r="CH156" s="5" t="s">
        <v>158</v>
      </c>
      <c r="CI156" s="17" t="s">
        <v>158</v>
      </c>
      <c r="CJ156" s="17" t="s">
        <v>158</v>
      </c>
      <c r="CK156" s="17" t="s">
        <v>158</v>
      </c>
      <c r="CL156" s="17" t="s">
        <v>158</v>
      </c>
      <c r="CM156" s="17" t="s">
        <v>158</v>
      </c>
      <c r="CN156" s="17" t="s">
        <v>158</v>
      </c>
      <c r="CO156" s="17" t="s">
        <v>158</v>
      </c>
      <c r="CP156" s="17" t="s">
        <v>158</v>
      </c>
      <c r="CQ156" s="17" t="s">
        <v>158</v>
      </c>
      <c r="CR156" s="17" t="s">
        <v>158</v>
      </c>
      <c r="CS156" s="17" t="s">
        <v>158</v>
      </c>
      <c r="CT156" s="17" t="s">
        <v>158</v>
      </c>
      <c r="CU156" s="17" t="s">
        <v>158</v>
      </c>
      <c r="CV156" s="17" t="s">
        <v>158</v>
      </c>
      <c r="CW156" s="17" t="s">
        <v>158</v>
      </c>
      <c r="CX156" s="17" t="s">
        <v>158</v>
      </c>
      <c r="CY156" s="67" t="s">
        <v>158</v>
      </c>
    </row>
    <row r="157" spans="1:103" x14ac:dyDescent="0.2">
      <c r="A157" s="36" t="s">
        <v>112</v>
      </c>
      <c r="B157" s="58" t="s">
        <v>24</v>
      </c>
      <c r="C157" s="25" t="s">
        <v>20</v>
      </c>
      <c r="D157" s="25" t="s">
        <v>125</v>
      </c>
      <c r="G157" s="28">
        <v>41517</v>
      </c>
      <c r="H157" s="16">
        <v>2013</v>
      </c>
      <c r="I157" s="135" t="s">
        <v>33</v>
      </c>
      <c r="J157" s="135">
        <v>10</v>
      </c>
      <c r="K157" s="136">
        <v>0.72346398877015194</v>
      </c>
      <c r="L157" s="5" t="s">
        <v>158</v>
      </c>
      <c r="M157" s="5" t="s">
        <v>158</v>
      </c>
      <c r="N157" s="5" t="s">
        <v>158</v>
      </c>
      <c r="O157" s="5" t="s">
        <v>158</v>
      </c>
      <c r="P157" s="5" t="s">
        <v>158</v>
      </c>
      <c r="Q157" s="5" t="s">
        <v>158</v>
      </c>
      <c r="R157" s="5" t="s">
        <v>158</v>
      </c>
      <c r="S157" s="5" t="s">
        <v>158</v>
      </c>
      <c r="T157" s="5" t="s">
        <v>158</v>
      </c>
      <c r="U157" s="17" t="s">
        <v>158</v>
      </c>
      <c r="V157" s="5" t="s">
        <v>158</v>
      </c>
      <c r="W157" s="5" t="s">
        <v>158</v>
      </c>
      <c r="X157" s="5" t="s">
        <v>158</v>
      </c>
      <c r="Y157" s="5" t="s">
        <v>158</v>
      </c>
      <c r="Z157" s="5" t="s">
        <v>158</v>
      </c>
      <c r="AA157" s="5" t="s">
        <v>158</v>
      </c>
      <c r="AB157" s="5" t="s">
        <v>158</v>
      </c>
      <c r="AC157" s="5" t="s">
        <v>158</v>
      </c>
      <c r="AD157" s="5" t="s">
        <v>158</v>
      </c>
      <c r="AE157" s="17" t="s">
        <v>158</v>
      </c>
      <c r="AF157" s="5" t="s">
        <v>158</v>
      </c>
      <c r="AG157" s="18" t="s">
        <v>158</v>
      </c>
      <c r="AH157" s="31">
        <f t="shared" si="16"/>
        <v>16.648936170212764</v>
      </c>
      <c r="AI157" s="30" t="s">
        <v>158</v>
      </c>
      <c r="AJ157" s="30" t="s">
        <v>158</v>
      </c>
      <c r="AK157" s="30">
        <f t="shared" si="14"/>
        <v>4.6755319148936166E-2</v>
      </c>
      <c r="AL157" s="30" t="s">
        <v>158</v>
      </c>
      <c r="AM157" s="30" t="s">
        <v>158</v>
      </c>
      <c r="AN157" s="30" t="s">
        <v>158</v>
      </c>
      <c r="AO157" s="30" t="s">
        <v>158</v>
      </c>
      <c r="AP157" s="30" t="s">
        <v>158</v>
      </c>
      <c r="AQ157" s="30" t="s">
        <v>158</v>
      </c>
      <c r="AR157" s="30" t="s">
        <v>158</v>
      </c>
      <c r="AS157" s="5" t="s">
        <v>158</v>
      </c>
      <c r="AT157" s="5" t="s">
        <v>158</v>
      </c>
      <c r="AU157" s="5" t="s">
        <v>158</v>
      </c>
      <c r="AV157" s="5" t="s">
        <v>158</v>
      </c>
      <c r="AW157" s="5" t="s">
        <v>158</v>
      </c>
      <c r="BC157" s="30">
        <v>313</v>
      </c>
      <c r="BD157" s="30" t="s">
        <v>160</v>
      </c>
      <c r="BE157" s="30" t="s">
        <v>160</v>
      </c>
      <c r="BF157" s="30">
        <v>0.879</v>
      </c>
      <c r="BG157" s="17" t="s">
        <v>158</v>
      </c>
      <c r="BH157" s="17" t="s">
        <v>158</v>
      </c>
      <c r="BI157" s="17" t="s">
        <v>158</v>
      </c>
      <c r="BJ157" s="17" t="s">
        <v>158</v>
      </c>
      <c r="BK157" s="17" t="s">
        <v>158</v>
      </c>
      <c r="BL157" s="17" t="s">
        <v>158</v>
      </c>
      <c r="BM157" s="17" t="s">
        <v>158</v>
      </c>
      <c r="BN157" s="5" t="s">
        <v>158</v>
      </c>
      <c r="BO157" s="5" t="s">
        <v>158</v>
      </c>
      <c r="BP157" s="5" t="s">
        <v>158</v>
      </c>
      <c r="BQ157" s="5" t="s">
        <v>158</v>
      </c>
      <c r="BR157" s="5" t="s">
        <v>158</v>
      </c>
      <c r="BS157" s="5" t="s">
        <v>158</v>
      </c>
      <c r="BT157" s="5" t="s">
        <v>158</v>
      </c>
      <c r="BU157" s="5" t="s">
        <v>158</v>
      </c>
      <c r="BV157" s="5" t="s">
        <v>158</v>
      </c>
      <c r="BW157" s="5" t="s">
        <v>158</v>
      </c>
      <c r="BX157" s="5" t="s">
        <v>158</v>
      </c>
      <c r="BY157" s="5" t="s">
        <v>158</v>
      </c>
      <c r="BZ157" s="5" t="s">
        <v>158</v>
      </c>
      <c r="CA157" s="5" t="s">
        <v>158</v>
      </c>
      <c r="CB157" s="5" t="s">
        <v>158</v>
      </c>
      <c r="CC157" s="5" t="s">
        <v>158</v>
      </c>
      <c r="CD157" s="5" t="s">
        <v>158</v>
      </c>
      <c r="CE157" s="5" t="s">
        <v>158</v>
      </c>
      <c r="CF157" s="5" t="s">
        <v>158</v>
      </c>
      <c r="CG157" s="5" t="s">
        <v>158</v>
      </c>
      <c r="CH157" s="5" t="s">
        <v>158</v>
      </c>
      <c r="CI157" s="61">
        <v>93.000274130019179</v>
      </c>
      <c r="CJ157" s="61">
        <v>250</v>
      </c>
      <c r="CK157" s="61">
        <v>790</v>
      </c>
      <c r="CL157" s="61">
        <v>650</v>
      </c>
      <c r="CM157" s="61">
        <v>1300</v>
      </c>
      <c r="CN157" s="61">
        <v>1200</v>
      </c>
      <c r="CO157" s="61">
        <v>400</v>
      </c>
      <c r="CP157" s="61">
        <v>4700</v>
      </c>
      <c r="CQ157" s="62">
        <v>35.633283657609191</v>
      </c>
      <c r="CR157" s="63">
        <v>9.6430277939406324</v>
      </c>
      <c r="CS157" s="62">
        <v>10.989990406427578</v>
      </c>
      <c r="CT157" s="63" t="s">
        <v>166</v>
      </c>
      <c r="CU157" s="63">
        <v>3.5957958992964181</v>
      </c>
      <c r="CV157" s="63">
        <v>7.1021665022038949</v>
      </c>
      <c r="CW157" s="63" t="s">
        <v>117</v>
      </c>
      <c r="CX157" s="62">
        <v>67</v>
      </c>
      <c r="CY157" s="68" t="s">
        <v>118</v>
      </c>
    </row>
    <row r="158" spans="1:103" x14ac:dyDescent="0.2">
      <c r="A158" s="36" t="s">
        <v>22</v>
      </c>
      <c r="B158" s="58" t="s">
        <v>22</v>
      </c>
      <c r="C158" s="25" t="s">
        <v>20</v>
      </c>
      <c r="D158" s="25" t="s">
        <v>125</v>
      </c>
      <c r="G158" s="28">
        <v>41514</v>
      </c>
      <c r="H158" s="16">
        <v>2013</v>
      </c>
      <c r="I158" s="135" t="s">
        <v>33</v>
      </c>
      <c r="J158" s="135">
        <v>10</v>
      </c>
      <c r="K158" s="136">
        <v>0.6</v>
      </c>
      <c r="L158" s="5" t="s">
        <v>158</v>
      </c>
      <c r="M158" s="5" t="s">
        <v>158</v>
      </c>
      <c r="N158" s="5" t="s">
        <v>158</v>
      </c>
      <c r="O158" s="5" t="s">
        <v>158</v>
      </c>
      <c r="P158" s="5" t="s">
        <v>158</v>
      </c>
      <c r="Q158" s="5" t="s">
        <v>158</v>
      </c>
      <c r="R158" s="5" t="s">
        <v>158</v>
      </c>
      <c r="S158" s="5" t="s">
        <v>158</v>
      </c>
      <c r="T158" s="5" t="s">
        <v>158</v>
      </c>
      <c r="U158" s="17" t="s">
        <v>158</v>
      </c>
      <c r="V158" s="5" t="s">
        <v>158</v>
      </c>
      <c r="W158" s="5" t="s">
        <v>158</v>
      </c>
      <c r="X158" s="5" t="s">
        <v>158</v>
      </c>
      <c r="Y158" s="5" t="s">
        <v>158</v>
      </c>
      <c r="Z158" s="5" t="s">
        <v>158</v>
      </c>
      <c r="AA158" s="5" t="s">
        <v>158</v>
      </c>
      <c r="AB158" s="5" t="s">
        <v>158</v>
      </c>
      <c r="AC158" s="5" t="s">
        <v>158</v>
      </c>
      <c r="AD158" s="5" t="s">
        <v>158</v>
      </c>
      <c r="AE158" s="17" t="s">
        <v>158</v>
      </c>
      <c r="AF158" s="5" t="s">
        <v>158</v>
      </c>
      <c r="AG158" s="18" t="s">
        <v>158</v>
      </c>
      <c r="AH158" s="31">
        <f t="shared" si="16"/>
        <v>9.8936170212765955</v>
      </c>
      <c r="AI158" s="30" t="s">
        <v>158</v>
      </c>
      <c r="AJ158" s="30" t="s">
        <v>158</v>
      </c>
      <c r="AK158" s="30">
        <f t="shared" si="14"/>
        <v>4.1382978723404254E-2</v>
      </c>
      <c r="AL158" s="30" t="s">
        <v>158</v>
      </c>
      <c r="AM158" s="30" t="s">
        <v>158</v>
      </c>
      <c r="AN158" s="30" t="s">
        <v>158</v>
      </c>
      <c r="AO158" s="30" t="s">
        <v>158</v>
      </c>
      <c r="AP158" s="30" t="s">
        <v>158</v>
      </c>
      <c r="AQ158" s="30" t="s">
        <v>158</v>
      </c>
      <c r="AR158" s="30" t="s">
        <v>158</v>
      </c>
      <c r="AS158" s="5" t="s">
        <v>158</v>
      </c>
      <c r="AT158" s="5" t="s">
        <v>158</v>
      </c>
      <c r="AU158" s="5" t="s">
        <v>158</v>
      </c>
      <c r="AV158" s="5" t="s">
        <v>158</v>
      </c>
      <c r="AW158" s="5" t="s">
        <v>158</v>
      </c>
      <c r="BC158" s="30">
        <v>186</v>
      </c>
      <c r="BD158" s="30" t="s">
        <v>160</v>
      </c>
      <c r="BE158" s="30" t="s">
        <v>160</v>
      </c>
      <c r="BF158" s="30">
        <v>0.77800000000000002</v>
      </c>
      <c r="BG158" s="17" t="s">
        <v>158</v>
      </c>
      <c r="BH158" s="17" t="s">
        <v>158</v>
      </c>
      <c r="BI158" s="17" t="s">
        <v>158</v>
      </c>
      <c r="BJ158" s="17" t="s">
        <v>158</v>
      </c>
      <c r="BK158" s="17" t="s">
        <v>158</v>
      </c>
      <c r="BL158" s="17" t="s">
        <v>158</v>
      </c>
      <c r="BM158" s="17" t="s">
        <v>158</v>
      </c>
      <c r="BN158" s="5" t="s">
        <v>158</v>
      </c>
      <c r="BO158" s="5" t="s">
        <v>158</v>
      </c>
      <c r="BP158" s="5" t="s">
        <v>158</v>
      </c>
      <c r="BQ158" s="5" t="s">
        <v>158</v>
      </c>
      <c r="BR158" s="5" t="s">
        <v>158</v>
      </c>
      <c r="BS158" s="5" t="s">
        <v>158</v>
      </c>
      <c r="BT158" s="5" t="s">
        <v>158</v>
      </c>
      <c r="BU158" s="5" t="s">
        <v>158</v>
      </c>
      <c r="BV158" s="5" t="s">
        <v>158</v>
      </c>
      <c r="BW158" s="5" t="s">
        <v>158</v>
      </c>
      <c r="BX158" s="5" t="s">
        <v>158</v>
      </c>
      <c r="BY158" s="5" t="s">
        <v>158</v>
      </c>
      <c r="BZ158" s="5" t="s">
        <v>158</v>
      </c>
      <c r="CA158" s="5" t="s">
        <v>158</v>
      </c>
      <c r="CB158" s="5" t="s">
        <v>158</v>
      </c>
      <c r="CC158" s="5" t="s">
        <v>158</v>
      </c>
      <c r="CD158" s="5" t="s">
        <v>158</v>
      </c>
      <c r="CE158" s="5" t="s">
        <v>158</v>
      </c>
      <c r="CF158" s="5" t="s">
        <v>158</v>
      </c>
      <c r="CG158" s="5" t="s">
        <v>158</v>
      </c>
      <c r="CH158" s="5" t="s">
        <v>158</v>
      </c>
      <c r="CI158" s="61">
        <v>120</v>
      </c>
      <c r="CJ158" s="61">
        <v>340</v>
      </c>
      <c r="CK158" s="61">
        <v>1200</v>
      </c>
      <c r="CL158" s="61">
        <v>1100</v>
      </c>
      <c r="CM158" s="61">
        <v>2500</v>
      </c>
      <c r="CN158" s="61">
        <v>2100</v>
      </c>
      <c r="CO158" s="61">
        <v>790</v>
      </c>
      <c r="CP158" s="61">
        <v>8200</v>
      </c>
      <c r="CQ158" s="62">
        <v>46.584094456111437</v>
      </c>
      <c r="CR158" s="62">
        <v>20.559460681747506</v>
      </c>
      <c r="CS158" s="62">
        <v>51.305706583746037</v>
      </c>
      <c r="CT158" s="62">
        <v>37.744316203102883</v>
      </c>
      <c r="CU158" s="62">
        <v>12.747875808291212</v>
      </c>
      <c r="CV158" s="62">
        <v>18.068531449058387</v>
      </c>
      <c r="CW158" s="64" t="s">
        <v>119</v>
      </c>
      <c r="CX158" s="64">
        <v>190</v>
      </c>
      <c r="CY158" s="69" t="s">
        <v>120</v>
      </c>
    </row>
    <row r="159" spans="1:103" x14ac:dyDescent="0.2">
      <c r="A159" s="36" t="s">
        <v>21</v>
      </c>
      <c r="B159" s="58" t="s">
        <v>21</v>
      </c>
      <c r="C159" s="25" t="s">
        <v>20</v>
      </c>
      <c r="D159" s="25" t="s">
        <v>125</v>
      </c>
      <c r="G159" s="28">
        <v>41530</v>
      </c>
      <c r="H159" s="16">
        <v>2013</v>
      </c>
      <c r="I159" s="135" t="s">
        <v>33</v>
      </c>
      <c r="J159" s="135">
        <v>10</v>
      </c>
      <c r="K159" s="136">
        <v>0.6</v>
      </c>
      <c r="L159" s="5" t="s">
        <v>158</v>
      </c>
      <c r="M159" s="5" t="s">
        <v>158</v>
      </c>
      <c r="N159" s="5" t="s">
        <v>158</v>
      </c>
      <c r="O159" s="5" t="s">
        <v>158</v>
      </c>
      <c r="P159" s="5" t="s">
        <v>158</v>
      </c>
      <c r="Q159" s="5" t="s">
        <v>158</v>
      </c>
      <c r="R159" s="5" t="s">
        <v>158</v>
      </c>
      <c r="S159" s="5" t="s">
        <v>158</v>
      </c>
      <c r="T159" s="5" t="s">
        <v>158</v>
      </c>
      <c r="U159" s="17" t="s">
        <v>158</v>
      </c>
      <c r="V159" s="5" t="s">
        <v>158</v>
      </c>
      <c r="W159" s="5" t="s">
        <v>158</v>
      </c>
      <c r="X159" s="5" t="s">
        <v>158</v>
      </c>
      <c r="Y159" s="5" t="s">
        <v>158</v>
      </c>
      <c r="Z159" s="5" t="s">
        <v>158</v>
      </c>
      <c r="AA159" s="5" t="s">
        <v>158</v>
      </c>
      <c r="AB159" s="5" t="s">
        <v>158</v>
      </c>
      <c r="AC159" s="5" t="s">
        <v>158</v>
      </c>
      <c r="AD159" s="5" t="s">
        <v>158</v>
      </c>
      <c r="AE159" s="17" t="s">
        <v>158</v>
      </c>
      <c r="AF159" s="5" t="s">
        <v>158</v>
      </c>
      <c r="AG159" s="18" t="s">
        <v>158</v>
      </c>
      <c r="AH159" s="31">
        <f t="shared" si="16"/>
        <v>29.680851063829785</v>
      </c>
      <c r="AI159" s="30">
        <f>BD159/18.8</f>
        <v>6.5957446808510636E-3</v>
      </c>
      <c r="AJ159" s="30" t="s">
        <v>158</v>
      </c>
      <c r="AK159" s="30">
        <f t="shared" si="14"/>
        <v>6.1170212765957438E-2</v>
      </c>
      <c r="AL159" s="30" t="s">
        <v>158</v>
      </c>
      <c r="AM159" s="30" t="s">
        <v>158</v>
      </c>
      <c r="AN159" s="30" t="s">
        <v>158</v>
      </c>
      <c r="AO159" s="30" t="s">
        <v>158</v>
      </c>
      <c r="AP159" s="30" t="s">
        <v>158</v>
      </c>
      <c r="AQ159" s="30" t="s">
        <v>158</v>
      </c>
      <c r="AR159" s="30" t="s">
        <v>158</v>
      </c>
      <c r="AS159" s="5" t="s">
        <v>158</v>
      </c>
      <c r="AT159" s="5" t="s">
        <v>158</v>
      </c>
      <c r="AU159" s="5" t="s">
        <v>158</v>
      </c>
      <c r="AV159" s="5" t="s">
        <v>158</v>
      </c>
      <c r="AW159" s="5" t="s">
        <v>158</v>
      </c>
      <c r="BC159" s="30">
        <v>558</v>
      </c>
      <c r="BD159" s="30">
        <v>0.124</v>
      </c>
      <c r="BE159" s="30" t="s">
        <v>160</v>
      </c>
      <c r="BF159" s="30">
        <v>1.1499999999999999</v>
      </c>
      <c r="BG159" s="17" t="s">
        <v>158</v>
      </c>
      <c r="BH159" s="17" t="s">
        <v>158</v>
      </c>
      <c r="BI159" s="17" t="s">
        <v>158</v>
      </c>
      <c r="BJ159" s="17" t="s">
        <v>158</v>
      </c>
      <c r="BK159" s="17" t="s">
        <v>158</v>
      </c>
      <c r="BL159" s="17" t="s">
        <v>158</v>
      </c>
      <c r="BM159" s="17" t="s">
        <v>158</v>
      </c>
      <c r="BN159" s="5" t="s">
        <v>158</v>
      </c>
      <c r="BO159" s="5" t="s">
        <v>158</v>
      </c>
      <c r="BP159" s="5" t="s">
        <v>158</v>
      </c>
      <c r="BQ159" s="5" t="s">
        <v>158</v>
      </c>
      <c r="BR159" s="5" t="s">
        <v>158</v>
      </c>
      <c r="BS159" s="5" t="s">
        <v>158</v>
      </c>
      <c r="BT159" s="5" t="s">
        <v>158</v>
      </c>
      <c r="BU159" s="5" t="s">
        <v>158</v>
      </c>
      <c r="BV159" s="5" t="s">
        <v>158</v>
      </c>
      <c r="BW159" s="5" t="s">
        <v>158</v>
      </c>
      <c r="BX159" s="5" t="s">
        <v>158</v>
      </c>
      <c r="BY159" s="5" t="s">
        <v>158</v>
      </c>
      <c r="BZ159" s="5" t="s">
        <v>158</v>
      </c>
      <c r="CA159" s="5" t="s">
        <v>158</v>
      </c>
      <c r="CB159" s="5" t="s">
        <v>158</v>
      </c>
      <c r="CC159" s="5" t="s">
        <v>158</v>
      </c>
      <c r="CD159" s="5" t="s">
        <v>158</v>
      </c>
      <c r="CE159" s="5" t="s">
        <v>158</v>
      </c>
      <c r="CF159" s="5" t="s">
        <v>158</v>
      </c>
      <c r="CG159" s="5" t="s">
        <v>158</v>
      </c>
      <c r="CH159" s="5" t="s">
        <v>158</v>
      </c>
      <c r="CI159" s="65">
        <v>8.0183398882219432</v>
      </c>
      <c r="CJ159" s="61">
        <v>30.650191001298598</v>
      </c>
      <c r="CK159" s="61">
        <v>370</v>
      </c>
      <c r="CL159" s="61">
        <v>320</v>
      </c>
      <c r="CM159" s="61">
        <v>1600</v>
      </c>
      <c r="CN159" s="61">
        <v>1400</v>
      </c>
      <c r="CO159" s="61">
        <v>550</v>
      </c>
      <c r="CP159" s="61">
        <v>4300</v>
      </c>
      <c r="CQ159" s="62">
        <v>57.933770906985842</v>
      </c>
      <c r="CR159" s="62">
        <v>18.98599518174079</v>
      </c>
      <c r="CS159" s="62">
        <v>30.639660359373163</v>
      </c>
      <c r="CT159" s="63" t="s">
        <v>167</v>
      </c>
      <c r="CU159" s="63">
        <v>8.2103429222489535</v>
      </c>
      <c r="CV159" s="63">
        <v>6.5517017146976286</v>
      </c>
      <c r="CW159" s="63" t="s">
        <v>121</v>
      </c>
      <c r="CX159" s="62">
        <v>120</v>
      </c>
      <c r="CY159" s="68" t="s">
        <v>120</v>
      </c>
    </row>
    <row r="160" spans="1:103" x14ac:dyDescent="0.2">
      <c r="A160" s="36" t="s">
        <v>23</v>
      </c>
      <c r="B160" s="58" t="s">
        <v>23</v>
      </c>
      <c r="C160" s="25" t="s">
        <v>20</v>
      </c>
      <c r="D160" s="25" t="s">
        <v>125</v>
      </c>
      <c r="G160" s="28">
        <v>41513</v>
      </c>
      <c r="H160" s="16">
        <v>2013</v>
      </c>
      <c r="I160" s="135" t="s">
        <v>33</v>
      </c>
      <c r="J160" s="135">
        <v>10</v>
      </c>
      <c r="K160" s="136">
        <v>0.73</v>
      </c>
      <c r="L160" s="5" t="s">
        <v>158</v>
      </c>
      <c r="M160" s="5" t="s">
        <v>158</v>
      </c>
      <c r="N160" s="5" t="s">
        <v>158</v>
      </c>
      <c r="O160" s="5" t="s">
        <v>158</v>
      </c>
      <c r="P160" s="5" t="s">
        <v>158</v>
      </c>
      <c r="Q160" s="5" t="s">
        <v>158</v>
      </c>
      <c r="R160" s="5" t="s">
        <v>158</v>
      </c>
      <c r="S160" s="5" t="s">
        <v>158</v>
      </c>
      <c r="T160" s="5" t="s">
        <v>158</v>
      </c>
      <c r="U160" s="17" t="s">
        <v>158</v>
      </c>
      <c r="V160" s="5" t="s">
        <v>158</v>
      </c>
      <c r="W160" s="5" t="s">
        <v>158</v>
      </c>
      <c r="X160" s="5" t="s">
        <v>158</v>
      </c>
      <c r="Y160" s="5" t="s">
        <v>158</v>
      </c>
      <c r="Z160" s="5" t="s">
        <v>158</v>
      </c>
      <c r="AA160" s="5" t="s">
        <v>158</v>
      </c>
      <c r="AB160" s="5" t="s">
        <v>158</v>
      </c>
      <c r="AC160" s="5" t="s">
        <v>158</v>
      </c>
      <c r="AD160" s="5" t="s">
        <v>158</v>
      </c>
      <c r="AE160" s="17" t="s">
        <v>158</v>
      </c>
      <c r="AF160" s="5" t="s">
        <v>158</v>
      </c>
      <c r="AG160" s="18" t="s">
        <v>158</v>
      </c>
      <c r="AH160" s="31">
        <f t="shared" si="16"/>
        <v>19.148936170212764</v>
      </c>
      <c r="AI160" s="30" t="s">
        <v>158</v>
      </c>
      <c r="AJ160" s="30" t="s">
        <v>158</v>
      </c>
      <c r="AK160" s="30" t="s">
        <v>158</v>
      </c>
      <c r="AL160" s="30" t="s">
        <v>158</v>
      </c>
      <c r="AM160" s="30" t="s">
        <v>158</v>
      </c>
      <c r="AN160" s="30" t="s">
        <v>158</v>
      </c>
      <c r="AO160" s="30" t="s">
        <v>158</v>
      </c>
      <c r="AP160" s="30" t="s">
        <v>158</v>
      </c>
      <c r="AQ160" s="30" t="s">
        <v>158</v>
      </c>
      <c r="AR160" s="30" t="s">
        <v>158</v>
      </c>
      <c r="AS160" s="5" t="s">
        <v>158</v>
      </c>
      <c r="AT160" s="5" t="s">
        <v>158</v>
      </c>
      <c r="AU160" s="5" t="s">
        <v>158</v>
      </c>
      <c r="AV160" s="5" t="s">
        <v>158</v>
      </c>
      <c r="AW160" s="5" t="s">
        <v>158</v>
      </c>
      <c r="BC160" s="30">
        <v>360</v>
      </c>
      <c r="BD160" s="30" t="s">
        <v>160</v>
      </c>
      <c r="BE160" s="30" t="s">
        <v>160</v>
      </c>
      <c r="BF160" s="30" t="s">
        <v>160</v>
      </c>
      <c r="BG160" s="17" t="s">
        <v>158</v>
      </c>
      <c r="BH160" s="17" t="s">
        <v>158</v>
      </c>
      <c r="BI160" s="17" t="s">
        <v>158</v>
      </c>
      <c r="BJ160" s="17" t="s">
        <v>158</v>
      </c>
      <c r="BK160" s="17" t="s">
        <v>158</v>
      </c>
      <c r="BL160" s="17" t="s">
        <v>158</v>
      </c>
      <c r="BM160" s="17" t="s">
        <v>158</v>
      </c>
      <c r="BN160" s="5" t="s">
        <v>158</v>
      </c>
      <c r="BO160" s="5" t="s">
        <v>158</v>
      </c>
      <c r="BP160" s="5" t="s">
        <v>158</v>
      </c>
      <c r="BQ160" s="5" t="s">
        <v>158</v>
      </c>
      <c r="BR160" s="5" t="s">
        <v>158</v>
      </c>
      <c r="BS160" s="5" t="s">
        <v>158</v>
      </c>
      <c r="BT160" s="5" t="s">
        <v>158</v>
      </c>
      <c r="BU160" s="5" t="s">
        <v>158</v>
      </c>
      <c r="BV160" s="5" t="s">
        <v>158</v>
      </c>
      <c r="BW160" s="5" t="s">
        <v>158</v>
      </c>
      <c r="BX160" s="5" t="s">
        <v>158</v>
      </c>
      <c r="BY160" s="5" t="s">
        <v>158</v>
      </c>
      <c r="BZ160" s="5" t="s">
        <v>158</v>
      </c>
      <c r="CA160" s="5" t="s">
        <v>158</v>
      </c>
      <c r="CB160" s="5" t="s">
        <v>158</v>
      </c>
      <c r="CC160" s="5" t="s">
        <v>158</v>
      </c>
      <c r="CD160" s="5" t="s">
        <v>158</v>
      </c>
      <c r="CE160" s="5" t="s">
        <v>158</v>
      </c>
      <c r="CF160" s="5" t="s">
        <v>158</v>
      </c>
      <c r="CG160" s="5" t="s">
        <v>158</v>
      </c>
      <c r="CH160" s="5" t="s">
        <v>158</v>
      </c>
      <c r="CI160" s="61">
        <v>61.560161717595648</v>
      </c>
      <c r="CJ160" s="61">
        <v>340</v>
      </c>
      <c r="CK160" s="61">
        <v>1400</v>
      </c>
      <c r="CL160" s="61">
        <v>940</v>
      </c>
      <c r="CM160" s="61">
        <v>2100</v>
      </c>
      <c r="CN160" s="61">
        <v>1900</v>
      </c>
      <c r="CO160" s="61">
        <v>630</v>
      </c>
      <c r="CP160" s="61">
        <v>7400</v>
      </c>
      <c r="CQ160" s="62">
        <v>18.704234802340103</v>
      </c>
      <c r="CR160" s="63">
        <v>6.8320857661242291</v>
      </c>
      <c r="CS160" s="63">
        <v>5.3088666444965327</v>
      </c>
      <c r="CT160" s="63">
        <v>5.4840794016211065</v>
      </c>
      <c r="CU160" s="63">
        <v>3.0185331016054282</v>
      </c>
      <c r="CV160" s="63">
        <v>7.1232894217295248</v>
      </c>
      <c r="CW160" s="62" t="s">
        <v>122</v>
      </c>
      <c r="CX160" s="62">
        <v>46</v>
      </c>
      <c r="CY160" s="68" t="s">
        <v>123</v>
      </c>
    </row>
    <row r="161" spans="1:103" x14ac:dyDescent="0.2">
      <c r="A161" s="37" t="s">
        <v>112</v>
      </c>
      <c r="B161" s="59" t="s">
        <v>24</v>
      </c>
      <c r="C161" s="25" t="s">
        <v>20</v>
      </c>
      <c r="D161" s="25" t="s">
        <v>125</v>
      </c>
      <c r="G161" s="28">
        <v>41146</v>
      </c>
      <c r="H161" s="16">
        <v>2012</v>
      </c>
      <c r="I161" s="135" t="s">
        <v>33</v>
      </c>
      <c r="J161" s="135">
        <v>10</v>
      </c>
      <c r="K161" s="136">
        <v>3.3</v>
      </c>
      <c r="L161" s="5" t="s">
        <v>158</v>
      </c>
      <c r="M161" s="38" t="s">
        <v>38</v>
      </c>
      <c r="N161" s="38">
        <v>0.25</v>
      </c>
      <c r="O161" s="38">
        <v>0.51</v>
      </c>
      <c r="P161" s="38">
        <v>0.44</v>
      </c>
      <c r="Q161" s="38">
        <v>0.71</v>
      </c>
      <c r="R161" s="38">
        <v>0.56999999999999995</v>
      </c>
      <c r="S161" s="39">
        <v>0.27</v>
      </c>
      <c r="T161" s="30">
        <f t="shared" ref="T161:T192" si="17">SUM(M161:S161)</f>
        <v>2.75</v>
      </c>
      <c r="U161" s="17">
        <f t="shared" si="11"/>
        <v>3.5</v>
      </c>
      <c r="V161" s="39" t="s">
        <v>83</v>
      </c>
      <c r="W161" s="39" t="s">
        <v>59</v>
      </c>
      <c r="X161" s="39" t="s">
        <v>94</v>
      </c>
      <c r="Y161" s="39" t="s">
        <v>95</v>
      </c>
      <c r="Z161" s="30" t="s">
        <v>158</v>
      </c>
      <c r="AA161" s="39" t="s">
        <v>99</v>
      </c>
      <c r="AB161" s="39" t="s">
        <v>103</v>
      </c>
      <c r="AC161" s="39" t="s">
        <v>105</v>
      </c>
      <c r="AD161" s="5" t="s">
        <v>158</v>
      </c>
      <c r="AE161" s="17">
        <f>SUM(V161,W161,Y161,X161,AB161,AA161)</f>
        <v>0</v>
      </c>
      <c r="AF161" s="38" t="s">
        <v>46</v>
      </c>
      <c r="AG161" s="18" t="s">
        <v>158</v>
      </c>
      <c r="AH161" s="31">
        <f t="shared" si="16"/>
        <v>7.4468085106382977</v>
      </c>
      <c r="AI161" s="31" t="s">
        <v>158</v>
      </c>
      <c r="AJ161" s="31" t="s">
        <v>158</v>
      </c>
      <c r="AK161" s="31" t="s">
        <v>158</v>
      </c>
      <c r="AL161" s="31" t="s">
        <v>158</v>
      </c>
      <c r="AM161" s="31" t="s">
        <v>158</v>
      </c>
      <c r="AN161" s="31">
        <f>BI161/18.8</f>
        <v>0.36170212765957444</v>
      </c>
      <c r="AO161" s="31">
        <f>BJ161/18.8</f>
        <v>7.4468085106382975E-2</v>
      </c>
      <c r="AP161" s="31" t="s">
        <v>158</v>
      </c>
      <c r="AQ161" s="31">
        <f>BL161/18.8</f>
        <v>0.63829787234042545</v>
      </c>
      <c r="AR161" s="31">
        <f>BM161/18.8</f>
        <v>0.53191489361702127</v>
      </c>
      <c r="AS161" s="5" t="s">
        <v>158</v>
      </c>
      <c r="AT161" s="5" t="s">
        <v>158</v>
      </c>
      <c r="AU161" s="5" t="s">
        <v>158</v>
      </c>
      <c r="AV161" s="5" t="s">
        <v>158</v>
      </c>
      <c r="AW161" s="5" t="s">
        <v>158</v>
      </c>
      <c r="BC161" s="38">
        <v>140</v>
      </c>
      <c r="BD161" s="38" t="s">
        <v>44</v>
      </c>
      <c r="BE161" s="38" t="s">
        <v>143</v>
      </c>
      <c r="BF161" s="38" t="s">
        <v>54</v>
      </c>
      <c r="BG161" s="38" t="s">
        <v>43</v>
      </c>
      <c r="BH161" s="38" t="s">
        <v>44</v>
      </c>
      <c r="BI161" s="38">
        <v>6.8</v>
      </c>
      <c r="BJ161" s="38">
        <v>1.4</v>
      </c>
      <c r="BK161" s="38" t="s">
        <v>44</v>
      </c>
      <c r="BL161" s="38">
        <v>12</v>
      </c>
      <c r="BM161" s="38">
        <v>10</v>
      </c>
      <c r="BN161" s="5" t="s">
        <v>158</v>
      </c>
      <c r="BO161" s="5" t="s">
        <v>158</v>
      </c>
      <c r="BP161" s="5" t="s">
        <v>158</v>
      </c>
      <c r="BQ161" s="5" t="s">
        <v>158</v>
      </c>
      <c r="BR161" s="5" t="s">
        <v>158</v>
      </c>
      <c r="BS161" s="5" t="s">
        <v>158</v>
      </c>
      <c r="BT161" s="5" t="s">
        <v>158</v>
      </c>
      <c r="BU161" s="5" t="s">
        <v>158</v>
      </c>
      <c r="BV161" s="5" t="s">
        <v>158</v>
      </c>
      <c r="BW161" s="5" t="s">
        <v>158</v>
      </c>
      <c r="BX161" s="5" t="s">
        <v>158</v>
      </c>
      <c r="BY161" s="5" t="s">
        <v>158</v>
      </c>
      <c r="BZ161" s="5" t="s">
        <v>158</v>
      </c>
      <c r="CA161" s="5" t="s">
        <v>158</v>
      </c>
      <c r="CB161" s="5" t="s">
        <v>158</v>
      </c>
      <c r="CC161" s="5" t="s">
        <v>158</v>
      </c>
      <c r="CD161" s="5" t="s">
        <v>158</v>
      </c>
      <c r="CE161" s="5" t="s">
        <v>158</v>
      </c>
      <c r="CF161" s="5" t="s">
        <v>158</v>
      </c>
      <c r="CG161" s="5" t="s">
        <v>158</v>
      </c>
      <c r="CH161" s="5" t="s">
        <v>158</v>
      </c>
      <c r="CI161" s="17" t="s">
        <v>158</v>
      </c>
      <c r="CJ161" s="17" t="s">
        <v>158</v>
      </c>
      <c r="CK161" s="17" t="s">
        <v>158</v>
      </c>
      <c r="CL161" s="17" t="s">
        <v>158</v>
      </c>
      <c r="CM161" s="17" t="s">
        <v>158</v>
      </c>
      <c r="CN161" s="17" t="s">
        <v>158</v>
      </c>
      <c r="CO161" s="17" t="s">
        <v>158</v>
      </c>
      <c r="CP161" s="17" t="s">
        <v>158</v>
      </c>
      <c r="CQ161" s="17" t="s">
        <v>158</v>
      </c>
      <c r="CR161" s="17" t="s">
        <v>158</v>
      </c>
      <c r="CS161" s="17" t="s">
        <v>158</v>
      </c>
      <c r="CT161" s="17" t="s">
        <v>158</v>
      </c>
      <c r="CU161" s="17" t="s">
        <v>158</v>
      </c>
      <c r="CV161" s="17" t="s">
        <v>158</v>
      </c>
      <c r="CW161" s="17" t="s">
        <v>158</v>
      </c>
      <c r="CX161" s="17" t="s">
        <v>158</v>
      </c>
      <c r="CY161" s="67" t="s">
        <v>158</v>
      </c>
    </row>
    <row r="162" spans="1:103" x14ac:dyDescent="0.2">
      <c r="A162" s="37" t="s">
        <v>26</v>
      </c>
      <c r="B162" s="59" t="s">
        <v>26</v>
      </c>
      <c r="C162" s="25" t="s">
        <v>20</v>
      </c>
      <c r="D162" s="25" t="s">
        <v>125</v>
      </c>
      <c r="G162" s="28">
        <v>41155</v>
      </c>
      <c r="H162" s="16">
        <v>2012</v>
      </c>
      <c r="I162" s="135" t="s">
        <v>33</v>
      </c>
      <c r="J162" s="135">
        <v>5</v>
      </c>
      <c r="K162" s="136">
        <v>1.1000000000000001</v>
      </c>
      <c r="L162" s="5" t="s">
        <v>158</v>
      </c>
      <c r="M162" s="38" t="s">
        <v>47</v>
      </c>
      <c r="N162" s="38" t="s">
        <v>49</v>
      </c>
      <c r="O162" s="38" t="s">
        <v>144</v>
      </c>
      <c r="P162" s="38" t="s">
        <v>52</v>
      </c>
      <c r="Q162" s="38" t="s">
        <v>145</v>
      </c>
      <c r="R162" s="38" t="s">
        <v>65</v>
      </c>
      <c r="S162" s="39" t="s">
        <v>53</v>
      </c>
      <c r="T162" s="30">
        <f t="shared" si="17"/>
        <v>0</v>
      </c>
      <c r="U162" s="17">
        <f t="shared" si="11"/>
        <v>0</v>
      </c>
      <c r="V162" s="39" t="s">
        <v>84</v>
      </c>
      <c r="W162" s="39" t="s">
        <v>88</v>
      </c>
      <c r="X162" s="39" t="s">
        <v>93</v>
      </c>
      <c r="Y162" s="39" t="s">
        <v>96</v>
      </c>
      <c r="Z162" s="30" t="s">
        <v>158</v>
      </c>
      <c r="AA162" s="39" t="s">
        <v>100</v>
      </c>
      <c r="AB162" s="39" t="s">
        <v>91</v>
      </c>
      <c r="AC162" s="39" t="s">
        <v>106</v>
      </c>
      <c r="AD162" s="5" t="s">
        <v>158</v>
      </c>
      <c r="AE162" s="17">
        <f t="shared" ref="AE162:AE192" si="18">SUM(V162,W162,Y162,X162,AB162,AA162)</f>
        <v>0</v>
      </c>
      <c r="AF162" s="5" t="s">
        <v>158</v>
      </c>
      <c r="AG162" s="18" t="s">
        <v>158</v>
      </c>
      <c r="AH162" s="31">
        <f t="shared" si="16"/>
        <v>5.3191489361702127</v>
      </c>
      <c r="AI162" s="31" t="s">
        <v>158</v>
      </c>
      <c r="AJ162" s="31" t="s">
        <v>158</v>
      </c>
      <c r="AK162" s="31" t="s">
        <v>158</v>
      </c>
      <c r="AL162" s="31" t="s">
        <v>158</v>
      </c>
      <c r="AM162" s="31" t="s">
        <v>158</v>
      </c>
      <c r="AN162" s="31">
        <f t="shared" ref="AN162:AN167" si="19">BI162/18.8</f>
        <v>0.24468085106382975</v>
      </c>
      <c r="AO162" s="31" t="s">
        <v>158</v>
      </c>
      <c r="AP162" s="31" t="s">
        <v>158</v>
      </c>
      <c r="AQ162" s="31">
        <f t="shared" ref="AQ162:AQ167" si="20">BL162/18.8</f>
        <v>0.14893617021276595</v>
      </c>
      <c r="AR162" s="31" t="s">
        <v>158</v>
      </c>
      <c r="AS162" s="5" t="s">
        <v>158</v>
      </c>
      <c r="AT162" s="5" t="s">
        <v>158</v>
      </c>
      <c r="AU162" s="5" t="s">
        <v>158</v>
      </c>
      <c r="AV162" s="5" t="s">
        <v>158</v>
      </c>
      <c r="AW162" s="5" t="s">
        <v>158</v>
      </c>
      <c r="BC162" s="38">
        <v>100</v>
      </c>
      <c r="BD162" s="38" t="s">
        <v>143</v>
      </c>
      <c r="BE162" s="38" t="s">
        <v>146</v>
      </c>
      <c r="BF162" s="38" t="s">
        <v>54</v>
      </c>
      <c r="BG162" s="38" t="s">
        <v>146</v>
      </c>
      <c r="BH162" s="38" t="s">
        <v>54</v>
      </c>
      <c r="BI162" s="38">
        <v>4.5999999999999996</v>
      </c>
      <c r="BJ162" s="38" t="s">
        <v>54</v>
      </c>
      <c r="BK162" s="38" t="s">
        <v>44</v>
      </c>
      <c r="BL162" s="38">
        <v>2.8</v>
      </c>
      <c r="BM162" s="38" t="s">
        <v>143</v>
      </c>
      <c r="BN162" s="5" t="s">
        <v>158</v>
      </c>
      <c r="BO162" s="5" t="s">
        <v>158</v>
      </c>
      <c r="BP162" s="5" t="s">
        <v>158</v>
      </c>
      <c r="BQ162" s="5" t="s">
        <v>158</v>
      </c>
      <c r="BR162" s="5" t="s">
        <v>158</v>
      </c>
      <c r="BS162" s="5" t="s">
        <v>158</v>
      </c>
      <c r="BT162" s="5" t="s">
        <v>158</v>
      </c>
      <c r="BU162" s="5" t="s">
        <v>158</v>
      </c>
      <c r="BV162" s="5" t="s">
        <v>158</v>
      </c>
      <c r="BW162" s="5" t="s">
        <v>158</v>
      </c>
      <c r="BX162" s="5" t="s">
        <v>158</v>
      </c>
      <c r="BY162" s="5" t="s">
        <v>158</v>
      </c>
      <c r="BZ162" s="5" t="s">
        <v>158</v>
      </c>
      <c r="CA162" s="5" t="s">
        <v>158</v>
      </c>
      <c r="CB162" s="5" t="s">
        <v>158</v>
      </c>
      <c r="CC162" s="5" t="s">
        <v>158</v>
      </c>
      <c r="CD162" s="5" t="s">
        <v>158</v>
      </c>
      <c r="CE162" s="5" t="s">
        <v>158</v>
      </c>
      <c r="CF162" s="5" t="s">
        <v>158</v>
      </c>
      <c r="CG162" s="5" t="s">
        <v>158</v>
      </c>
      <c r="CH162" s="5" t="s">
        <v>158</v>
      </c>
      <c r="CI162" s="17" t="s">
        <v>158</v>
      </c>
      <c r="CJ162" s="17" t="s">
        <v>158</v>
      </c>
      <c r="CK162" s="17" t="s">
        <v>158</v>
      </c>
      <c r="CL162" s="17" t="s">
        <v>158</v>
      </c>
      <c r="CM162" s="17" t="s">
        <v>158</v>
      </c>
      <c r="CN162" s="17" t="s">
        <v>158</v>
      </c>
      <c r="CO162" s="17" t="s">
        <v>158</v>
      </c>
      <c r="CP162" s="17" t="s">
        <v>158</v>
      </c>
      <c r="CQ162" s="17" t="s">
        <v>158</v>
      </c>
      <c r="CR162" s="17" t="s">
        <v>158</v>
      </c>
      <c r="CS162" s="17" t="s">
        <v>158</v>
      </c>
      <c r="CT162" s="17" t="s">
        <v>158</v>
      </c>
      <c r="CU162" s="17" t="s">
        <v>158</v>
      </c>
      <c r="CV162" s="17" t="s">
        <v>158</v>
      </c>
      <c r="CW162" s="17" t="s">
        <v>158</v>
      </c>
      <c r="CX162" s="17" t="s">
        <v>158</v>
      </c>
      <c r="CY162" s="67" t="s">
        <v>158</v>
      </c>
    </row>
    <row r="163" spans="1:103" x14ac:dyDescent="0.2">
      <c r="A163" s="37" t="s">
        <v>7</v>
      </c>
      <c r="B163" s="59" t="s">
        <v>7</v>
      </c>
      <c r="C163" s="25" t="s">
        <v>20</v>
      </c>
      <c r="D163" s="25" t="s">
        <v>125</v>
      </c>
      <c r="G163" s="28">
        <v>41128</v>
      </c>
      <c r="H163" s="16">
        <v>2012</v>
      </c>
      <c r="I163" s="135" t="s">
        <v>33</v>
      </c>
      <c r="J163" s="135">
        <v>6</v>
      </c>
      <c r="K163" s="136">
        <v>1.4</v>
      </c>
      <c r="L163" s="5" t="s">
        <v>158</v>
      </c>
      <c r="M163" s="38" t="s">
        <v>48</v>
      </c>
      <c r="N163" s="38" t="s">
        <v>50</v>
      </c>
      <c r="O163" s="38" t="s">
        <v>55</v>
      </c>
      <c r="P163" s="38" t="s">
        <v>65</v>
      </c>
      <c r="Q163" s="38" t="s">
        <v>147</v>
      </c>
      <c r="R163" s="38" t="s">
        <v>69</v>
      </c>
      <c r="S163" s="39" t="s">
        <v>55</v>
      </c>
      <c r="T163" s="30">
        <f t="shared" si="17"/>
        <v>0</v>
      </c>
      <c r="U163" s="17">
        <f t="shared" si="11"/>
        <v>0</v>
      </c>
      <c r="V163" s="39" t="s">
        <v>85</v>
      </c>
      <c r="W163" s="39" t="s">
        <v>89</v>
      </c>
      <c r="X163" s="39" t="s">
        <v>92</v>
      </c>
      <c r="Y163" s="39" t="s">
        <v>97</v>
      </c>
      <c r="Z163" s="30" t="s">
        <v>158</v>
      </c>
      <c r="AA163" s="39" t="s">
        <v>101</v>
      </c>
      <c r="AB163" s="39" t="s">
        <v>94</v>
      </c>
      <c r="AC163" s="39" t="s">
        <v>107</v>
      </c>
      <c r="AD163" s="5" t="s">
        <v>158</v>
      </c>
      <c r="AE163" s="17">
        <f t="shared" si="18"/>
        <v>0</v>
      </c>
      <c r="AF163" s="5" t="s">
        <v>158</v>
      </c>
      <c r="AG163" s="18" t="s">
        <v>158</v>
      </c>
      <c r="AH163" s="31">
        <f t="shared" si="16"/>
        <v>8.5106382978723403</v>
      </c>
      <c r="AI163" s="31" t="s">
        <v>158</v>
      </c>
      <c r="AJ163" s="31" t="s">
        <v>158</v>
      </c>
      <c r="AK163" s="31" t="s">
        <v>158</v>
      </c>
      <c r="AL163" s="31" t="s">
        <v>158</v>
      </c>
      <c r="AM163" s="31" t="s">
        <v>158</v>
      </c>
      <c r="AN163" s="31">
        <f t="shared" si="19"/>
        <v>1.0638297872340425</v>
      </c>
      <c r="AO163" s="31">
        <f>BJ163/18.8</f>
        <v>0.53191489361702127</v>
      </c>
      <c r="AP163" s="31" t="s">
        <v>158</v>
      </c>
      <c r="AQ163" s="31">
        <f t="shared" si="20"/>
        <v>0.63829787234042545</v>
      </c>
      <c r="AR163" s="31">
        <f>BM163/18.8</f>
        <v>0.85106382978723405</v>
      </c>
      <c r="AS163" s="5" t="s">
        <v>158</v>
      </c>
      <c r="AT163" s="5" t="s">
        <v>158</v>
      </c>
      <c r="AU163" s="5" t="s">
        <v>158</v>
      </c>
      <c r="AV163" s="5" t="s">
        <v>158</v>
      </c>
      <c r="AW163" s="5" t="s">
        <v>158</v>
      </c>
      <c r="BC163" s="38">
        <v>160</v>
      </c>
      <c r="BD163" s="38" t="s">
        <v>54</v>
      </c>
      <c r="BE163" s="38" t="s">
        <v>143</v>
      </c>
      <c r="BF163" s="38" t="s">
        <v>54</v>
      </c>
      <c r="BG163" s="38" t="s">
        <v>146</v>
      </c>
      <c r="BH163" s="38" t="s">
        <v>54</v>
      </c>
      <c r="BI163" s="38">
        <v>20</v>
      </c>
      <c r="BJ163" s="38">
        <v>10</v>
      </c>
      <c r="BK163" s="38" t="s">
        <v>44</v>
      </c>
      <c r="BL163" s="38">
        <v>12</v>
      </c>
      <c r="BM163" s="38">
        <v>16</v>
      </c>
      <c r="BN163" s="5" t="s">
        <v>158</v>
      </c>
      <c r="BO163" s="5" t="s">
        <v>158</v>
      </c>
      <c r="BP163" s="5" t="s">
        <v>158</v>
      </c>
      <c r="BQ163" s="5" t="s">
        <v>158</v>
      </c>
      <c r="BR163" s="5" t="s">
        <v>158</v>
      </c>
      <c r="BS163" s="5" t="s">
        <v>158</v>
      </c>
      <c r="BT163" s="5" t="s">
        <v>158</v>
      </c>
      <c r="BU163" s="5" t="s">
        <v>158</v>
      </c>
      <c r="BV163" s="5" t="s">
        <v>158</v>
      </c>
      <c r="BW163" s="5" t="s">
        <v>158</v>
      </c>
      <c r="BX163" s="5" t="s">
        <v>158</v>
      </c>
      <c r="BY163" s="5" t="s">
        <v>158</v>
      </c>
      <c r="BZ163" s="5" t="s">
        <v>158</v>
      </c>
      <c r="CA163" s="5" t="s">
        <v>158</v>
      </c>
      <c r="CB163" s="5" t="s">
        <v>158</v>
      </c>
      <c r="CC163" s="5" t="s">
        <v>158</v>
      </c>
      <c r="CD163" s="5" t="s">
        <v>158</v>
      </c>
      <c r="CE163" s="5" t="s">
        <v>158</v>
      </c>
      <c r="CF163" s="5" t="s">
        <v>158</v>
      </c>
      <c r="CG163" s="5" t="s">
        <v>158</v>
      </c>
      <c r="CH163" s="5" t="s">
        <v>158</v>
      </c>
      <c r="CI163" s="17" t="s">
        <v>158</v>
      </c>
      <c r="CJ163" s="17" t="s">
        <v>158</v>
      </c>
      <c r="CK163" s="17" t="s">
        <v>158</v>
      </c>
      <c r="CL163" s="17" t="s">
        <v>158</v>
      </c>
      <c r="CM163" s="17" t="s">
        <v>158</v>
      </c>
      <c r="CN163" s="17" t="s">
        <v>158</v>
      </c>
      <c r="CO163" s="17" t="s">
        <v>158</v>
      </c>
      <c r="CP163" s="17" t="s">
        <v>158</v>
      </c>
      <c r="CQ163" s="17" t="s">
        <v>158</v>
      </c>
      <c r="CR163" s="17" t="s">
        <v>158</v>
      </c>
      <c r="CS163" s="17" t="s">
        <v>158</v>
      </c>
      <c r="CT163" s="17" t="s">
        <v>158</v>
      </c>
      <c r="CU163" s="17" t="s">
        <v>158</v>
      </c>
      <c r="CV163" s="17" t="s">
        <v>158</v>
      </c>
      <c r="CW163" s="17" t="s">
        <v>158</v>
      </c>
      <c r="CX163" s="17" t="s">
        <v>158</v>
      </c>
      <c r="CY163" s="67" t="s">
        <v>158</v>
      </c>
    </row>
    <row r="164" spans="1:103" x14ac:dyDescent="0.2">
      <c r="A164" s="37" t="s">
        <v>22</v>
      </c>
      <c r="B164" s="59" t="s">
        <v>22</v>
      </c>
      <c r="C164" s="25" t="s">
        <v>20</v>
      </c>
      <c r="D164" s="25" t="s">
        <v>125</v>
      </c>
      <c r="G164" s="28">
        <v>41127</v>
      </c>
      <c r="H164" s="16">
        <v>2012</v>
      </c>
      <c r="I164" s="135" t="s">
        <v>33</v>
      </c>
      <c r="J164" s="135">
        <v>6</v>
      </c>
      <c r="K164" s="136">
        <v>1.2</v>
      </c>
      <c r="L164" s="5" t="s">
        <v>158</v>
      </c>
      <c r="M164" s="38" t="s">
        <v>148</v>
      </c>
      <c r="N164" s="38">
        <v>0.74</v>
      </c>
      <c r="O164" s="38">
        <v>1.2</v>
      </c>
      <c r="P164" s="38">
        <v>0.83</v>
      </c>
      <c r="Q164" s="38">
        <v>1.7</v>
      </c>
      <c r="R164" s="38">
        <v>1.1000000000000001</v>
      </c>
      <c r="S164" s="39">
        <v>0.62</v>
      </c>
      <c r="T164" s="30">
        <f t="shared" si="17"/>
        <v>6.19</v>
      </c>
      <c r="U164" s="17">
        <f t="shared" si="11"/>
        <v>22.333333333333336</v>
      </c>
      <c r="V164" s="39" t="s">
        <v>86</v>
      </c>
      <c r="W164" s="39">
        <v>3.1E-2</v>
      </c>
      <c r="X164" s="39">
        <v>9.4000000000000004E-3</v>
      </c>
      <c r="Y164" s="39">
        <v>0.03</v>
      </c>
      <c r="Z164" s="30" t="s">
        <v>158</v>
      </c>
      <c r="AA164" s="39">
        <v>4.1000000000000003E-3</v>
      </c>
      <c r="AB164" s="39" t="s">
        <v>63</v>
      </c>
      <c r="AC164" s="39" t="s">
        <v>40</v>
      </c>
      <c r="AD164" s="5" t="s">
        <v>158</v>
      </c>
      <c r="AE164" s="17">
        <f t="shared" si="18"/>
        <v>7.4500000000000011E-2</v>
      </c>
      <c r="AF164" s="5" t="s">
        <v>158</v>
      </c>
      <c r="AG164" s="18" t="s">
        <v>158</v>
      </c>
      <c r="AH164" s="31">
        <f t="shared" si="16"/>
        <v>19.148936170212764</v>
      </c>
      <c r="AI164" s="31" t="s">
        <v>158</v>
      </c>
      <c r="AJ164" s="31" t="s">
        <v>158</v>
      </c>
      <c r="AK164" s="31" t="s">
        <v>158</v>
      </c>
      <c r="AL164" s="31" t="s">
        <v>158</v>
      </c>
      <c r="AM164" s="31" t="s">
        <v>158</v>
      </c>
      <c r="AN164" s="31">
        <f t="shared" si="19"/>
        <v>0.30319148936170215</v>
      </c>
      <c r="AO164" s="31">
        <f>BJ164/18.8</f>
        <v>0.12234042553191488</v>
      </c>
      <c r="AP164" s="31" t="s">
        <v>158</v>
      </c>
      <c r="AQ164" s="31">
        <f t="shared" si="20"/>
        <v>0.30851063829787234</v>
      </c>
      <c r="AR164" s="31">
        <f>BM164/18.8</f>
        <v>0.63829787234042545</v>
      </c>
      <c r="AS164" s="5" t="s">
        <v>158</v>
      </c>
      <c r="AT164" s="5" t="s">
        <v>158</v>
      </c>
      <c r="AU164" s="5" t="s">
        <v>158</v>
      </c>
      <c r="AV164" s="5" t="s">
        <v>158</v>
      </c>
      <c r="AW164" s="5" t="s">
        <v>158</v>
      </c>
      <c r="BC164" s="38">
        <v>360</v>
      </c>
      <c r="BD164" s="38" t="s">
        <v>149</v>
      </c>
      <c r="BE164" s="38" t="s">
        <v>143</v>
      </c>
      <c r="BF164" s="38" t="s">
        <v>54</v>
      </c>
      <c r="BG164" s="38" t="s">
        <v>146</v>
      </c>
      <c r="BH164" s="38" t="s">
        <v>54</v>
      </c>
      <c r="BI164" s="38">
        <v>5.7</v>
      </c>
      <c r="BJ164" s="38">
        <v>2.2999999999999998</v>
      </c>
      <c r="BK164" s="38" t="s">
        <v>44</v>
      </c>
      <c r="BL164" s="38">
        <v>5.8</v>
      </c>
      <c r="BM164" s="38">
        <v>12</v>
      </c>
      <c r="BN164" s="5" t="s">
        <v>158</v>
      </c>
      <c r="BO164" s="5" t="s">
        <v>158</v>
      </c>
      <c r="BP164" s="5" t="s">
        <v>158</v>
      </c>
      <c r="BQ164" s="5" t="s">
        <v>158</v>
      </c>
      <c r="BR164" s="5" t="s">
        <v>158</v>
      </c>
      <c r="BS164" s="5" t="s">
        <v>158</v>
      </c>
      <c r="BT164" s="5" t="s">
        <v>158</v>
      </c>
      <c r="BU164" s="5" t="s">
        <v>158</v>
      </c>
      <c r="BV164" s="5" t="s">
        <v>158</v>
      </c>
      <c r="BW164" s="5" t="s">
        <v>158</v>
      </c>
      <c r="BX164" s="5" t="s">
        <v>158</v>
      </c>
      <c r="BY164" s="5" t="s">
        <v>158</v>
      </c>
      <c r="BZ164" s="5" t="s">
        <v>158</v>
      </c>
      <c r="CA164" s="5" t="s">
        <v>158</v>
      </c>
      <c r="CB164" s="5" t="s">
        <v>158</v>
      </c>
      <c r="CC164" s="5" t="s">
        <v>158</v>
      </c>
      <c r="CD164" s="5" t="s">
        <v>158</v>
      </c>
      <c r="CE164" s="5" t="s">
        <v>158</v>
      </c>
      <c r="CF164" s="5" t="s">
        <v>158</v>
      </c>
      <c r="CG164" s="5" t="s">
        <v>158</v>
      </c>
      <c r="CH164" s="5" t="s">
        <v>158</v>
      </c>
      <c r="CI164" s="17" t="s">
        <v>158</v>
      </c>
      <c r="CJ164" s="17" t="s">
        <v>158</v>
      </c>
      <c r="CK164" s="17" t="s">
        <v>158</v>
      </c>
      <c r="CL164" s="17" t="s">
        <v>158</v>
      </c>
      <c r="CM164" s="17" t="s">
        <v>158</v>
      </c>
      <c r="CN164" s="17" t="s">
        <v>158</v>
      </c>
      <c r="CO164" s="17" t="s">
        <v>158</v>
      </c>
      <c r="CP164" s="17" t="s">
        <v>158</v>
      </c>
      <c r="CQ164" s="17" t="s">
        <v>158</v>
      </c>
      <c r="CR164" s="17" t="s">
        <v>158</v>
      </c>
      <c r="CS164" s="17" t="s">
        <v>158</v>
      </c>
      <c r="CT164" s="17" t="s">
        <v>158</v>
      </c>
      <c r="CU164" s="17" t="s">
        <v>158</v>
      </c>
      <c r="CV164" s="17" t="s">
        <v>158</v>
      </c>
      <c r="CW164" s="17" t="s">
        <v>158</v>
      </c>
      <c r="CX164" s="17" t="s">
        <v>158</v>
      </c>
      <c r="CY164" s="67" t="s">
        <v>158</v>
      </c>
    </row>
    <row r="165" spans="1:103" x14ac:dyDescent="0.2">
      <c r="A165" s="37" t="s">
        <v>22</v>
      </c>
      <c r="B165" s="59" t="s">
        <v>22</v>
      </c>
      <c r="C165" s="25" t="s">
        <v>20</v>
      </c>
      <c r="D165" s="25" t="s">
        <v>125</v>
      </c>
      <c r="G165" s="28">
        <v>40839</v>
      </c>
      <c r="H165" s="16">
        <v>2011</v>
      </c>
      <c r="I165" s="135" t="s">
        <v>33</v>
      </c>
      <c r="J165" s="135">
        <v>10</v>
      </c>
      <c r="K165" s="136">
        <v>1.2</v>
      </c>
      <c r="L165" s="5" t="s">
        <v>158</v>
      </c>
      <c r="M165" s="38" t="s">
        <v>150</v>
      </c>
      <c r="N165" s="38">
        <v>0.81</v>
      </c>
      <c r="O165" s="38">
        <v>1.7</v>
      </c>
      <c r="P165" s="38">
        <v>1.3</v>
      </c>
      <c r="Q165" s="38">
        <v>2.7</v>
      </c>
      <c r="R165" s="38">
        <v>1.7</v>
      </c>
      <c r="S165" s="39">
        <v>0.96</v>
      </c>
      <c r="T165" s="30">
        <f t="shared" si="17"/>
        <v>9.1699999999999982</v>
      </c>
      <c r="U165" s="17">
        <f t="shared" si="11"/>
        <v>32.791666666666671</v>
      </c>
      <c r="V165" s="39">
        <v>1.5E-3</v>
      </c>
      <c r="W165" s="39">
        <v>6.6000000000000003E-2</v>
      </c>
      <c r="X165" s="39">
        <v>1.7000000000000001E-2</v>
      </c>
      <c r="Y165" s="39">
        <v>2.3E-2</v>
      </c>
      <c r="Z165" s="30" t="s">
        <v>158</v>
      </c>
      <c r="AA165" s="39">
        <v>7.0000000000000001E-3</v>
      </c>
      <c r="AB165" s="39" t="s">
        <v>98</v>
      </c>
      <c r="AC165" s="39" t="s">
        <v>107</v>
      </c>
      <c r="AD165" s="5" t="s">
        <v>158</v>
      </c>
      <c r="AE165" s="17">
        <f t="shared" si="18"/>
        <v>0.1145</v>
      </c>
      <c r="AF165" s="38" t="s">
        <v>46</v>
      </c>
      <c r="AG165" s="18" t="s">
        <v>158</v>
      </c>
      <c r="AH165" s="31">
        <f t="shared" si="16"/>
        <v>12.76595744680851</v>
      </c>
      <c r="AI165" s="31" t="s">
        <v>158</v>
      </c>
      <c r="AJ165" s="31" t="s">
        <v>158</v>
      </c>
      <c r="AK165" s="31" t="s">
        <v>158</v>
      </c>
      <c r="AL165" s="31" t="s">
        <v>158</v>
      </c>
      <c r="AM165" s="31">
        <f>BH165/18.8</f>
        <v>0.14361702127659576</v>
      </c>
      <c r="AN165" s="31">
        <f t="shared" si="19"/>
        <v>0.52659574468085102</v>
      </c>
      <c r="AO165" s="31">
        <f>BJ165/18.8</f>
        <v>0.13297872340425532</v>
      </c>
      <c r="AP165" s="31" t="s">
        <v>158</v>
      </c>
      <c r="AQ165" s="31">
        <f t="shared" si="20"/>
        <v>0.53191489361702127</v>
      </c>
      <c r="AR165" s="31">
        <f>BM165/18.8</f>
        <v>0.45744680851063824</v>
      </c>
      <c r="AS165" s="5" t="s">
        <v>158</v>
      </c>
      <c r="AT165" s="5" t="s">
        <v>158</v>
      </c>
      <c r="AU165" s="5" t="s">
        <v>158</v>
      </c>
      <c r="AV165" s="5" t="s">
        <v>158</v>
      </c>
      <c r="AW165" s="5" t="s">
        <v>158</v>
      </c>
      <c r="BC165" s="38">
        <v>240</v>
      </c>
      <c r="BD165" s="38" t="s">
        <v>54</v>
      </c>
      <c r="BE165" s="38" t="s">
        <v>143</v>
      </c>
      <c r="BF165" s="38" t="s">
        <v>54</v>
      </c>
      <c r="BG165" s="38" t="s">
        <v>146</v>
      </c>
      <c r="BH165" s="38">
        <v>2.7</v>
      </c>
      <c r="BI165" s="38">
        <v>9.9</v>
      </c>
      <c r="BJ165" s="38">
        <v>2.5</v>
      </c>
      <c r="BK165" s="38" t="s">
        <v>44</v>
      </c>
      <c r="BL165" s="38">
        <v>10</v>
      </c>
      <c r="BM165" s="38">
        <v>8.6</v>
      </c>
      <c r="BN165" s="5" t="s">
        <v>158</v>
      </c>
      <c r="BO165" s="5" t="s">
        <v>158</v>
      </c>
      <c r="BP165" s="5" t="s">
        <v>158</v>
      </c>
      <c r="BQ165" s="5" t="s">
        <v>158</v>
      </c>
      <c r="BR165" s="5" t="s">
        <v>158</v>
      </c>
      <c r="BS165" s="5" t="s">
        <v>158</v>
      </c>
      <c r="BT165" s="5" t="s">
        <v>158</v>
      </c>
      <c r="BU165" s="5" t="s">
        <v>158</v>
      </c>
      <c r="BV165" s="5" t="s">
        <v>158</v>
      </c>
      <c r="BW165" s="5" t="s">
        <v>158</v>
      </c>
      <c r="BX165" s="5" t="s">
        <v>158</v>
      </c>
      <c r="BY165" s="5" t="s">
        <v>158</v>
      </c>
      <c r="BZ165" s="5" t="s">
        <v>158</v>
      </c>
      <c r="CA165" s="5" t="s">
        <v>158</v>
      </c>
      <c r="CB165" s="5" t="s">
        <v>158</v>
      </c>
      <c r="CC165" s="5" t="s">
        <v>158</v>
      </c>
      <c r="CD165" s="5" t="s">
        <v>158</v>
      </c>
      <c r="CE165" s="5" t="s">
        <v>158</v>
      </c>
      <c r="CF165" s="5" t="s">
        <v>158</v>
      </c>
      <c r="CG165" s="5" t="s">
        <v>158</v>
      </c>
      <c r="CH165" s="5" t="s">
        <v>158</v>
      </c>
      <c r="CI165" s="17" t="s">
        <v>158</v>
      </c>
      <c r="CJ165" s="17" t="s">
        <v>158</v>
      </c>
      <c r="CK165" s="17" t="s">
        <v>158</v>
      </c>
      <c r="CL165" s="17" t="s">
        <v>158</v>
      </c>
      <c r="CM165" s="17" t="s">
        <v>158</v>
      </c>
      <c r="CN165" s="17" t="s">
        <v>158</v>
      </c>
      <c r="CO165" s="17" t="s">
        <v>158</v>
      </c>
      <c r="CP165" s="17" t="s">
        <v>158</v>
      </c>
      <c r="CQ165" s="17" t="s">
        <v>158</v>
      </c>
      <c r="CR165" s="17" t="s">
        <v>158</v>
      </c>
      <c r="CS165" s="17" t="s">
        <v>158</v>
      </c>
      <c r="CT165" s="17" t="s">
        <v>158</v>
      </c>
      <c r="CU165" s="17" t="s">
        <v>158</v>
      </c>
      <c r="CV165" s="17" t="s">
        <v>158</v>
      </c>
      <c r="CW165" s="17" t="s">
        <v>158</v>
      </c>
      <c r="CX165" s="17" t="s">
        <v>158</v>
      </c>
      <c r="CY165" s="67" t="s">
        <v>158</v>
      </c>
    </row>
    <row r="166" spans="1:103" x14ac:dyDescent="0.2">
      <c r="A166" s="37" t="s">
        <v>21</v>
      </c>
      <c r="B166" s="59" t="s">
        <v>21</v>
      </c>
      <c r="C166" s="25" t="s">
        <v>20</v>
      </c>
      <c r="D166" s="25" t="s">
        <v>125</v>
      </c>
      <c r="G166" s="28">
        <v>40782</v>
      </c>
      <c r="H166" s="16">
        <v>2011</v>
      </c>
      <c r="I166" s="135" t="s">
        <v>33</v>
      </c>
      <c r="J166" s="135">
        <v>10</v>
      </c>
      <c r="K166" s="136">
        <v>2.2999999999999998</v>
      </c>
      <c r="L166" s="5" t="s">
        <v>158</v>
      </c>
      <c r="M166" s="38" t="s">
        <v>48</v>
      </c>
      <c r="N166" s="38" t="s">
        <v>51</v>
      </c>
      <c r="O166" s="38" t="s">
        <v>151</v>
      </c>
      <c r="P166" s="38" t="s">
        <v>41</v>
      </c>
      <c r="Q166" s="38" t="s">
        <v>152</v>
      </c>
      <c r="R166" s="38" t="s">
        <v>38</v>
      </c>
      <c r="S166" s="39" t="s">
        <v>153</v>
      </c>
      <c r="T166" s="30">
        <f t="shared" si="17"/>
        <v>0</v>
      </c>
      <c r="U166" s="17">
        <f t="shared" si="11"/>
        <v>0</v>
      </c>
      <c r="V166" s="39" t="s">
        <v>87</v>
      </c>
      <c r="W166" s="39" t="s">
        <v>90</v>
      </c>
      <c r="X166" s="39" t="s">
        <v>91</v>
      </c>
      <c r="Y166" s="39" t="s">
        <v>98</v>
      </c>
      <c r="Z166" s="30" t="s">
        <v>158</v>
      </c>
      <c r="AA166" s="39" t="s">
        <v>102</v>
      </c>
      <c r="AB166" s="39" t="s">
        <v>104</v>
      </c>
      <c r="AC166" s="39" t="s">
        <v>108</v>
      </c>
      <c r="AD166" s="5" t="s">
        <v>158</v>
      </c>
      <c r="AE166" s="17">
        <f t="shared" si="18"/>
        <v>0</v>
      </c>
      <c r="AF166" s="38" t="s">
        <v>46</v>
      </c>
      <c r="AG166" s="18" t="s">
        <v>158</v>
      </c>
      <c r="AH166" s="31">
        <f t="shared" si="16"/>
        <v>22.340425531914892</v>
      </c>
      <c r="AI166" s="31" t="s">
        <v>158</v>
      </c>
      <c r="AJ166" s="31" t="s">
        <v>158</v>
      </c>
      <c r="AK166" s="31" t="s">
        <v>158</v>
      </c>
      <c r="AL166" s="31" t="s">
        <v>158</v>
      </c>
      <c r="AM166" s="31" t="s">
        <v>158</v>
      </c>
      <c r="AN166" s="31">
        <f t="shared" si="19"/>
        <v>0.58510638297872342</v>
      </c>
      <c r="AO166" s="31">
        <f>BJ166/18.8</f>
        <v>0.5</v>
      </c>
      <c r="AP166" s="31" t="s">
        <v>158</v>
      </c>
      <c r="AQ166" s="31">
        <f t="shared" si="20"/>
        <v>0.38829787234042551</v>
      </c>
      <c r="AR166" s="31">
        <f>BM166/18.8</f>
        <v>0.21808510638297871</v>
      </c>
      <c r="AS166" s="5" t="s">
        <v>158</v>
      </c>
      <c r="AT166" s="5" t="s">
        <v>158</v>
      </c>
      <c r="AU166" s="5" t="s">
        <v>158</v>
      </c>
      <c r="AV166" s="5" t="s">
        <v>158</v>
      </c>
      <c r="AW166" s="5" t="s">
        <v>158</v>
      </c>
      <c r="BC166" s="38">
        <v>420</v>
      </c>
      <c r="BD166" s="38" t="s">
        <v>143</v>
      </c>
      <c r="BE166" s="38" t="s">
        <v>44</v>
      </c>
      <c r="BF166" s="38" t="s">
        <v>54</v>
      </c>
      <c r="BG166" s="38" t="s">
        <v>146</v>
      </c>
      <c r="BH166" s="38" t="s">
        <v>44</v>
      </c>
      <c r="BI166" s="38">
        <v>11</v>
      </c>
      <c r="BJ166" s="38">
        <v>9.4</v>
      </c>
      <c r="BK166" s="38" t="s">
        <v>44</v>
      </c>
      <c r="BL166" s="38">
        <v>7.3</v>
      </c>
      <c r="BM166" s="38">
        <v>4.0999999999999996</v>
      </c>
      <c r="BN166" s="5" t="s">
        <v>158</v>
      </c>
      <c r="BO166" s="5" t="s">
        <v>158</v>
      </c>
      <c r="BP166" s="5" t="s">
        <v>158</v>
      </c>
      <c r="BQ166" s="5" t="s">
        <v>158</v>
      </c>
      <c r="BR166" s="5" t="s">
        <v>158</v>
      </c>
      <c r="BS166" s="5" t="s">
        <v>158</v>
      </c>
      <c r="BT166" s="5" t="s">
        <v>158</v>
      </c>
      <c r="BU166" s="5" t="s">
        <v>158</v>
      </c>
      <c r="BV166" s="5" t="s">
        <v>158</v>
      </c>
      <c r="BW166" s="5" t="s">
        <v>158</v>
      </c>
      <c r="BX166" s="5" t="s">
        <v>158</v>
      </c>
      <c r="BY166" s="5" t="s">
        <v>158</v>
      </c>
      <c r="BZ166" s="5" t="s">
        <v>158</v>
      </c>
      <c r="CA166" s="5" t="s">
        <v>158</v>
      </c>
      <c r="CB166" s="5" t="s">
        <v>158</v>
      </c>
      <c r="CC166" s="5" t="s">
        <v>158</v>
      </c>
      <c r="CD166" s="5" t="s">
        <v>158</v>
      </c>
      <c r="CE166" s="5" t="s">
        <v>158</v>
      </c>
      <c r="CF166" s="5" t="s">
        <v>158</v>
      </c>
      <c r="CG166" s="5" t="s">
        <v>158</v>
      </c>
      <c r="CH166" s="5" t="s">
        <v>158</v>
      </c>
      <c r="CI166" s="17" t="s">
        <v>158</v>
      </c>
      <c r="CJ166" s="17" t="s">
        <v>158</v>
      </c>
      <c r="CK166" s="17" t="s">
        <v>158</v>
      </c>
      <c r="CL166" s="17" t="s">
        <v>158</v>
      </c>
      <c r="CM166" s="17" t="s">
        <v>158</v>
      </c>
      <c r="CN166" s="17" t="s">
        <v>158</v>
      </c>
      <c r="CO166" s="17" t="s">
        <v>158</v>
      </c>
      <c r="CP166" s="17" t="s">
        <v>158</v>
      </c>
      <c r="CQ166" s="17" t="s">
        <v>158</v>
      </c>
      <c r="CR166" s="17" t="s">
        <v>158</v>
      </c>
      <c r="CS166" s="17" t="s">
        <v>158</v>
      </c>
      <c r="CT166" s="17" t="s">
        <v>158</v>
      </c>
      <c r="CU166" s="17" t="s">
        <v>158</v>
      </c>
      <c r="CV166" s="17" t="s">
        <v>158</v>
      </c>
      <c r="CW166" s="17" t="s">
        <v>158</v>
      </c>
      <c r="CX166" s="17" t="s">
        <v>158</v>
      </c>
      <c r="CY166" s="67" t="s">
        <v>158</v>
      </c>
    </row>
    <row r="167" spans="1:103" x14ac:dyDescent="0.2">
      <c r="A167" s="37" t="s">
        <v>112</v>
      </c>
      <c r="B167" s="59" t="s">
        <v>24</v>
      </c>
      <c r="C167" s="25" t="s">
        <v>20</v>
      </c>
      <c r="D167" s="25" t="s">
        <v>125</v>
      </c>
      <c r="G167" s="28">
        <v>40796</v>
      </c>
      <c r="H167" s="16">
        <v>2011</v>
      </c>
      <c r="I167" s="135" t="s">
        <v>33</v>
      </c>
      <c r="J167" s="135">
        <v>10</v>
      </c>
      <c r="K167" s="136">
        <v>1.1000000000000001</v>
      </c>
      <c r="L167" s="5" t="s">
        <v>158</v>
      </c>
      <c r="M167" s="38" t="s">
        <v>42</v>
      </c>
      <c r="N167" s="38">
        <v>0.65</v>
      </c>
      <c r="O167" s="38">
        <v>1.5</v>
      </c>
      <c r="P167" s="38">
        <v>1.4</v>
      </c>
      <c r="Q167" s="38">
        <v>2.7</v>
      </c>
      <c r="R167" s="38">
        <v>1.9</v>
      </c>
      <c r="S167" s="39">
        <v>0.83</v>
      </c>
      <c r="T167" s="30">
        <f t="shared" si="17"/>
        <v>8.98</v>
      </c>
      <c r="U167" s="17">
        <f t="shared" si="11"/>
        <v>34.454545454545453</v>
      </c>
      <c r="V167" s="39">
        <v>1.9E-3</v>
      </c>
      <c r="W167" s="39">
        <v>6.2E-2</v>
      </c>
      <c r="X167" s="39">
        <v>1.0999999999999999E-2</v>
      </c>
      <c r="Y167" s="39">
        <v>1.4999999999999999E-2</v>
      </c>
      <c r="Z167" s="30" t="s">
        <v>158</v>
      </c>
      <c r="AA167" s="39">
        <v>2.8E-3</v>
      </c>
      <c r="AB167" s="39" t="s">
        <v>92</v>
      </c>
      <c r="AC167" s="39" t="s">
        <v>109</v>
      </c>
      <c r="AD167" s="5" t="s">
        <v>158</v>
      </c>
      <c r="AE167" s="17">
        <f t="shared" si="18"/>
        <v>9.2699999999999991E-2</v>
      </c>
      <c r="AF167" s="38" t="s">
        <v>46</v>
      </c>
      <c r="AG167" s="18" t="s">
        <v>158</v>
      </c>
      <c r="AH167" s="31">
        <f t="shared" si="16"/>
        <v>9.0425531914893611</v>
      </c>
      <c r="AI167" s="31" t="s">
        <v>158</v>
      </c>
      <c r="AJ167" s="31" t="s">
        <v>158</v>
      </c>
      <c r="AK167" s="31" t="s">
        <v>158</v>
      </c>
      <c r="AL167" s="31" t="s">
        <v>158</v>
      </c>
      <c r="AM167" s="31" t="s">
        <v>158</v>
      </c>
      <c r="AN167" s="31">
        <f t="shared" si="19"/>
        <v>0.30851063829787234</v>
      </c>
      <c r="AO167" s="31">
        <f>BJ167/18.8</f>
        <v>6.3829787234042548E-2</v>
      </c>
      <c r="AP167" s="31" t="s">
        <v>158</v>
      </c>
      <c r="AQ167" s="31">
        <f t="shared" si="20"/>
        <v>0.29255319148936171</v>
      </c>
      <c r="AR167" s="31">
        <f>BM167/18.8</f>
        <v>0.4893617021276595</v>
      </c>
      <c r="AS167" s="5" t="s">
        <v>158</v>
      </c>
      <c r="AT167" s="5" t="s">
        <v>158</v>
      </c>
      <c r="AU167" s="5" t="s">
        <v>158</v>
      </c>
      <c r="AV167" s="5" t="s">
        <v>158</v>
      </c>
      <c r="AW167" s="5" t="s">
        <v>158</v>
      </c>
      <c r="BC167" s="38">
        <v>170</v>
      </c>
      <c r="BD167" s="38" t="s">
        <v>54</v>
      </c>
      <c r="BE167" s="38" t="s">
        <v>143</v>
      </c>
      <c r="BF167" s="38" t="s">
        <v>54</v>
      </c>
      <c r="BG167" s="38" t="s">
        <v>146</v>
      </c>
      <c r="BH167" s="38" t="s">
        <v>54</v>
      </c>
      <c r="BI167" s="38">
        <v>5.8</v>
      </c>
      <c r="BJ167" s="38">
        <v>1.2</v>
      </c>
      <c r="BK167" s="38" t="s">
        <v>44</v>
      </c>
      <c r="BL167" s="38">
        <v>5.5</v>
      </c>
      <c r="BM167" s="38">
        <v>9.1999999999999993</v>
      </c>
      <c r="BN167" s="5" t="s">
        <v>158</v>
      </c>
      <c r="BO167" s="5" t="s">
        <v>158</v>
      </c>
      <c r="BP167" s="5" t="s">
        <v>158</v>
      </c>
      <c r="BQ167" s="5" t="s">
        <v>158</v>
      </c>
      <c r="BR167" s="5" t="s">
        <v>158</v>
      </c>
      <c r="BS167" s="5" t="s">
        <v>158</v>
      </c>
      <c r="BT167" s="5" t="s">
        <v>158</v>
      </c>
      <c r="BU167" s="5" t="s">
        <v>158</v>
      </c>
      <c r="BV167" s="5" t="s">
        <v>158</v>
      </c>
      <c r="BW167" s="5" t="s">
        <v>158</v>
      </c>
      <c r="BX167" s="5" t="s">
        <v>158</v>
      </c>
      <c r="BY167" s="5" t="s">
        <v>158</v>
      </c>
      <c r="BZ167" s="5" t="s">
        <v>158</v>
      </c>
      <c r="CA167" s="5" t="s">
        <v>158</v>
      </c>
      <c r="CB167" s="5" t="s">
        <v>158</v>
      </c>
      <c r="CC167" s="5" t="s">
        <v>158</v>
      </c>
      <c r="CD167" s="5" t="s">
        <v>158</v>
      </c>
      <c r="CE167" s="5" t="s">
        <v>158</v>
      </c>
      <c r="CF167" s="5" t="s">
        <v>158</v>
      </c>
      <c r="CG167" s="5" t="s">
        <v>158</v>
      </c>
      <c r="CH167" s="5" t="s">
        <v>158</v>
      </c>
      <c r="CI167" s="17" t="s">
        <v>158</v>
      </c>
      <c r="CJ167" s="17" t="s">
        <v>158</v>
      </c>
      <c r="CK167" s="17" t="s">
        <v>158</v>
      </c>
      <c r="CL167" s="17" t="s">
        <v>158</v>
      </c>
      <c r="CM167" s="17" t="s">
        <v>158</v>
      </c>
      <c r="CN167" s="17" t="s">
        <v>158</v>
      </c>
      <c r="CO167" s="17" t="s">
        <v>158</v>
      </c>
      <c r="CP167" s="17" t="s">
        <v>158</v>
      </c>
      <c r="CQ167" s="17" t="s">
        <v>158</v>
      </c>
      <c r="CR167" s="17" t="s">
        <v>158</v>
      </c>
      <c r="CS167" s="17" t="s">
        <v>158</v>
      </c>
      <c r="CT167" s="17" t="s">
        <v>158</v>
      </c>
      <c r="CU167" s="17" t="s">
        <v>158</v>
      </c>
      <c r="CV167" s="17" t="s">
        <v>158</v>
      </c>
      <c r="CW167" s="17" t="s">
        <v>158</v>
      </c>
      <c r="CX167" s="17" t="s">
        <v>158</v>
      </c>
      <c r="CY167" s="67" t="s">
        <v>158</v>
      </c>
    </row>
    <row r="168" spans="1:103" x14ac:dyDescent="0.2">
      <c r="A168" s="37" t="s">
        <v>22</v>
      </c>
      <c r="B168" s="59" t="s">
        <v>22</v>
      </c>
      <c r="C168" s="25" t="s">
        <v>20</v>
      </c>
      <c r="D168" s="25" t="s">
        <v>125</v>
      </c>
      <c r="F168" s="40"/>
      <c r="G168" s="87">
        <v>40496</v>
      </c>
      <c r="H168" s="41">
        <v>2010</v>
      </c>
      <c r="I168" s="143" t="s">
        <v>3</v>
      </c>
      <c r="J168" s="143" t="s">
        <v>114</v>
      </c>
      <c r="K168" s="136">
        <v>0.76</v>
      </c>
      <c r="L168" s="5" t="s">
        <v>158</v>
      </c>
      <c r="M168" s="42">
        <v>1.5</v>
      </c>
      <c r="N168" s="42">
        <v>4.8</v>
      </c>
      <c r="O168" s="42">
        <v>6.8</v>
      </c>
      <c r="P168" s="42">
        <v>4.9000000000000004</v>
      </c>
      <c r="Q168" s="42">
        <v>8.4</v>
      </c>
      <c r="R168" s="42">
        <v>6.6</v>
      </c>
      <c r="S168" s="42">
        <v>1.7</v>
      </c>
      <c r="T168" s="5">
        <f t="shared" si="17"/>
        <v>34.700000000000003</v>
      </c>
      <c r="U168" s="17">
        <f t="shared" si="11"/>
        <v>196.05263157894737</v>
      </c>
      <c r="V168" s="42" t="s">
        <v>56</v>
      </c>
      <c r="W168" s="42">
        <v>0.41</v>
      </c>
      <c r="X168" s="42">
        <v>9.7000000000000003E-2</v>
      </c>
      <c r="Y168" s="42">
        <v>0.14000000000000001</v>
      </c>
      <c r="Z168" s="5" t="s">
        <v>158</v>
      </c>
      <c r="AA168" s="42">
        <v>2.5999999999999999E-2</v>
      </c>
      <c r="AB168" s="42" t="s">
        <v>64</v>
      </c>
      <c r="AC168" s="30" t="s">
        <v>158</v>
      </c>
      <c r="AD168" s="5" t="s">
        <v>158</v>
      </c>
      <c r="AE168" s="17">
        <f t="shared" si="18"/>
        <v>0.67300000000000004</v>
      </c>
      <c r="AF168" s="42" t="s">
        <v>45</v>
      </c>
      <c r="AG168" s="18" t="s">
        <v>158</v>
      </c>
      <c r="AH168" s="31">
        <f>BC168/18.8</f>
        <v>13.617021276595745</v>
      </c>
      <c r="AI168" s="17" t="s">
        <v>158</v>
      </c>
      <c r="AJ168" s="17" t="s">
        <v>158</v>
      </c>
      <c r="AK168" s="17" t="s">
        <v>158</v>
      </c>
      <c r="AL168" s="17" t="s">
        <v>158</v>
      </c>
      <c r="AM168" s="17" t="s">
        <v>158</v>
      </c>
      <c r="AN168" s="17" t="s">
        <v>158</v>
      </c>
      <c r="AO168" s="17" t="s">
        <v>158</v>
      </c>
      <c r="AP168" s="17" t="s">
        <v>158</v>
      </c>
      <c r="AQ168" s="17" t="s">
        <v>158</v>
      </c>
      <c r="AR168" s="17" t="s">
        <v>158</v>
      </c>
      <c r="AS168" s="5" t="s">
        <v>158</v>
      </c>
      <c r="AT168" s="5" t="s">
        <v>158</v>
      </c>
      <c r="AU168" s="5" t="s">
        <v>158</v>
      </c>
      <c r="AV168" s="5" t="s">
        <v>158</v>
      </c>
      <c r="AW168" s="5" t="s">
        <v>158</v>
      </c>
      <c r="BC168" s="107">
        <v>256</v>
      </c>
      <c r="BD168" s="17" t="s">
        <v>158</v>
      </c>
      <c r="BE168" s="17" t="s">
        <v>158</v>
      </c>
      <c r="BF168" s="17" t="s">
        <v>158</v>
      </c>
      <c r="BG168" s="17" t="s">
        <v>158</v>
      </c>
      <c r="BH168" s="17" t="s">
        <v>158</v>
      </c>
      <c r="BI168" s="17" t="s">
        <v>158</v>
      </c>
      <c r="BJ168" s="17" t="s">
        <v>158</v>
      </c>
      <c r="BK168" s="17" t="s">
        <v>158</v>
      </c>
      <c r="BL168" s="17" t="s">
        <v>158</v>
      </c>
      <c r="BM168" s="17" t="s">
        <v>158</v>
      </c>
      <c r="BN168" s="5" t="s">
        <v>158</v>
      </c>
      <c r="BO168" s="5" t="s">
        <v>158</v>
      </c>
      <c r="BP168" s="5" t="s">
        <v>158</v>
      </c>
      <c r="BQ168" s="5" t="s">
        <v>158</v>
      </c>
      <c r="BR168" s="5" t="s">
        <v>158</v>
      </c>
      <c r="BS168" s="5" t="s">
        <v>158</v>
      </c>
      <c r="BT168" s="5" t="s">
        <v>158</v>
      </c>
      <c r="BU168" s="5" t="s">
        <v>158</v>
      </c>
      <c r="BV168" s="5" t="s">
        <v>158</v>
      </c>
      <c r="BW168" s="5" t="s">
        <v>158</v>
      </c>
      <c r="BX168" s="5" t="s">
        <v>158</v>
      </c>
      <c r="BY168" s="5" t="s">
        <v>158</v>
      </c>
      <c r="BZ168" s="5" t="s">
        <v>158</v>
      </c>
      <c r="CA168" s="5" t="s">
        <v>158</v>
      </c>
      <c r="CB168" s="5" t="s">
        <v>158</v>
      </c>
      <c r="CC168" s="5" t="s">
        <v>158</v>
      </c>
      <c r="CD168" s="5" t="s">
        <v>158</v>
      </c>
      <c r="CE168" s="5" t="s">
        <v>158</v>
      </c>
      <c r="CF168" s="5" t="s">
        <v>158</v>
      </c>
      <c r="CG168" s="5" t="s">
        <v>158</v>
      </c>
      <c r="CH168" s="5" t="s">
        <v>158</v>
      </c>
      <c r="CI168" s="17" t="s">
        <v>158</v>
      </c>
      <c r="CJ168" s="17" t="s">
        <v>158</v>
      </c>
      <c r="CK168" s="17" t="s">
        <v>158</v>
      </c>
      <c r="CL168" s="17" t="s">
        <v>158</v>
      </c>
      <c r="CM168" s="17" t="s">
        <v>158</v>
      </c>
      <c r="CN168" s="17" t="s">
        <v>158</v>
      </c>
      <c r="CO168" s="17" t="s">
        <v>158</v>
      </c>
      <c r="CP168" s="17" t="s">
        <v>158</v>
      </c>
      <c r="CQ168" s="17" t="s">
        <v>158</v>
      </c>
      <c r="CR168" s="17" t="s">
        <v>158</v>
      </c>
      <c r="CS168" s="17" t="s">
        <v>158</v>
      </c>
      <c r="CT168" s="17" t="s">
        <v>158</v>
      </c>
      <c r="CU168" s="17" t="s">
        <v>158</v>
      </c>
      <c r="CV168" s="17" t="s">
        <v>158</v>
      </c>
      <c r="CW168" s="17" t="s">
        <v>158</v>
      </c>
      <c r="CX168" s="17" t="s">
        <v>158</v>
      </c>
      <c r="CY168" s="67" t="s">
        <v>158</v>
      </c>
    </row>
    <row r="169" spans="1:103" x14ac:dyDescent="0.2">
      <c r="A169" s="37" t="s">
        <v>22</v>
      </c>
      <c r="B169" s="59" t="s">
        <v>22</v>
      </c>
      <c r="C169" s="25" t="s">
        <v>20</v>
      </c>
      <c r="D169" s="25" t="s">
        <v>125</v>
      </c>
      <c r="F169" s="44"/>
      <c r="G169" s="87">
        <v>40496</v>
      </c>
      <c r="H169" s="41">
        <v>2010</v>
      </c>
      <c r="I169" s="143" t="s">
        <v>3</v>
      </c>
      <c r="J169" s="143" t="s">
        <v>114</v>
      </c>
      <c r="K169" s="136">
        <v>0.69</v>
      </c>
      <c r="L169" s="5" t="s">
        <v>158</v>
      </c>
      <c r="M169" s="42">
        <v>1.9</v>
      </c>
      <c r="N169" s="42">
        <v>4.7</v>
      </c>
      <c r="O169" s="42">
        <v>4.9000000000000004</v>
      </c>
      <c r="P169" s="42">
        <v>3.9</v>
      </c>
      <c r="Q169" s="42">
        <v>7.2</v>
      </c>
      <c r="R169" s="42">
        <v>5.5</v>
      </c>
      <c r="S169" s="42">
        <v>1.6</v>
      </c>
      <c r="T169" s="5">
        <f t="shared" si="17"/>
        <v>29.700000000000003</v>
      </c>
      <c r="U169" s="17">
        <f t="shared" si="11"/>
        <v>186.95652173913044</v>
      </c>
      <c r="V169" s="42">
        <v>2.1999999999999999E-2</v>
      </c>
      <c r="W169" s="42">
        <v>0.36</v>
      </c>
      <c r="X169" s="42">
        <v>9.2999999999999999E-2</v>
      </c>
      <c r="Y169" s="42">
        <v>8.3000000000000004E-2</v>
      </c>
      <c r="Z169" s="5" t="s">
        <v>158</v>
      </c>
      <c r="AA169" s="42">
        <v>2.3E-2</v>
      </c>
      <c r="AB169" s="42">
        <v>2.1999999999999999E-2</v>
      </c>
      <c r="AC169" s="30" t="s">
        <v>158</v>
      </c>
      <c r="AD169" s="5" t="s">
        <v>158</v>
      </c>
      <c r="AE169" s="17">
        <f t="shared" si="18"/>
        <v>0.60300000000000009</v>
      </c>
      <c r="AF169" s="42" t="s">
        <v>46</v>
      </c>
      <c r="AG169" s="18" t="s">
        <v>158</v>
      </c>
      <c r="AH169" s="31">
        <f t="shared" si="16"/>
        <v>22.127659574468083</v>
      </c>
      <c r="AI169" s="17" t="s">
        <v>158</v>
      </c>
      <c r="AJ169" s="17" t="s">
        <v>158</v>
      </c>
      <c r="AK169" s="17" t="s">
        <v>158</v>
      </c>
      <c r="AL169" s="17" t="s">
        <v>158</v>
      </c>
      <c r="AM169" s="17" t="s">
        <v>158</v>
      </c>
      <c r="AN169" s="17" t="s">
        <v>158</v>
      </c>
      <c r="AO169" s="17" t="s">
        <v>158</v>
      </c>
      <c r="AP169" s="17" t="s">
        <v>158</v>
      </c>
      <c r="AQ169" s="17" t="s">
        <v>158</v>
      </c>
      <c r="AR169" s="17" t="s">
        <v>158</v>
      </c>
      <c r="AS169" s="5" t="s">
        <v>158</v>
      </c>
      <c r="AT169" s="5" t="s">
        <v>158</v>
      </c>
      <c r="AU169" s="5" t="s">
        <v>158</v>
      </c>
      <c r="AV169" s="5" t="s">
        <v>158</v>
      </c>
      <c r="AW169" s="5" t="s">
        <v>158</v>
      </c>
      <c r="BC169" s="107">
        <v>416</v>
      </c>
      <c r="BD169" s="17" t="s">
        <v>158</v>
      </c>
      <c r="BE169" s="17" t="s">
        <v>158</v>
      </c>
      <c r="BF169" s="17" t="s">
        <v>158</v>
      </c>
      <c r="BG169" s="17" t="s">
        <v>158</v>
      </c>
      <c r="BH169" s="17" t="s">
        <v>158</v>
      </c>
      <c r="BI169" s="17" t="s">
        <v>158</v>
      </c>
      <c r="BJ169" s="17" t="s">
        <v>158</v>
      </c>
      <c r="BK169" s="17" t="s">
        <v>158</v>
      </c>
      <c r="BL169" s="17" t="s">
        <v>158</v>
      </c>
      <c r="BM169" s="17" t="s">
        <v>158</v>
      </c>
      <c r="BN169" s="5" t="s">
        <v>158</v>
      </c>
      <c r="BO169" s="5" t="s">
        <v>158</v>
      </c>
      <c r="BP169" s="5" t="s">
        <v>158</v>
      </c>
      <c r="BQ169" s="5" t="s">
        <v>158</v>
      </c>
      <c r="BR169" s="5" t="s">
        <v>158</v>
      </c>
      <c r="BS169" s="5" t="s">
        <v>158</v>
      </c>
      <c r="BT169" s="5" t="s">
        <v>158</v>
      </c>
      <c r="BU169" s="5" t="s">
        <v>158</v>
      </c>
      <c r="BV169" s="5" t="s">
        <v>158</v>
      </c>
      <c r="BW169" s="5" t="s">
        <v>158</v>
      </c>
      <c r="BX169" s="5" t="s">
        <v>158</v>
      </c>
      <c r="BY169" s="5" t="s">
        <v>158</v>
      </c>
      <c r="BZ169" s="5" t="s">
        <v>158</v>
      </c>
      <c r="CA169" s="5" t="s">
        <v>158</v>
      </c>
      <c r="CB169" s="5" t="s">
        <v>158</v>
      </c>
      <c r="CC169" s="5" t="s">
        <v>158</v>
      </c>
      <c r="CD169" s="5" t="s">
        <v>158</v>
      </c>
      <c r="CE169" s="5" t="s">
        <v>158</v>
      </c>
      <c r="CF169" s="5" t="s">
        <v>158</v>
      </c>
      <c r="CG169" s="5" t="s">
        <v>158</v>
      </c>
      <c r="CH169" s="5" t="s">
        <v>158</v>
      </c>
      <c r="CI169" s="17" t="s">
        <v>158</v>
      </c>
      <c r="CJ169" s="17" t="s">
        <v>158</v>
      </c>
      <c r="CK169" s="17" t="s">
        <v>158</v>
      </c>
      <c r="CL169" s="17" t="s">
        <v>158</v>
      </c>
      <c r="CM169" s="17" t="s">
        <v>158</v>
      </c>
      <c r="CN169" s="17" t="s">
        <v>158</v>
      </c>
      <c r="CO169" s="17" t="s">
        <v>158</v>
      </c>
      <c r="CP169" s="17" t="s">
        <v>158</v>
      </c>
      <c r="CQ169" s="17" t="s">
        <v>158</v>
      </c>
      <c r="CR169" s="17" t="s">
        <v>158</v>
      </c>
      <c r="CS169" s="17" t="s">
        <v>158</v>
      </c>
      <c r="CT169" s="17" t="s">
        <v>158</v>
      </c>
      <c r="CU169" s="17" t="s">
        <v>158</v>
      </c>
      <c r="CV169" s="17" t="s">
        <v>158</v>
      </c>
      <c r="CW169" s="17" t="s">
        <v>158</v>
      </c>
      <c r="CX169" s="17" t="s">
        <v>158</v>
      </c>
      <c r="CY169" s="67" t="s">
        <v>158</v>
      </c>
    </row>
    <row r="170" spans="1:103" x14ac:dyDescent="0.2">
      <c r="A170" s="37" t="s">
        <v>22</v>
      </c>
      <c r="B170" s="59" t="s">
        <v>22</v>
      </c>
      <c r="C170" s="25" t="s">
        <v>20</v>
      </c>
      <c r="D170" s="25" t="s">
        <v>125</v>
      </c>
      <c r="F170" s="40"/>
      <c r="G170" s="87">
        <v>40496</v>
      </c>
      <c r="H170" s="41">
        <v>2010</v>
      </c>
      <c r="I170" s="143" t="s">
        <v>3</v>
      </c>
      <c r="J170" s="143" t="s">
        <v>114</v>
      </c>
      <c r="K170" s="136">
        <v>0.71</v>
      </c>
      <c r="L170" s="5" t="s">
        <v>158</v>
      </c>
      <c r="M170" s="42">
        <v>2.2000000000000002</v>
      </c>
      <c r="N170" s="42">
        <v>4.3</v>
      </c>
      <c r="O170" s="42">
        <v>7.7</v>
      </c>
      <c r="P170" s="42">
        <v>7.8</v>
      </c>
      <c r="Q170" s="42">
        <v>8.6999999999999993</v>
      </c>
      <c r="R170" s="42">
        <v>8.5</v>
      </c>
      <c r="S170" s="42">
        <v>1.9</v>
      </c>
      <c r="T170" s="5">
        <f t="shared" si="17"/>
        <v>41.1</v>
      </c>
      <c r="U170" s="17">
        <f t="shared" si="11"/>
        <v>234.50704225352112</v>
      </c>
      <c r="V170" s="42" t="s">
        <v>57</v>
      </c>
      <c r="W170" s="42">
        <v>0.43</v>
      </c>
      <c r="X170" s="42">
        <v>0.11</v>
      </c>
      <c r="Y170" s="42">
        <v>0.13</v>
      </c>
      <c r="Z170" s="5" t="s">
        <v>158</v>
      </c>
      <c r="AA170" s="42">
        <v>2.7E-2</v>
      </c>
      <c r="AB170" s="42">
        <v>1.7999999999999999E-2</v>
      </c>
      <c r="AC170" s="30" t="s">
        <v>158</v>
      </c>
      <c r="AD170" s="5" t="s">
        <v>158</v>
      </c>
      <c r="AE170" s="17">
        <f t="shared" si="18"/>
        <v>0.71500000000000008</v>
      </c>
      <c r="AF170" s="42" t="s">
        <v>46</v>
      </c>
      <c r="AG170" s="18" t="s">
        <v>158</v>
      </c>
      <c r="AH170" s="31">
        <f t="shared" si="16"/>
        <v>11.117021276595745</v>
      </c>
      <c r="AI170" s="17" t="s">
        <v>158</v>
      </c>
      <c r="AJ170" s="17" t="s">
        <v>158</v>
      </c>
      <c r="AK170" s="17" t="s">
        <v>158</v>
      </c>
      <c r="AL170" s="17" t="s">
        <v>158</v>
      </c>
      <c r="AM170" s="17" t="s">
        <v>158</v>
      </c>
      <c r="AN170" s="17" t="s">
        <v>158</v>
      </c>
      <c r="AO170" s="17" t="s">
        <v>158</v>
      </c>
      <c r="AP170" s="17" t="s">
        <v>158</v>
      </c>
      <c r="AQ170" s="17" t="s">
        <v>158</v>
      </c>
      <c r="AR170" s="17" t="s">
        <v>158</v>
      </c>
      <c r="AS170" s="5" t="s">
        <v>158</v>
      </c>
      <c r="AT170" s="5" t="s">
        <v>158</v>
      </c>
      <c r="AU170" s="5" t="s">
        <v>158</v>
      </c>
      <c r="AV170" s="5" t="s">
        <v>158</v>
      </c>
      <c r="AW170" s="5" t="s">
        <v>158</v>
      </c>
      <c r="BC170" s="107">
        <v>209</v>
      </c>
      <c r="BD170" s="17" t="s">
        <v>158</v>
      </c>
      <c r="BE170" s="17" t="s">
        <v>158</v>
      </c>
      <c r="BF170" s="17" t="s">
        <v>158</v>
      </c>
      <c r="BG170" s="17" t="s">
        <v>158</v>
      </c>
      <c r="BH170" s="17" t="s">
        <v>158</v>
      </c>
      <c r="BI170" s="17" t="s">
        <v>158</v>
      </c>
      <c r="BJ170" s="17" t="s">
        <v>158</v>
      </c>
      <c r="BK170" s="17" t="s">
        <v>158</v>
      </c>
      <c r="BL170" s="17" t="s">
        <v>158</v>
      </c>
      <c r="BM170" s="17" t="s">
        <v>158</v>
      </c>
      <c r="BN170" s="5" t="s">
        <v>158</v>
      </c>
      <c r="BO170" s="5" t="s">
        <v>158</v>
      </c>
      <c r="BP170" s="5" t="s">
        <v>158</v>
      </c>
      <c r="BQ170" s="5" t="s">
        <v>158</v>
      </c>
      <c r="BR170" s="5" t="s">
        <v>158</v>
      </c>
      <c r="BS170" s="5" t="s">
        <v>158</v>
      </c>
      <c r="BT170" s="5" t="s">
        <v>158</v>
      </c>
      <c r="BU170" s="5" t="s">
        <v>158</v>
      </c>
      <c r="BV170" s="5" t="s">
        <v>158</v>
      </c>
      <c r="BW170" s="5" t="s">
        <v>158</v>
      </c>
      <c r="BX170" s="5" t="s">
        <v>158</v>
      </c>
      <c r="BY170" s="5" t="s">
        <v>158</v>
      </c>
      <c r="BZ170" s="5" t="s">
        <v>158</v>
      </c>
      <c r="CA170" s="5" t="s">
        <v>158</v>
      </c>
      <c r="CB170" s="5" t="s">
        <v>158</v>
      </c>
      <c r="CC170" s="5" t="s">
        <v>158</v>
      </c>
      <c r="CD170" s="5" t="s">
        <v>158</v>
      </c>
      <c r="CE170" s="5" t="s">
        <v>158</v>
      </c>
      <c r="CF170" s="5" t="s">
        <v>158</v>
      </c>
      <c r="CG170" s="5" t="s">
        <v>158</v>
      </c>
      <c r="CH170" s="5" t="s">
        <v>158</v>
      </c>
      <c r="CI170" s="17" t="s">
        <v>158</v>
      </c>
      <c r="CJ170" s="17" t="s">
        <v>158</v>
      </c>
      <c r="CK170" s="17" t="s">
        <v>158</v>
      </c>
      <c r="CL170" s="17" t="s">
        <v>158</v>
      </c>
      <c r="CM170" s="17" t="s">
        <v>158</v>
      </c>
      <c r="CN170" s="17" t="s">
        <v>158</v>
      </c>
      <c r="CO170" s="17" t="s">
        <v>158</v>
      </c>
      <c r="CP170" s="17" t="s">
        <v>158</v>
      </c>
      <c r="CQ170" s="17" t="s">
        <v>158</v>
      </c>
      <c r="CR170" s="17" t="s">
        <v>158</v>
      </c>
      <c r="CS170" s="17" t="s">
        <v>158</v>
      </c>
      <c r="CT170" s="17" t="s">
        <v>158</v>
      </c>
      <c r="CU170" s="17" t="s">
        <v>158</v>
      </c>
      <c r="CV170" s="17" t="s">
        <v>158</v>
      </c>
      <c r="CW170" s="17" t="s">
        <v>158</v>
      </c>
      <c r="CX170" s="17" t="s">
        <v>158</v>
      </c>
      <c r="CY170" s="67" t="s">
        <v>158</v>
      </c>
    </row>
    <row r="171" spans="1:103" x14ac:dyDescent="0.2">
      <c r="A171" s="37" t="s">
        <v>22</v>
      </c>
      <c r="B171" s="59" t="s">
        <v>22</v>
      </c>
      <c r="C171" s="25" t="s">
        <v>20</v>
      </c>
      <c r="D171" s="25" t="s">
        <v>125</v>
      </c>
      <c r="F171" s="40"/>
      <c r="G171" s="87">
        <v>40496</v>
      </c>
      <c r="H171" s="41">
        <v>2010</v>
      </c>
      <c r="I171" s="143" t="s">
        <v>3</v>
      </c>
      <c r="J171" s="143" t="s">
        <v>114</v>
      </c>
      <c r="K171" s="136">
        <v>0.72</v>
      </c>
      <c r="L171" s="5" t="s">
        <v>158</v>
      </c>
      <c r="M171" s="42">
        <v>2.2999999999999998</v>
      </c>
      <c r="N171" s="42">
        <v>4</v>
      </c>
      <c r="O171" s="42">
        <v>5.5</v>
      </c>
      <c r="P171" s="42">
        <v>4.4000000000000004</v>
      </c>
      <c r="Q171" s="42">
        <v>6.9</v>
      </c>
      <c r="R171" s="42">
        <v>5.3</v>
      </c>
      <c r="S171" s="42">
        <v>1.7</v>
      </c>
      <c r="T171" s="5">
        <f t="shared" si="17"/>
        <v>30.1</v>
      </c>
      <c r="U171" s="17">
        <f t="shared" si="11"/>
        <v>178.47222222222226</v>
      </c>
      <c r="V171" s="42">
        <v>1.2E-2</v>
      </c>
      <c r="W171" s="42">
        <v>1.5</v>
      </c>
      <c r="X171" s="42">
        <v>0.51</v>
      </c>
      <c r="Y171" s="42">
        <v>0.28999999999999998</v>
      </c>
      <c r="Z171" s="5" t="s">
        <v>158</v>
      </c>
      <c r="AA171" s="42">
        <v>6.6000000000000003E-2</v>
      </c>
      <c r="AB171" s="42">
        <v>3.2000000000000001E-2</v>
      </c>
      <c r="AC171" s="30" t="s">
        <v>158</v>
      </c>
      <c r="AD171" s="5" t="s">
        <v>158</v>
      </c>
      <c r="AE171" s="17">
        <f t="shared" si="18"/>
        <v>2.41</v>
      </c>
      <c r="AF171" s="42" t="s">
        <v>46</v>
      </c>
      <c r="AG171" s="18" t="s">
        <v>158</v>
      </c>
      <c r="AH171" s="31">
        <f t="shared" si="16"/>
        <v>13.617021276595745</v>
      </c>
      <c r="AI171" s="17" t="s">
        <v>158</v>
      </c>
      <c r="AJ171" s="17" t="s">
        <v>158</v>
      </c>
      <c r="AK171" s="17" t="s">
        <v>158</v>
      </c>
      <c r="AL171" s="17" t="s">
        <v>158</v>
      </c>
      <c r="AM171" s="17" t="s">
        <v>158</v>
      </c>
      <c r="AN171" s="17" t="s">
        <v>158</v>
      </c>
      <c r="AO171" s="17" t="s">
        <v>158</v>
      </c>
      <c r="AP171" s="17" t="s">
        <v>158</v>
      </c>
      <c r="AQ171" s="17" t="s">
        <v>158</v>
      </c>
      <c r="AR171" s="17" t="s">
        <v>158</v>
      </c>
      <c r="AS171" s="5" t="s">
        <v>158</v>
      </c>
      <c r="AT171" s="5" t="s">
        <v>158</v>
      </c>
      <c r="AU171" s="5" t="s">
        <v>158</v>
      </c>
      <c r="AV171" s="5" t="s">
        <v>158</v>
      </c>
      <c r="AW171" s="5" t="s">
        <v>158</v>
      </c>
      <c r="BC171" s="107">
        <v>256</v>
      </c>
      <c r="BD171" s="17" t="s">
        <v>158</v>
      </c>
      <c r="BE171" s="17" t="s">
        <v>158</v>
      </c>
      <c r="BF171" s="17" t="s">
        <v>158</v>
      </c>
      <c r="BG171" s="17" t="s">
        <v>158</v>
      </c>
      <c r="BH171" s="17" t="s">
        <v>158</v>
      </c>
      <c r="BI171" s="17" t="s">
        <v>158</v>
      </c>
      <c r="BJ171" s="17" t="s">
        <v>158</v>
      </c>
      <c r="BK171" s="17" t="s">
        <v>158</v>
      </c>
      <c r="BL171" s="17" t="s">
        <v>158</v>
      </c>
      <c r="BM171" s="17" t="s">
        <v>158</v>
      </c>
      <c r="BN171" s="5" t="s">
        <v>158</v>
      </c>
      <c r="BO171" s="5" t="s">
        <v>158</v>
      </c>
      <c r="BP171" s="5" t="s">
        <v>158</v>
      </c>
      <c r="BQ171" s="5" t="s">
        <v>158</v>
      </c>
      <c r="BR171" s="5" t="s">
        <v>158</v>
      </c>
      <c r="BS171" s="5" t="s">
        <v>158</v>
      </c>
      <c r="BT171" s="5" t="s">
        <v>158</v>
      </c>
      <c r="BU171" s="5" t="s">
        <v>158</v>
      </c>
      <c r="BV171" s="5" t="s">
        <v>158</v>
      </c>
      <c r="BW171" s="5" t="s">
        <v>158</v>
      </c>
      <c r="BX171" s="5" t="s">
        <v>158</v>
      </c>
      <c r="BY171" s="5" t="s">
        <v>158</v>
      </c>
      <c r="BZ171" s="5" t="s">
        <v>158</v>
      </c>
      <c r="CA171" s="5" t="s">
        <v>158</v>
      </c>
      <c r="CB171" s="5" t="s">
        <v>158</v>
      </c>
      <c r="CC171" s="5" t="s">
        <v>158</v>
      </c>
      <c r="CD171" s="5" t="s">
        <v>158</v>
      </c>
      <c r="CE171" s="5" t="s">
        <v>158</v>
      </c>
      <c r="CF171" s="5" t="s">
        <v>158</v>
      </c>
      <c r="CG171" s="5" t="s">
        <v>158</v>
      </c>
      <c r="CH171" s="5" t="s">
        <v>158</v>
      </c>
      <c r="CI171" s="17" t="s">
        <v>158</v>
      </c>
      <c r="CJ171" s="17" t="s">
        <v>158</v>
      </c>
      <c r="CK171" s="17" t="s">
        <v>158</v>
      </c>
      <c r="CL171" s="17" t="s">
        <v>158</v>
      </c>
      <c r="CM171" s="17" t="s">
        <v>158</v>
      </c>
      <c r="CN171" s="17" t="s">
        <v>158</v>
      </c>
      <c r="CO171" s="17" t="s">
        <v>158</v>
      </c>
      <c r="CP171" s="17" t="s">
        <v>158</v>
      </c>
      <c r="CQ171" s="17" t="s">
        <v>158</v>
      </c>
      <c r="CR171" s="17" t="s">
        <v>158</v>
      </c>
      <c r="CS171" s="17" t="s">
        <v>158</v>
      </c>
      <c r="CT171" s="17" t="s">
        <v>158</v>
      </c>
      <c r="CU171" s="17" t="s">
        <v>158</v>
      </c>
      <c r="CV171" s="17" t="s">
        <v>158</v>
      </c>
      <c r="CW171" s="17" t="s">
        <v>158</v>
      </c>
      <c r="CX171" s="17" t="s">
        <v>158</v>
      </c>
      <c r="CY171" s="67" t="s">
        <v>158</v>
      </c>
    </row>
    <row r="172" spans="1:103" x14ac:dyDescent="0.2">
      <c r="A172" s="37" t="s">
        <v>22</v>
      </c>
      <c r="B172" s="59" t="s">
        <v>22</v>
      </c>
      <c r="C172" s="25" t="s">
        <v>20</v>
      </c>
      <c r="D172" s="25" t="s">
        <v>125</v>
      </c>
      <c r="F172" s="40"/>
      <c r="G172" s="87">
        <v>40496</v>
      </c>
      <c r="H172" s="41">
        <v>2010</v>
      </c>
      <c r="I172" s="143" t="s">
        <v>3</v>
      </c>
      <c r="J172" s="143" t="s">
        <v>114</v>
      </c>
      <c r="K172" s="136">
        <v>0.72</v>
      </c>
      <c r="L172" s="5" t="s">
        <v>158</v>
      </c>
      <c r="M172" s="42">
        <v>2.9</v>
      </c>
      <c r="N172" s="42">
        <v>7.8</v>
      </c>
      <c r="O172" s="42">
        <v>13</v>
      </c>
      <c r="P172" s="42">
        <v>9.9</v>
      </c>
      <c r="Q172" s="42">
        <v>18</v>
      </c>
      <c r="R172" s="42">
        <v>11</v>
      </c>
      <c r="S172" s="42">
        <v>3.7</v>
      </c>
      <c r="T172" s="5">
        <f t="shared" si="17"/>
        <v>66.3</v>
      </c>
      <c r="U172" s="17">
        <f t="shared" si="11"/>
        <v>391.66666666666674</v>
      </c>
      <c r="V172" s="42">
        <v>9.1000000000000004E-3</v>
      </c>
      <c r="W172" s="42">
        <v>0.61</v>
      </c>
      <c r="X172" s="42">
        <v>0.18</v>
      </c>
      <c r="Y172" s="42">
        <v>0.18</v>
      </c>
      <c r="Z172" s="5" t="s">
        <v>158</v>
      </c>
      <c r="AA172" s="42">
        <v>5.7000000000000002E-2</v>
      </c>
      <c r="AB172" s="42">
        <v>2.8000000000000001E-2</v>
      </c>
      <c r="AC172" s="30" t="s">
        <v>158</v>
      </c>
      <c r="AD172" s="5" t="s">
        <v>158</v>
      </c>
      <c r="AE172" s="17">
        <f t="shared" si="18"/>
        <v>1.0640999999999998</v>
      </c>
      <c r="AF172" s="42" t="s">
        <v>46</v>
      </c>
      <c r="AG172" s="18" t="s">
        <v>158</v>
      </c>
      <c r="AH172" s="31">
        <f t="shared" si="16"/>
        <v>13.617021276595745</v>
      </c>
      <c r="AI172" s="17" t="s">
        <v>158</v>
      </c>
      <c r="AJ172" s="17" t="s">
        <v>158</v>
      </c>
      <c r="AK172" s="17" t="s">
        <v>158</v>
      </c>
      <c r="AL172" s="17" t="s">
        <v>158</v>
      </c>
      <c r="AM172" s="17" t="s">
        <v>158</v>
      </c>
      <c r="AN172" s="17" t="s">
        <v>158</v>
      </c>
      <c r="AO172" s="17" t="s">
        <v>158</v>
      </c>
      <c r="AP172" s="17" t="s">
        <v>158</v>
      </c>
      <c r="AQ172" s="17" t="s">
        <v>158</v>
      </c>
      <c r="AR172" s="17" t="s">
        <v>158</v>
      </c>
      <c r="AS172" s="5" t="s">
        <v>158</v>
      </c>
      <c r="AT172" s="5" t="s">
        <v>158</v>
      </c>
      <c r="AU172" s="5" t="s">
        <v>158</v>
      </c>
      <c r="AV172" s="5" t="s">
        <v>158</v>
      </c>
      <c r="AW172" s="5" t="s">
        <v>158</v>
      </c>
      <c r="BC172" s="107">
        <v>256</v>
      </c>
      <c r="BD172" s="17" t="s">
        <v>158</v>
      </c>
      <c r="BE172" s="17" t="s">
        <v>158</v>
      </c>
      <c r="BF172" s="17" t="s">
        <v>158</v>
      </c>
      <c r="BG172" s="17" t="s">
        <v>158</v>
      </c>
      <c r="BH172" s="17" t="s">
        <v>158</v>
      </c>
      <c r="BI172" s="17" t="s">
        <v>158</v>
      </c>
      <c r="BJ172" s="17" t="s">
        <v>158</v>
      </c>
      <c r="BK172" s="17" t="s">
        <v>158</v>
      </c>
      <c r="BL172" s="17" t="s">
        <v>158</v>
      </c>
      <c r="BM172" s="17" t="s">
        <v>158</v>
      </c>
      <c r="BN172" s="5" t="s">
        <v>158</v>
      </c>
      <c r="BO172" s="5" t="s">
        <v>158</v>
      </c>
      <c r="BP172" s="5" t="s">
        <v>158</v>
      </c>
      <c r="BQ172" s="5" t="s">
        <v>158</v>
      </c>
      <c r="BR172" s="5" t="s">
        <v>158</v>
      </c>
      <c r="BS172" s="5" t="s">
        <v>158</v>
      </c>
      <c r="BT172" s="5" t="s">
        <v>158</v>
      </c>
      <c r="BU172" s="5" t="s">
        <v>158</v>
      </c>
      <c r="BV172" s="5" t="s">
        <v>158</v>
      </c>
      <c r="BW172" s="5" t="s">
        <v>158</v>
      </c>
      <c r="BX172" s="5" t="s">
        <v>158</v>
      </c>
      <c r="BY172" s="5" t="s">
        <v>158</v>
      </c>
      <c r="BZ172" s="5" t="s">
        <v>158</v>
      </c>
      <c r="CA172" s="5" t="s">
        <v>158</v>
      </c>
      <c r="CB172" s="5" t="s">
        <v>158</v>
      </c>
      <c r="CC172" s="5" t="s">
        <v>158</v>
      </c>
      <c r="CD172" s="5" t="s">
        <v>158</v>
      </c>
      <c r="CE172" s="5" t="s">
        <v>158</v>
      </c>
      <c r="CF172" s="5" t="s">
        <v>158</v>
      </c>
      <c r="CG172" s="5" t="s">
        <v>158</v>
      </c>
      <c r="CH172" s="5" t="s">
        <v>158</v>
      </c>
      <c r="CI172" s="17" t="s">
        <v>158</v>
      </c>
      <c r="CJ172" s="17" t="s">
        <v>158</v>
      </c>
      <c r="CK172" s="17" t="s">
        <v>158</v>
      </c>
      <c r="CL172" s="17" t="s">
        <v>158</v>
      </c>
      <c r="CM172" s="17" t="s">
        <v>158</v>
      </c>
      <c r="CN172" s="17" t="s">
        <v>158</v>
      </c>
      <c r="CO172" s="17" t="s">
        <v>158</v>
      </c>
      <c r="CP172" s="17" t="s">
        <v>158</v>
      </c>
      <c r="CQ172" s="17" t="s">
        <v>158</v>
      </c>
      <c r="CR172" s="17" t="s">
        <v>158</v>
      </c>
      <c r="CS172" s="17" t="s">
        <v>158</v>
      </c>
      <c r="CT172" s="17" t="s">
        <v>158</v>
      </c>
      <c r="CU172" s="17" t="s">
        <v>158</v>
      </c>
      <c r="CV172" s="17" t="s">
        <v>158</v>
      </c>
      <c r="CW172" s="17" t="s">
        <v>158</v>
      </c>
      <c r="CX172" s="17" t="s">
        <v>158</v>
      </c>
      <c r="CY172" s="67" t="s">
        <v>158</v>
      </c>
    </row>
    <row r="173" spans="1:103" x14ac:dyDescent="0.2">
      <c r="A173" s="37" t="s">
        <v>22</v>
      </c>
      <c r="B173" s="59" t="s">
        <v>22</v>
      </c>
      <c r="C173" s="25" t="s">
        <v>20</v>
      </c>
      <c r="D173" s="25" t="s">
        <v>125</v>
      </c>
      <c r="F173" s="40"/>
      <c r="G173" s="87">
        <v>40496</v>
      </c>
      <c r="H173" s="41">
        <v>2010</v>
      </c>
      <c r="I173" s="143" t="s">
        <v>3</v>
      </c>
      <c r="J173" s="143" t="s">
        <v>114</v>
      </c>
      <c r="K173" s="136">
        <v>0.74</v>
      </c>
      <c r="L173" s="5" t="s">
        <v>158</v>
      </c>
      <c r="M173" s="42">
        <v>5.0999999999999996</v>
      </c>
      <c r="N173" s="42">
        <v>8.6</v>
      </c>
      <c r="O173" s="42">
        <v>16</v>
      </c>
      <c r="P173" s="42">
        <v>13</v>
      </c>
      <c r="Q173" s="42">
        <v>35</v>
      </c>
      <c r="R173" s="42">
        <v>20</v>
      </c>
      <c r="S173" s="42">
        <v>7.7</v>
      </c>
      <c r="T173" s="5">
        <f t="shared" si="17"/>
        <v>105.4</v>
      </c>
      <c r="U173" s="17">
        <f t="shared" ref="U173:U192" si="21">SUM(M173,N173,O173,Q173,R173,S173)*(5/K173)</f>
        <v>624.32432432432438</v>
      </c>
      <c r="V173" s="42">
        <v>9.4000000000000004E-3</v>
      </c>
      <c r="W173" s="42">
        <v>0.85</v>
      </c>
      <c r="X173" s="42">
        <v>0.21</v>
      </c>
      <c r="Y173" s="42">
        <v>0.19</v>
      </c>
      <c r="Z173" s="5" t="s">
        <v>158</v>
      </c>
      <c r="AA173" s="42">
        <v>5.7000000000000002E-2</v>
      </c>
      <c r="AB173" s="42">
        <v>2.9000000000000001E-2</v>
      </c>
      <c r="AC173" s="30" t="s">
        <v>158</v>
      </c>
      <c r="AD173" s="5" t="s">
        <v>158</v>
      </c>
      <c r="AE173" s="17">
        <f t="shared" si="18"/>
        <v>1.3453999999999997</v>
      </c>
      <c r="AF173" s="42" t="s">
        <v>46</v>
      </c>
      <c r="AG173" s="18" t="s">
        <v>158</v>
      </c>
      <c r="AH173" s="31">
        <f t="shared" si="16"/>
        <v>25.691489361702125</v>
      </c>
      <c r="AI173" s="17" t="s">
        <v>158</v>
      </c>
      <c r="AJ173" s="17" t="s">
        <v>158</v>
      </c>
      <c r="AK173" s="17" t="s">
        <v>158</v>
      </c>
      <c r="AL173" s="17" t="s">
        <v>158</v>
      </c>
      <c r="AM173" s="17" t="s">
        <v>158</v>
      </c>
      <c r="AN173" s="17" t="s">
        <v>158</v>
      </c>
      <c r="AO173" s="17" t="s">
        <v>158</v>
      </c>
      <c r="AP173" s="17" t="s">
        <v>158</v>
      </c>
      <c r="AQ173" s="17" t="s">
        <v>158</v>
      </c>
      <c r="AR173" s="17" t="s">
        <v>158</v>
      </c>
      <c r="AS173" s="5" t="s">
        <v>158</v>
      </c>
      <c r="AT173" s="5" t="s">
        <v>158</v>
      </c>
      <c r="AU173" s="5" t="s">
        <v>158</v>
      </c>
      <c r="AV173" s="5" t="s">
        <v>158</v>
      </c>
      <c r="AW173" s="5" t="s">
        <v>158</v>
      </c>
      <c r="BC173" s="107">
        <v>483</v>
      </c>
      <c r="BD173" s="17" t="s">
        <v>158</v>
      </c>
      <c r="BE173" s="17" t="s">
        <v>158</v>
      </c>
      <c r="BF173" s="17" t="s">
        <v>158</v>
      </c>
      <c r="BG173" s="17" t="s">
        <v>158</v>
      </c>
      <c r="BH173" s="17" t="s">
        <v>158</v>
      </c>
      <c r="BI173" s="17" t="s">
        <v>158</v>
      </c>
      <c r="BJ173" s="17" t="s">
        <v>158</v>
      </c>
      <c r="BK173" s="17" t="s">
        <v>158</v>
      </c>
      <c r="BL173" s="17" t="s">
        <v>158</v>
      </c>
      <c r="BM173" s="17" t="s">
        <v>158</v>
      </c>
      <c r="BN173" s="5" t="s">
        <v>158</v>
      </c>
      <c r="BO173" s="5" t="s">
        <v>158</v>
      </c>
      <c r="BP173" s="5" t="s">
        <v>158</v>
      </c>
      <c r="BQ173" s="5" t="s">
        <v>158</v>
      </c>
      <c r="BR173" s="5" t="s">
        <v>158</v>
      </c>
      <c r="BS173" s="5" t="s">
        <v>158</v>
      </c>
      <c r="BT173" s="5" t="s">
        <v>158</v>
      </c>
      <c r="BU173" s="5" t="s">
        <v>158</v>
      </c>
      <c r="BV173" s="5" t="s">
        <v>158</v>
      </c>
      <c r="BW173" s="5" t="s">
        <v>158</v>
      </c>
      <c r="BX173" s="5" t="s">
        <v>158</v>
      </c>
      <c r="BY173" s="5" t="s">
        <v>158</v>
      </c>
      <c r="BZ173" s="5" t="s">
        <v>158</v>
      </c>
      <c r="CA173" s="5" t="s">
        <v>158</v>
      </c>
      <c r="CB173" s="5" t="s">
        <v>158</v>
      </c>
      <c r="CC173" s="5" t="s">
        <v>158</v>
      </c>
      <c r="CD173" s="5" t="s">
        <v>158</v>
      </c>
      <c r="CE173" s="5" t="s">
        <v>158</v>
      </c>
      <c r="CF173" s="5" t="s">
        <v>158</v>
      </c>
      <c r="CG173" s="5" t="s">
        <v>158</v>
      </c>
      <c r="CH173" s="5" t="s">
        <v>158</v>
      </c>
      <c r="CI173" s="17" t="s">
        <v>158</v>
      </c>
      <c r="CJ173" s="17" t="s">
        <v>158</v>
      </c>
      <c r="CK173" s="17" t="s">
        <v>158</v>
      </c>
      <c r="CL173" s="17" t="s">
        <v>158</v>
      </c>
      <c r="CM173" s="17" t="s">
        <v>158</v>
      </c>
      <c r="CN173" s="17" t="s">
        <v>158</v>
      </c>
      <c r="CO173" s="17" t="s">
        <v>158</v>
      </c>
      <c r="CP173" s="17" t="s">
        <v>158</v>
      </c>
      <c r="CQ173" s="17" t="s">
        <v>158</v>
      </c>
      <c r="CR173" s="17" t="s">
        <v>158</v>
      </c>
      <c r="CS173" s="17" t="s">
        <v>158</v>
      </c>
      <c r="CT173" s="17" t="s">
        <v>158</v>
      </c>
      <c r="CU173" s="17" t="s">
        <v>158</v>
      </c>
      <c r="CV173" s="17" t="s">
        <v>158</v>
      </c>
      <c r="CW173" s="17" t="s">
        <v>158</v>
      </c>
      <c r="CX173" s="17" t="s">
        <v>158</v>
      </c>
      <c r="CY173" s="67" t="s">
        <v>158</v>
      </c>
    </row>
    <row r="174" spans="1:103" x14ac:dyDescent="0.2">
      <c r="A174" s="37" t="s">
        <v>22</v>
      </c>
      <c r="B174" s="59" t="s">
        <v>22</v>
      </c>
      <c r="C174" s="25" t="s">
        <v>20</v>
      </c>
      <c r="D174" s="25" t="s">
        <v>125</v>
      </c>
      <c r="F174" s="40"/>
      <c r="G174" s="87">
        <v>40496</v>
      </c>
      <c r="H174" s="41">
        <v>2010</v>
      </c>
      <c r="I174" s="143" t="s">
        <v>3</v>
      </c>
      <c r="J174" s="143" t="s">
        <v>114</v>
      </c>
      <c r="K174" s="136">
        <v>0.61</v>
      </c>
      <c r="L174" s="5" t="s">
        <v>158</v>
      </c>
      <c r="M174" s="42">
        <v>2.1</v>
      </c>
      <c r="N174" s="42">
        <v>5.2</v>
      </c>
      <c r="O174" s="42">
        <v>5</v>
      </c>
      <c r="P174" s="42">
        <v>4.8</v>
      </c>
      <c r="Q174" s="42">
        <v>8.4</v>
      </c>
      <c r="R174" s="42">
        <v>6</v>
      </c>
      <c r="S174" s="42">
        <v>2.2000000000000002</v>
      </c>
      <c r="T174" s="5">
        <f t="shared" si="17"/>
        <v>33.700000000000003</v>
      </c>
      <c r="U174" s="17">
        <f t="shared" si="21"/>
        <v>236.88524590163934</v>
      </c>
      <c r="V174" s="42">
        <v>6.9000000000000008E-3</v>
      </c>
      <c r="W174" s="42">
        <v>0.3</v>
      </c>
      <c r="X174" s="42">
        <v>0.11</v>
      </c>
      <c r="Y174" s="42">
        <v>0.13</v>
      </c>
      <c r="Z174" s="5" t="s">
        <v>158</v>
      </c>
      <c r="AA174" s="42">
        <v>2.3E-2</v>
      </c>
      <c r="AB174" s="42">
        <v>8.199999999999999E-3</v>
      </c>
      <c r="AC174" s="30" t="s">
        <v>158</v>
      </c>
      <c r="AD174" s="5" t="s">
        <v>158</v>
      </c>
      <c r="AE174" s="17">
        <f t="shared" si="18"/>
        <v>0.57810000000000006</v>
      </c>
      <c r="AF174" s="42" t="s">
        <v>46</v>
      </c>
      <c r="AG174" s="18" t="s">
        <v>158</v>
      </c>
      <c r="AH174" s="31">
        <f t="shared" si="16"/>
        <v>14.627659574468085</v>
      </c>
      <c r="AI174" s="17" t="s">
        <v>158</v>
      </c>
      <c r="AJ174" s="17" t="s">
        <v>158</v>
      </c>
      <c r="AK174" s="17" t="s">
        <v>158</v>
      </c>
      <c r="AL174" s="17" t="s">
        <v>158</v>
      </c>
      <c r="AM174" s="17" t="s">
        <v>158</v>
      </c>
      <c r="AN174" s="17" t="s">
        <v>158</v>
      </c>
      <c r="AO174" s="17" t="s">
        <v>158</v>
      </c>
      <c r="AP174" s="17" t="s">
        <v>158</v>
      </c>
      <c r="AQ174" s="17" t="s">
        <v>158</v>
      </c>
      <c r="AR174" s="17" t="s">
        <v>158</v>
      </c>
      <c r="AS174" s="5" t="s">
        <v>158</v>
      </c>
      <c r="AT174" s="5" t="s">
        <v>158</v>
      </c>
      <c r="AU174" s="5" t="s">
        <v>158</v>
      </c>
      <c r="AV174" s="5" t="s">
        <v>158</v>
      </c>
      <c r="AW174" s="5" t="s">
        <v>158</v>
      </c>
      <c r="BC174" s="107">
        <v>275</v>
      </c>
      <c r="BD174" s="17" t="s">
        <v>158</v>
      </c>
      <c r="BE174" s="17" t="s">
        <v>158</v>
      </c>
      <c r="BF174" s="17" t="s">
        <v>158</v>
      </c>
      <c r="BG174" s="17" t="s">
        <v>158</v>
      </c>
      <c r="BH174" s="17" t="s">
        <v>158</v>
      </c>
      <c r="BI174" s="17" t="s">
        <v>158</v>
      </c>
      <c r="BJ174" s="17" t="s">
        <v>158</v>
      </c>
      <c r="BK174" s="17" t="s">
        <v>158</v>
      </c>
      <c r="BL174" s="17" t="s">
        <v>158</v>
      </c>
      <c r="BM174" s="17" t="s">
        <v>158</v>
      </c>
      <c r="BN174" s="5" t="s">
        <v>158</v>
      </c>
      <c r="BO174" s="5" t="s">
        <v>158</v>
      </c>
      <c r="BP174" s="5" t="s">
        <v>158</v>
      </c>
      <c r="BQ174" s="5" t="s">
        <v>158</v>
      </c>
      <c r="BR174" s="5" t="s">
        <v>158</v>
      </c>
      <c r="BS174" s="5" t="s">
        <v>158</v>
      </c>
      <c r="BT174" s="5" t="s">
        <v>158</v>
      </c>
      <c r="BU174" s="5" t="s">
        <v>158</v>
      </c>
      <c r="BV174" s="5" t="s">
        <v>158</v>
      </c>
      <c r="BW174" s="5" t="s">
        <v>158</v>
      </c>
      <c r="BX174" s="5" t="s">
        <v>158</v>
      </c>
      <c r="BY174" s="5" t="s">
        <v>158</v>
      </c>
      <c r="BZ174" s="5" t="s">
        <v>158</v>
      </c>
      <c r="CA174" s="5" t="s">
        <v>158</v>
      </c>
      <c r="CB174" s="5" t="s">
        <v>158</v>
      </c>
      <c r="CC174" s="5" t="s">
        <v>158</v>
      </c>
      <c r="CD174" s="5" t="s">
        <v>158</v>
      </c>
      <c r="CE174" s="5" t="s">
        <v>158</v>
      </c>
      <c r="CF174" s="5" t="s">
        <v>158</v>
      </c>
      <c r="CG174" s="5" t="s">
        <v>158</v>
      </c>
      <c r="CH174" s="5" t="s">
        <v>158</v>
      </c>
      <c r="CI174" s="17" t="s">
        <v>158</v>
      </c>
      <c r="CJ174" s="17" t="s">
        <v>158</v>
      </c>
      <c r="CK174" s="17" t="s">
        <v>158</v>
      </c>
      <c r="CL174" s="17" t="s">
        <v>158</v>
      </c>
      <c r="CM174" s="17" t="s">
        <v>158</v>
      </c>
      <c r="CN174" s="17" t="s">
        <v>158</v>
      </c>
      <c r="CO174" s="17" t="s">
        <v>158</v>
      </c>
      <c r="CP174" s="17" t="s">
        <v>158</v>
      </c>
      <c r="CQ174" s="17" t="s">
        <v>158</v>
      </c>
      <c r="CR174" s="17" t="s">
        <v>158</v>
      </c>
      <c r="CS174" s="17" t="s">
        <v>158</v>
      </c>
      <c r="CT174" s="17" t="s">
        <v>158</v>
      </c>
      <c r="CU174" s="17" t="s">
        <v>158</v>
      </c>
      <c r="CV174" s="17" t="s">
        <v>158</v>
      </c>
      <c r="CW174" s="17" t="s">
        <v>158</v>
      </c>
      <c r="CX174" s="17" t="s">
        <v>158</v>
      </c>
      <c r="CY174" s="67" t="s">
        <v>158</v>
      </c>
    </row>
    <row r="175" spans="1:103" x14ac:dyDescent="0.2">
      <c r="A175" s="37" t="s">
        <v>22</v>
      </c>
      <c r="B175" s="59" t="s">
        <v>22</v>
      </c>
      <c r="C175" s="25" t="s">
        <v>20</v>
      </c>
      <c r="D175" s="25" t="s">
        <v>125</v>
      </c>
      <c r="F175" s="40"/>
      <c r="G175" s="87">
        <v>40496</v>
      </c>
      <c r="H175" s="41">
        <v>2010</v>
      </c>
      <c r="I175" s="143" t="s">
        <v>3</v>
      </c>
      <c r="J175" s="143" t="s">
        <v>114</v>
      </c>
      <c r="K175" s="136">
        <v>0.52</v>
      </c>
      <c r="L175" s="5" t="s">
        <v>158</v>
      </c>
      <c r="M175" s="42">
        <v>4.0999999999999996</v>
      </c>
      <c r="N175" s="42">
        <v>7.4</v>
      </c>
      <c r="O175" s="42">
        <v>9.5</v>
      </c>
      <c r="P175" s="42">
        <v>6.8</v>
      </c>
      <c r="Q175" s="42">
        <v>14</v>
      </c>
      <c r="R175" s="42">
        <v>10</v>
      </c>
      <c r="S175" s="42">
        <v>3.2</v>
      </c>
      <c r="T175" s="5">
        <f t="shared" si="17"/>
        <v>55</v>
      </c>
      <c r="U175" s="17">
        <f t="shared" si="21"/>
        <v>463.46153846153845</v>
      </c>
      <c r="V175" s="42">
        <v>0.01</v>
      </c>
      <c r="W175" s="42">
        <v>0.45</v>
      </c>
      <c r="X175" s="42">
        <v>0.15</v>
      </c>
      <c r="Y175" s="42">
        <v>0.21</v>
      </c>
      <c r="Z175" s="5" t="s">
        <v>158</v>
      </c>
      <c r="AA175" s="42">
        <v>3.6999999999999998E-2</v>
      </c>
      <c r="AB175" s="42">
        <v>2.4E-2</v>
      </c>
      <c r="AC175" s="30" t="s">
        <v>158</v>
      </c>
      <c r="AD175" s="5" t="s">
        <v>158</v>
      </c>
      <c r="AE175" s="17">
        <f t="shared" si="18"/>
        <v>0.88100000000000012</v>
      </c>
      <c r="AF175" s="42" t="s">
        <v>46</v>
      </c>
      <c r="AG175" s="18" t="s">
        <v>158</v>
      </c>
      <c r="AH175" s="31">
        <f t="shared" si="16"/>
        <v>13.24468085106383</v>
      </c>
      <c r="AI175" s="17" t="s">
        <v>158</v>
      </c>
      <c r="AJ175" s="17" t="s">
        <v>158</v>
      </c>
      <c r="AK175" s="17" t="s">
        <v>158</v>
      </c>
      <c r="AL175" s="17" t="s">
        <v>158</v>
      </c>
      <c r="AM175" s="17" t="s">
        <v>158</v>
      </c>
      <c r="AN175" s="17" t="s">
        <v>158</v>
      </c>
      <c r="AO175" s="17" t="s">
        <v>158</v>
      </c>
      <c r="AP175" s="17" t="s">
        <v>158</v>
      </c>
      <c r="AQ175" s="17" t="s">
        <v>158</v>
      </c>
      <c r="AR175" s="17" t="s">
        <v>158</v>
      </c>
      <c r="AS175" s="5" t="s">
        <v>158</v>
      </c>
      <c r="AT175" s="5" t="s">
        <v>158</v>
      </c>
      <c r="AU175" s="5" t="s">
        <v>158</v>
      </c>
      <c r="AV175" s="5" t="s">
        <v>158</v>
      </c>
      <c r="AW175" s="5" t="s">
        <v>158</v>
      </c>
      <c r="BC175" s="107">
        <v>249</v>
      </c>
      <c r="BD175" s="17" t="s">
        <v>158</v>
      </c>
      <c r="BE175" s="17" t="s">
        <v>158</v>
      </c>
      <c r="BF175" s="17" t="s">
        <v>158</v>
      </c>
      <c r="BG175" s="17" t="s">
        <v>158</v>
      </c>
      <c r="BH175" s="17" t="s">
        <v>158</v>
      </c>
      <c r="BI175" s="17" t="s">
        <v>158</v>
      </c>
      <c r="BJ175" s="17" t="s">
        <v>158</v>
      </c>
      <c r="BK175" s="17" t="s">
        <v>158</v>
      </c>
      <c r="BL175" s="17" t="s">
        <v>158</v>
      </c>
      <c r="BM175" s="17" t="s">
        <v>158</v>
      </c>
      <c r="BN175" s="5" t="s">
        <v>158</v>
      </c>
      <c r="BO175" s="5" t="s">
        <v>158</v>
      </c>
      <c r="BP175" s="5" t="s">
        <v>158</v>
      </c>
      <c r="BQ175" s="5" t="s">
        <v>158</v>
      </c>
      <c r="BR175" s="5" t="s">
        <v>158</v>
      </c>
      <c r="BS175" s="5" t="s">
        <v>158</v>
      </c>
      <c r="BT175" s="5" t="s">
        <v>158</v>
      </c>
      <c r="BU175" s="5" t="s">
        <v>158</v>
      </c>
      <c r="BV175" s="5" t="s">
        <v>158</v>
      </c>
      <c r="BW175" s="5" t="s">
        <v>158</v>
      </c>
      <c r="BX175" s="5" t="s">
        <v>158</v>
      </c>
      <c r="BY175" s="5" t="s">
        <v>158</v>
      </c>
      <c r="BZ175" s="5" t="s">
        <v>158</v>
      </c>
      <c r="CA175" s="5" t="s">
        <v>158</v>
      </c>
      <c r="CB175" s="5" t="s">
        <v>158</v>
      </c>
      <c r="CC175" s="5" t="s">
        <v>158</v>
      </c>
      <c r="CD175" s="5" t="s">
        <v>158</v>
      </c>
      <c r="CE175" s="5" t="s">
        <v>158</v>
      </c>
      <c r="CF175" s="5" t="s">
        <v>158</v>
      </c>
      <c r="CG175" s="5" t="s">
        <v>158</v>
      </c>
      <c r="CH175" s="5" t="s">
        <v>158</v>
      </c>
      <c r="CI175" s="17" t="s">
        <v>158</v>
      </c>
      <c r="CJ175" s="17" t="s">
        <v>158</v>
      </c>
      <c r="CK175" s="17" t="s">
        <v>158</v>
      </c>
      <c r="CL175" s="17" t="s">
        <v>158</v>
      </c>
      <c r="CM175" s="17" t="s">
        <v>158</v>
      </c>
      <c r="CN175" s="17" t="s">
        <v>158</v>
      </c>
      <c r="CO175" s="17" t="s">
        <v>158</v>
      </c>
      <c r="CP175" s="17" t="s">
        <v>158</v>
      </c>
      <c r="CQ175" s="17" t="s">
        <v>158</v>
      </c>
      <c r="CR175" s="17" t="s">
        <v>158</v>
      </c>
      <c r="CS175" s="17" t="s">
        <v>158</v>
      </c>
      <c r="CT175" s="17" t="s">
        <v>158</v>
      </c>
      <c r="CU175" s="17" t="s">
        <v>158</v>
      </c>
      <c r="CV175" s="17" t="s">
        <v>158</v>
      </c>
      <c r="CW175" s="17" t="s">
        <v>158</v>
      </c>
      <c r="CX175" s="17" t="s">
        <v>158</v>
      </c>
      <c r="CY175" s="67" t="s">
        <v>158</v>
      </c>
    </row>
    <row r="176" spans="1:103" x14ac:dyDescent="0.2">
      <c r="A176" s="37" t="s">
        <v>22</v>
      </c>
      <c r="B176" s="59" t="s">
        <v>22</v>
      </c>
      <c r="C176" s="25" t="s">
        <v>20</v>
      </c>
      <c r="D176" s="25" t="s">
        <v>125</v>
      </c>
      <c r="F176" s="44"/>
      <c r="G176" s="87">
        <v>40496</v>
      </c>
      <c r="H176" s="41">
        <v>2010</v>
      </c>
      <c r="I176" s="143" t="s">
        <v>3</v>
      </c>
      <c r="J176" s="143" t="s">
        <v>114</v>
      </c>
      <c r="K176" s="136">
        <v>0.64</v>
      </c>
      <c r="L176" s="5" t="s">
        <v>158</v>
      </c>
      <c r="M176" s="42">
        <v>0.91</v>
      </c>
      <c r="N176" s="42">
        <v>1.6</v>
      </c>
      <c r="O176" s="42">
        <v>2.1</v>
      </c>
      <c r="P176" s="42">
        <v>2</v>
      </c>
      <c r="Q176" s="42">
        <v>4.7</v>
      </c>
      <c r="R176" s="42">
        <v>3.2</v>
      </c>
      <c r="S176" s="42">
        <v>1.1000000000000001</v>
      </c>
      <c r="T176" s="5">
        <f t="shared" si="17"/>
        <v>15.610000000000001</v>
      </c>
      <c r="U176" s="17">
        <f t="shared" si="21"/>
        <v>106.32812500000001</v>
      </c>
      <c r="V176" s="42">
        <v>3.2000000000000002E-3</v>
      </c>
      <c r="W176" s="42">
        <v>0.18</v>
      </c>
      <c r="X176" s="42">
        <v>6.8000000000000005E-2</v>
      </c>
      <c r="Y176" s="42">
        <v>6.7000000000000004E-2</v>
      </c>
      <c r="Z176" s="5" t="s">
        <v>158</v>
      </c>
      <c r="AA176" s="42">
        <v>2.7E-2</v>
      </c>
      <c r="AB176" s="42">
        <v>1.2E-2</v>
      </c>
      <c r="AC176" s="30" t="s">
        <v>158</v>
      </c>
      <c r="AD176" s="5" t="s">
        <v>158</v>
      </c>
      <c r="AE176" s="17">
        <f t="shared" si="18"/>
        <v>0.35720000000000002</v>
      </c>
      <c r="AF176" s="42" t="s">
        <v>168</v>
      </c>
      <c r="AG176" s="18" t="s">
        <v>158</v>
      </c>
      <c r="AH176" s="31">
        <f t="shared" si="16"/>
        <v>0.70212765957446799</v>
      </c>
      <c r="AI176" s="17" t="s">
        <v>158</v>
      </c>
      <c r="AJ176" s="17" t="s">
        <v>158</v>
      </c>
      <c r="AK176" s="17" t="s">
        <v>158</v>
      </c>
      <c r="AL176" s="17" t="s">
        <v>158</v>
      </c>
      <c r="AM176" s="17" t="s">
        <v>158</v>
      </c>
      <c r="AN176" s="17" t="s">
        <v>158</v>
      </c>
      <c r="AO176" s="17" t="s">
        <v>158</v>
      </c>
      <c r="AP176" s="17" t="s">
        <v>158</v>
      </c>
      <c r="AQ176" s="17" t="s">
        <v>158</v>
      </c>
      <c r="AR176" s="17" t="s">
        <v>158</v>
      </c>
      <c r="AS176" s="5" t="s">
        <v>158</v>
      </c>
      <c r="AT176" s="5" t="s">
        <v>158</v>
      </c>
      <c r="AU176" s="5" t="s">
        <v>158</v>
      </c>
      <c r="AV176" s="5" t="s">
        <v>158</v>
      </c>
      <c r="AW176" s="5" t="s">
        <v>158</v>
      </c>
      <c r="BC176" s="107">
        <v>13.2</v>
      </c>
      <c r="BD176" s="17" t="s">
        <v>158</v>
      </c>
      <c r="BE176" s="17" t="s">
        <v>158</v>
      </c>
      <c r="BF176" s="17" t="s">
        <v>158</v>
      </c>
      <c r="BG176" s="17" t="s">
        <v>158</v>
      </c>
      <c r="BH176" s="17" t="s">
        <v>158</v>
      </c>
      <c r="BI176" s="17" t="s">
        <v>158</v>
      </c>
      <c r="BJ176" s="17" t="s">
        <v>158</v>
      </c>
      <c r="BK176" s="17" t="s">
        <v>158</v>
      </c>
      <c r="BL176" s="17" t="s">
        <v>158</v>
      </c>
      <c r="BM176" s="17" t="s">
        <v>158</v>
      </c>
      <c r="BN176" s="5" t="s">
        <v>158</v>
      </c>
      <c r="BO176" s="5" t="s">
        <v>158</v>
      </c>
      <c r="BP176" s="5" t="s">
        <v>158</v>
      </c>
      <c r="BQ176" s="5" t="s">
        <v>158</v>
      </c>
      <c r="BR176" s="5" t="s">
        <v>158</v>
      </c>
      <c r="BS176" s="5" t="s">
        <v>158</v>
      </c>
      <c r="BT176" s="5" t="s">
        <v>158</v>
      </c>
      <c r="BU176" s="5" t="s">
        <v>158</v>
      </c>
      <c r="BV176" s="5" t="s">
        <v>158</v>
      </c>
      <c r="BW176" s="5" t="s">
        <v>158</v>
      </c>
      <c r="BX176" s="5" t="s">
        <v>158</v>
      </c>
      <c r="BY176" s="5" t="s">
        <v>158</v>
      </c>
      <c r="BZ176" s="5" t="s">
        <v>158</v>
      </c>
      <c r="CA176" s="5" t="s">
        <v>158</v>
      </c>
      <c r="CB176" s="5" t="s">
        <v>158</v>
      </c>
      <c r="CC176" s="5" t="s">
        <v>158</v>
      </c>
      <c r="CD176" s="5" t="s">
        <v>158</v>
      </c>
      <c r="CE176" s="5" t="s">
        <v>158</v>
      </c>
      <c r="CF176" s="5" t="s">
        <v>158</v>
      </c>
      <c r="CG176" s="5" t="s">
        <v>158</v>
      </c>
      <c r="CH176" s="5" t="s">
        <v>158</v>
      </c>
      <c r="CI176" s="17" t="s">
        <v>158</v>
      </c>
      <c r="CJ176" s="17" t="s">
        <v>158</v>
      </c>
      <c r="CK176" s="17" t="s">
        <v>158</v>
      </c>
      <c r="CL176" s="17" t="s">
        <v>158</v>
      </c>
      <c r="CM176" s="17" t="s">
        <v>158</v>
      </c>
      <c r="CN176" s="17" t="s">
        <v>158</v>
      </c>
      <c r="CO176" s="17" t="s">
        <v>158</v>
      </c>
      <c r="CP176" s="17" t="s">
        <v>158</v>
      </c>
      <c r="CQ176" s="17" t="s">
        <v>158</v>
      </c>
      <c r="CR176" s="17" t="s">
        <v>158</v>
      </c>
      <c r="CS176" s="17" t="s">
        <v>158</v>
      </c>
      <c r="CT176" s="17" t="s">
        <v>158</v>
      </c>
      <c r="CU176" s="17" t="s">
        <v>158</v>
      </c>
      <c r="CV176" s="17" t="s">
        <v>158</v>
      </c>
      <c r="CW176" s="17" t="s">
        <v>158</v>
      </c>
      <c r="CX176" s="17" t="s">
        <v>158</v>
      </c>
      <c r="CY176" s="67" t="s">
        <v>158</v>
      </c>
    </row>
    <row r="177" spans="1:103" x14ac:dyDescent="0.2">
      <c r="A177" s="37" t="s">
        <v>22</v>
      </c>
      <c r="B177" s="59" t="s">
        <v>22</v>
      </c>
      <c r="C177" s="25" t="s">
        <v>20</v>
      </c>
      <c r="D177" s="25" t="s">
        <v>125</v>
      </c>
      <c r="F177" s="44"/>
      <c r="G177" s="87">
        <v>40496</v>
      </c>
      <c r="H177" s="41">
        <v>2010</v>
      </c>
      <c r="I177" s="143" t="s">
        <v>3</v>
      </c>
      <c r="J177" s="143" t="s">
        <v>114</v>
      </c>
      <c r="K177" s="136">
        <v>0.71</v>
      </c>
      <c r="L177" s="5" t="s">
        <v>158</v>
      </c>
      <c r="M177" s="42">
        <v>1.9</v>
      </c>
      <c r="N177" s="42">
        <v>5</v>
      </c>
      <c r="O177" s="42">
        <v>8.3000000000000007</v>
      </c>
      <c r="P177" s="42">
        <v>8.1</v>
      </c>
      <c r="Q177" s="42">
        <v>15</v>
      </c>
      <c r="R177" s="42">
        <v>12</v>
      </c>
      <c r="S177" s="42">
        <v>3.9</v>
      </c>
      <c r="T177" s="5">
        <f t="shared" si="17"/>
        <v>54.199999999999996</v>
      </c>
      <c r="U177" s="17">
        <f t="shared" si="21"/>
        <v>324.64788732394368</v>
      </c>
      <c r="V177" s="42">
        <v>6.3E-3</v>
      </c>
      <c r="W177" s="42">
        <v>0.63</v>
      </c>
      <c r="X177" s="42">
        <v>0.21</v>
      </c>
      <c r="Y177" s="42">
        <v>0.24</v>
      </c>
      <c r="Z177" s="5" t="s">
        <v>158</v>
      </c>
      <c r="AA177" s="42">
        <v>6.5000000000000002E-2</v>
      </c>
      <c r="AB177" s="42">
        <v>4.2999999999999997E-2</v>
      </c>
      <c r="AC177" s="30" t="s">
        <v>158</v>
      </c>
      <c r="AD177" s="5" t="s">
        <v>158</v>
      </c>
      <c r="AE177" s="17">
        <f t="shared" si="18"/>
        <v>1.1942999999999999</v>
      </c>
      <c r="AF177" s="42" t="s">
        <v>46</v>
      </c>
      <c r="AG177" s="18" t="s">
        <v>158</v>
      </c>
      <c r="AH177" s="31">
        <f t="shared" si="16"/>
        <v>15.212765957446807</v>
      </c>
      <c r="AI177" s="17" t="s">
        <v>158</v>
      </c>
      <c r="AJ177" s="17" t="s">
        <v>158</v>
      </c>
      <c r="AK177" s="17" t="s">
        <v>158</v>
      </c>
      <c r="AL177" s="17" t="s">
        <v>158</v>
      </c>
      <c r="AM177" s="17" t="s">
        <v>158</v>
      </c>
      <c r="AN177" s="17" t="s">
        <v>158</v>
      </c>
      <c r="AO177" s="17" t="s">
        <v>158</v>
      </c>
      <c r="AP177" s="17" t="s">
        <v>158</v>
      </c>
      <c r="AQ177" s="17" t="s">
        <v>158</v>
      </c>
      <c r="AR177" s="17" t="s">
        <v>158</v>
      </c>
      <c r="AS177" s="5" t="s">
        <v>158</v>
      </c>
      <c r="AT177" s="5" t="s">
        <v>158</v>
      </c>
      <c r="AU177" s="5" t="s">
        <v>158</v>
      </c>
      <c r="AV177" s="5" t="s">
        <v>158</v>
      </c>
      <c r="AW177" s="5" t="s">
        <v>158</v>
      </c>
      <c r="BC177" s="107">
        <v>286</v>
      </c>
      <c r="BD177" s="17" t="s">
        <v>158</v>
      </c>
      <c r="BE177" s="17" t="s">
        <v>158</v>
      </c>
      <c r="BF177" s="17" t="s">
        <v>158</v>
      </c>
      <c r="BG177" s="17" t="s">
        <v>158</v>
      </c>
      <c r="BH177" s="17" t="s">
        <v>158</v>
      </c>
      <c r="BI177" s="17" t="s">
        <v>158</v>
      </c>
      <c r="BJ177" s="17" t="s">
        <v>158</v>
      </c>
      <c r="BK177" s="17" t="s">
        <v>158</v>
      </c>
      <c r="BL177" s="17" t="s">
        <v>158</v>
      </c>
      <c r="BM177" s="17" t="s">
        <v>158</v>
      </c>
      <c r="BN177" s="5" t="s">
        <v>158</v>
      </c>
      <c r="BO177" s="5" t="s">
        <v>158</v>
      </c>
      <c r="BP177" s="5" t="s">
        <v>158</v>
      </c>
      <c r="BQ177" s="5" t="s">
        <v>158</v>
      </c>
      <c r="BR177" s="5" t="s">
        <v>158</v>
      </c>
      <c r="BS177" s="5" t="s">
        <v>158</v>
      </c>
      <c r="BT177" s="5" t="s">
        <v>158</v>
      </c>
      <c r="BU177" s="5" t="s">
        <v>158</v>
      </c>
      <c r="BV177" s="5" t="s">
        <v>158</v>
      </c>
      <c r="BW177" s="5" t="s">
        <v>158</v>
      </c>
      <c r="BX177" s="5" t="s">
        <v>158</v>
      </c>
      <c r="BY177" s="5" t="s">
        <v>158</v>
      </c>
      <c r="BZ177" s="5" t="s">
        <v>158</v>
      </c>
      <c r="CA177" s="5" t="s">
        <v>158</v>
      </c>
      <c r="CB177" s="5" t="s">
        <v>158</v>
      </c>
      <c r="CC177" s="5" t="s">
        <v>158</v>
      </c>
      <c r="CD177" s="5" t="s">
        <v>158</v>
      </c>
      <c r="CE177" s="5" t="s">
        <v>158</v>
      </c>
      <c r="CF177" s="5" t="s">
        <v>158</v>
      </c>
      <c r="CG177" s="5" t="s">
        <v>158</v>
      </c>
      <c r="CH177" s="5" t="s">
        <v>158</v>
      </c>
      <c r="CI177" s="17" t="s">
        <v>158</v>
      </c>
      <c r="CJ177" s="17" t="s">
        <v>158</v>
      </c>
      <c r="CK177" s="17" t="s">
        <v>158</v>
      </c>
      <c r="CL177" s="17" t="s">
        <v>158</v>
      </c>
      <c r="CM177" s="17" t="s">
        <v>158</v>
      </c>
      <c r="CN177" s="17" t="s">
        <v>158</v>
      </c>
      <c r="CO177" s="17" t="s">
        <v>158</v>
      </c>
      <c r="CP177" s="17" t="s">
        <v>158</v>
      </c>
      <c r="CQ177" s="17" t="s">
        <v>158</v>
      </c>
      <c r="CR177" s="17" t="s">
        <v>158</v>
      </c>
      <c r="CS177" s="17" t="s">
        <v>158</v>
      </c>
      <c r="CT177" s="17" t="s">
        <v>158</v>
      </c>
      <c r="CU177" s="17" t="s">
        <v>158</v>
      </c>
      <c r="CV177" s="17" t="s">
        <v>158</v>
      </c>
      <c r="CW177" s="17" t="s">
        <v>158</v>
      </c>
      <c r="CX177" s="17" t="s">
        <v>158</v>
      </c>
      <c r="CY177" s="67" t="s">
        <v>158</v>
      </c>
    </row>
    <row r="178" spans="1:103" x14ac:dyDescent="0.2">
      <c r="A178" s="37" t="s">
        <v>21</v>
      </c>
      <c r="B178" s="59" t="s">
        <v>21</v>
      </c>
      <c r="C178" s="25" t="s">
        <v>20</v>
      </c>
      <c r="D178" s="25" t="s">
        <v>125</v>
      </c>
      <c r="F178" s="44"/>
      <c r="G178" s="87">
        <v>40433</v>
      </c>
      <c r="H178" s="41">
        <v>2010</v>
      </c>
      <c r="I178" s="143" t="s">
        <v>3</v>
      </c>
      <c r="J178" s="143" t="s">
        <v>114</v>
      </c>
      <c r="K178" s="136">
        <v>0.48</v>
      </c>
      <c r="L178" s="5" t="s">
        <v>158</v>
      </c>
      <c r="M178" s="42">
        <v>0.23</v>
      </c>
      <c r="N178" s="42">
        <v>0.44</v>
      </c>
      <c r="O178" s="42">
        <v>2.5</v>
      </c>
      <c r="P178" s="42">
        <v>2</v>
      </c>
      <c r="Q178" s="42">
        <v>7</v>
      </c>
      <c r="R178" s="42">
        <v>4</v>
      </c>
      <c r="S178" s="42">
        <v>2</v>
      </c>
      <c r="T178" s="5">
        <f t="shared" si="17"/>
        <v>18.170000000000002</v>
      </c>
      <c r="U178" s="17">
        <f t="shared" si="21"/>
        <v>168.43750000000003</v>
      </c>
      <c r="V178" s="42">
        <v>1.7999999999999999E-2</v>
      </c>
      <c r="W178" s="42">
        <v>0.39</v>
      </c>
      <c r="X178" s="42">
        <v>9.8000000000000004E-2</v>
      </c>
      <c r="Y178" s="42">
        <v>7.9000000000000001E-2</v>
      </c>
      <c r="Z178" s="5" t="s">
        <v>158</v>
      </c>
      <c r="AA178" s="42">
        <v>2.7E-2</v>
      </c>
      <c r="AB178" s="42">
        <v>1.2999999999999999E-2</v>
      </c>
      <c r="AC178" s="30" t="s">
        <v>158</v>
      </c>
      <c r="AD178" s="5" t="s">
        <v>158</v>
      </c>
      <c r="AE178" s="17">
        <f t="shared" si="18"/>
        <v>0.62500000000000011</v>
      </c>
      <c r="AF178" s="42" t="s">
        <v>46</v>
      </c>
      <c r="AG178" s="18" t="s">
        <v>158</v>
      </c>
      <c r="AH178" s="31">
        <f t="shared" si="16"/>
        <v>26.808510638297872</v>
      </c>
      <c r="AI178" s="17" t="s">
        <v>158</v>
      </c>
      <c r="AJ178" s="17" t="s">
        <v>158</v>
      </c>
      <c r="AK178" s="17" t="s">
        <v>158</v>
      </c>
      <c r="AL178" s="17" t="s">
        <v>158</v>
      </c>
      <c r="AM178" s="17" t="s">
        <v>158</v>
      </c>
      <c r="AN178" s="17" t="s">
        <v>158</v>
      </c>
      <c r="AO178" s="17" t="s">
        <v>158</v>
      </c>
      <c r="AP178" s="17" t="s">
        <v>158</v>
      </c>
      <c r="AQ178" s="17" t="s">
        <v>158</v>
      </c>
      <c r="AR178" s="17" t="s">
        <v>158</v>
      </c>
      <c r="AS178" s="5" t="s">
        <v>158</v>
      </c>
      <c r="AT178" s="5" t="s">
        <v>158</v>
      </c>
      <c r="AU178" s="5" t="s">
        <v>158</v>
      </c>
      <c r="AV178" s="5" t="s">
        <v>158</v>
      </c>
      <c r="AW178" s="5" t="s">
        <v>158</v>
      </c>
      <c r="BC178" s="107">
        <v>504</v>
      </c>
      <c r="BD178" s="17" t="s">
        <v>158</v>
      </c>
      <c r="BE178" s="17" t="s">
        <v>158</v>
      </c>
      <c r="BF178" s="17" t="s">
        <v>158</v>
      </c>
      <c r="BG178" s="17" t="s">
        <v>158</v>
      </c>
      <c r="BH178" s="17" t="s">
        <v>158</v>
      </c>
      <c r="BI178" s="17" t="s">
        <v>158</v>
      </c>
      <c r="BJ178" s="17" t="s">
        <v>158</v>
      </c>
      <c r="BK178" s="17" t="s">
        <v>158</v>
      </c>
      <c r="BL178" s="17" t="s">
        <v>158</v>
      </c>
      <c r="BM178" s="17" t="s">
        <v>158</v>
      </c>
      <c r="BN178" s="5" t="s">
        <v>158</v>
      </c>
      <c r="BO178" s="5" t="s">
        <v>158</v>
      </c>
      <c r="BP178" s="5" t="s">
        <v>158</v>
      </c>
      <c r="BQ178" s="5" t="s">
        <v>158</v>
      </c>
      <c r="BR178" s="5" t="s">
        <v>158</v>
      </c>
      <c r="BS178" s="5" t="s">
        <v>158</v>
      </c>
      <c r="BT178" s="5" t="s">
        <v>158</v>
      </c>
      <c r="BU178" s="5" t="s">
        <v>158</v>
      </c>
      <c r="BV178" s="5" t="s">
        <v>158</v>
      </c>
      <c r="BW178" s="5" t="s">
        <v>158</v>
      </c>
      <c r="BX178" s="5" t="s">
        <v>158</v>
      </c>
      <c r="BY178" s="5" t="s">
        <v>158</v>
      </c>
      <c r="BZ178" s="5" t="s">
        <v>158</v>
      </c>
      <c r="CA178" s="5" t="s">
        <v>158</v>
      </c>
      <c r="CB178" s="5" t="s">
        <v>158</v>
      </c>
      <c r="CC178" s="5" t="s">
        <v>158</v>
      </c>
      <c r="CD178" s="5" t="s">
        <v>158</v>
      </c>
      <c r="CE178" s="5" t="s">
        <v>158</v>
      </c>
      <c r="CF178" s="5" t="s">
        <v>158</v>
      </c>
      <c r="CG178" s="5" t="s">
        <v>158</v>
      </c>
      <c r="CH178" s="5" t="s">
        <v>158</v>
      </c>
      <c r="CI178" s="17" t="s">
        <v>158</v>
      </c>
      <c r="CJ178" s="17" t="s">
        <v>158</v>
      </c>
      <c r="CK178" s="17" t="s">
        <v>158</v>
      </c>
      <c r="CL178" s="17" t="s">
        <v>158</v>
      </c>
      <c r="CM178" s="17" t="s">
        <v>158</v>
      </c>
      <c r="CN178" s="17" t="s">
        <v>158</v>
      </c>
      <c r="CO178" s="17" t="s">
        <v>158</v>
      </c>
      <c r="CP178" s="17" t="s">
        <v>158</v>
      </c>
      <c r="CQ178" s="17" t="s">
        <v>158</v>
      </c>
      <c r="CR178" s="17" t="s">
        <v>158</v>
      </c>
      <c r="CS178" s="17" t="s">
        <v>158</v>
      </c>
      <c r="CT178" s="17" t="s">
        <v>158</v>
      </c>
      <c r="CU178" s="17" t="s">
        <v>158</v>
      </c>
      <c r="CV178" s="17" t="s">
        <v>158</v>
      </c>
      <c r="CW178" s="17" t="s">
        <v>158</v>
      </c>
      <c r="CX178" s="17" t="s">
        <v>158</v>
      </c>
      <c r="CY178" s="67" t="s">
        <v>158</v>
      </c>
    </row>
    <row r="179" spans="1:103" x14ac:dyDescent="0.2">
      <c r="A179" s="37" t="s">
        <v>21</v>
      </c>
      <c r="B179" s="59" t="s">
        <v>21</v>
      </c>
      <c r="C179" s="25" t="s">
        <v>20</v>
      </c>
      <c r="D179" s="25" t="s">
        <v>125</v>
      </c>
      <c r="F179" s="44"/>
      <c r="G179" s="87">
        <v>40433</v>
      </c>
      <c r="H179" s="41">
        <v>2010</v>
      </c>
      <c r="I179" s="143" t="s">
        <v>3</v>
      </c>
      <c r="J179" s="143" t="s">
        <v>114</v>
      </c>
      <c r="K179" s="136">
        <v>0.51</v>
      </c>
      <c r="L179" s="5" t="s">
        <v>158</v>
      </c>
      <c r="M179" s="42" t="s">
        <v>55</v>
      </c>
      <c r="N179" s="42">
        <v>0.25</v>
      </c>
      <c r="O179" s="42">
        <v>2.7</v>
      </c>
      <c r="P179" s="42">
        <v>2.2999999999999998</v>
      </c>
      <c r="Q179" s="42">
        <v>9.9</v>
      </c>
      <c r="R179" s="42">
        <v>7.2</v>
      </c>
      <c r="S179" s="42">
        <v>3</v>
      </c>
      <c r="T179" s="5">
        <f t="shared" si="17"/>
        <v>25.35</v>
      </c>
      <c r="U179" s="17">
        <f t="shared" si="21"/>
        <v>225.98039215686276</v>
      </c>
      <c r="V179" s="42" t="s">
        <v>58</v>
      </c>
      <c r="W179" s="42">
        <v>0.24</v>
      </c>
      <c r="X179" s="42">
        <v>8.8999999999999996E-2</v>
      </c>
      <c r="Y179" s="42">
        <v>0.12</v>
      </c>
      <c r="Z179" s="5" t="s">
        <v>158</v>
      </c>
      <c r="AA179" s="42">
        <v>3.6999999999999998E-2</v>
      </c>
      <c r="AB179" s="42">
        <v>1.4E-2</v>
      </c>
      <c r="AC179" s="30" t="s">
        <v>158</v>
      </c>
      <c r="AD179" s="5" t="s">
        <v>158</v>
      </c>
      <c r="AE179" s="17">
        <f t="shared" si="18"/>
        <v>0.49999999999999994</v>
      </c>
      <c r="AF179" s="42" t="s">
        <v>46</v>
      </c>
      <c r="AG179" s="18" t="s">
        <v>158</v>
      </c>
      <c r="AH179" s="31">
        <f t="shared" si="16"/>
        <v>32.393617021276597</v>
      </c>
      <c r="AI179" s="17" t="s">
        <v>158</v>
      </c>
      <c r="AJ179" s="17" t="s">
        <v>158</v>
      </c>
      <c r="AK179" s="17" t="s">
        <v>158</v>
      </c>
      <c r="AL179" s="17" t="s">
        <v>158</v>
      </c>
      <c r="AM179" s="17" t="s">
        <v>158</v>
      </c>
      <c r="AN179" s="17" t="s">
        <v>158</v>
      </c>
      <c r="AO179" s="17" t="s">
        <v>158</v>
      </c>
      <c r="AP179" s="17" t="s">
        <v>158</v>
      </c>
      <c r="AQ179" s="17" t="s">
        <v>158</v>
      </c>
      <c r="AR179" s="17" t="s">
        <v>158</v>
      </c>
      <c r="AS179" s="5" t="s">
        <v>158</v>
      </c>
      <c r="AT179" s="5" t="s">
        <v>158</v>
      </c>
      <c r="AU179" s="5" t="s">
        <v>158</v>
      </c>
      <c r="AV179" s="5" t="s">
        <v>158</v>
      </c>
      <c r="AW179" s="5" t="s">
        <v>158</v>
      </c>
      <c r="BC179" s="107">
        <v>609</v>
      </c>
      <c r="BD179" s="17" t="s">
        <v>158</v>
      </c>
      <c r="BE179" s="17" t="s">
        <v>158</v>
      </c>
      <c r="BF179" s="17" t="s">
        <v>158</v>
      </c>
      <c r="BG179" s="17" t="s">
        <v>158</v>
      </c>
      <c r="BH179" s="17" t="s">
        <v>158</v>
      </c>
      <c r="BI179" s="17" t="s">
        <v>158</v>
      </c>
      <c r="BJ179" s="17" t="s">
        <v>158</v>
      </c>
      <c r="BK179" s="17" t="s">
        <v>158</v>
      </c>
      <c r="BL179" s="17" t="s">
        <v>158</v>
      </c>
      <c r="BM179" s="17" t="s">
        <v>158</v>
      </c>
      <c r="BN179" s="5" t="s">
        <v>158</v>
      </c>
      <c r="BO179" s="5" t="s">
        <v>158</v>
      </c>
      <c r="BP179" s="5" t="s">
        <v>158</v>
      </c>
      <c r="BQ179" s="5" t="s">
        <v>158</v>
      </c>
      <c r="BR179" s="5" t="s">
        <v>158</v>
      </c>
      <c r="BS179" s="5" t="s">
        <v>158</v>
      </c>
      <c r="BT179" s="5" t="s">
        <v>158</v>
      </c>
      <c r="BU179" s="5" t="s">
        <v>158</v>
      </c>
      <c r="BV179" s="5" t="s">
        <v>158</v>
      </c>
      <c r="BW179" s="5" t="s">
        <v>158</v>
      </c>
      <c r="BX179" s="5" t="s">
        <v>158</v>
      </c>
      <c r="BY179" s="5" t="s">
        <v>158</v>
      </c>
      <c r="BZ179" s="5" t="s">
        <v>158</v>
      </c>
      <c r="CA179" s="5" t="s">
        <v>158</v>
      </c>
      <c r="CB179" s="5" t="s">
        <v>158</v>
      </c>
      <c r="CC179" s="5" t="s">
        <v>158</v>
      </c>
      <c r="CD179" s="5" t="s">
        <v>158</v>
      </c>
      <c r="CE179" s="5" t="s">
        <v>158</v>
      </c>
      <c r="CF179" s="5" t="s">
        <v>158</v>
      </c>
      <c r="CG179" s="5" t="s">
        <v>158</v>
      </c>
      <c r="CH179" s="5" t="s">
        <v>158</v>
      </c>
      <c r="CI179" s="17" t="s">
        <v>158</v>
      </c>
      <c r="CJ179" s="17" t="s">
        <v>158</v>
      </c>
      <c r="CK179" s="17" t="s">
        <v>158</v>
      </c>
      <c r="CL179" s="17" t="s">
        <v>158</v>
      </c>
      <c r="CM179" s="17" t="s">
        <v>158</v>
      </c>
      <c r="CN179" s="17" t="s">
        <v>158</v>
      </c>
      <c r="CO179" s="17" t="s">
        <v>158</v>
      </c>
      <c r="CP179" s="17" t="s">
        <v>158</v>
      </c>
      <c r="CQ179" s="17" t="s">
        <v>158</v>
      </c>
      <c r="CR179" s="17" t="s">
        <v>158</v>
      </c>
      <c r="CS179" s="17" t="s">
        <v>158</v>
      </c>
      <c r="CT179" s="17" t="s">
        <v>158</v>
      </c>
      <c r="CU179" s="17" t="s">
        <v>158</v>
      </c>
      <c r="CV179" s="17" t="s">
        <v>158</v>
      </c>
      <c r="CW179" s="17" t="s">
        <v>158</v>
      </c>
      <c r="CX179" s="17" t="s">
        <v>158</v>
      </c>
      <c r="CY179" s="67" t="s">
        <v>158</v>
      </c>
    </row>
    <row r="180" spans="1:103" x14ac:dyDescent="0.2">
      <c r="A180" s="37" t="s">
        <v>21</v>
      </c>
      <c r="B180" s="59" t="s">
        <v>21</v>
      </c>
      <c r="C180" s="25" t="s">
        <v>20</v>
      </c>
      <c r="D180" s="25" t="s">
        <v>125</v>
      </c>
      <c r="F180" s="44"/>
      <c r="G180" s="87">
        <v>40433</v>
      </c>
      <c r="H180" s="41">
        <v>2010</v>
      </c>
      <c r="I180" s="143" t="s">
        <v>3</v>
      </c>
      <c r="J180" s="143" t="s">
        <v>114</v>
      </c>
      <c r="K180" s="136">
        <v>0.41</v>
      </c>
      <c r="L180" s="5" t="s">
        <v>158</v>
      </c>
      <c r="M180" s="42">
        <v>0.14000000000000001</v>
      </c>
      <c r="N180" s="42">
        <v>0.3</v>
      </c>
      <c r="O180" s="42">
        <v>2.1</v>
      </c>
      <c r="P180" s="42">
        <v>1.3</v>
      </c>
      <c r="Q180" s="42">
        <v>5</v>
      </c>
      <c r="R180" s="42">
        <v>4</v>
      </c>
      <c r="S180" s="42">
        <v>1.8</v>
      </c>
      <c r="T180" s="5">
        <f t="shared" si="17"/>
        <v>14.64</v>
      </c>
      <c r="U180" s="17">
        <f t="shared" si="21"/>
        <v>162.6829268292683</v>
      </c>
      <c r="V180" s="42" t="s">
        <v>59</v>
      </c>
      <c r="W180" s="42">
        <v>0.24</v>
      </c>
      <c r="X180" s="42">
        <v>0.1</v>
      </c>
      <c r="Y180" s="42">
        <v>0.12</v>
      </c>
      <c r="Z180" s="5" t="s">
        <v>158</v>
      </c>
      <c r="AA180" s="42">
        <v>3.1E-2</v>
      </c>
      <c r="AB180" s="42">
        <v>1.6E-2</v>
      </c>
      <c r="AC180" s="30" t="s">
        <v>158</v>
      </c>
      <c r="AD180" s="5" t="s">
        <v>158</v>
      </c>
      <c r="AE180" s="17">
        <f t="shared" si="18"/>
        <v>0.50700000000000001</v>
      </c>
      <c r="AF180" s="42" t="s">
        <v>46</v>
      </c>
      <c r="AG180" s="18" t="s">
        <v>158</v>
      </c>
      <c r="AH180" s="31">
        <f t="shared" si="16"/>
        <v>20.319148936170212</v>
      </c>
      <c r="AI180" s="17" t="s">
        <v>158</v>
      </c>
      <c r="AJ180" s="17" t="s">
        <v>158</v>
      </c>
      <c r="AK180" s="17" t="s">
        <v>158</v>
      </c>
      <c r="AL180" s="17" t="s">
        <v>158</v>
      </c>
      <c r="AM180" s="17" t="s">
        <v>158</v>
      </c>
      <c r="AN180" s="17" t="s">
        <v>158</v>
      </c>
      <c r="AO180" s="17" t="s">
        <v>158</v>
      </c>
      <c r="AP180" s="17" t="s">
        <v>158</v>
      </c>
      <c r="AQ180" s="17" t="s">
        <v>158</v>
      </c>
      <c r="AR180" s="17" t="s">
        <v>158</v>
      </c>
      <c r="AS180" s="5" t="s">
        <v>158</v>
      </c>
      <c r="AT180" s="5" t="s">
        <v>158</v>
      </c>
      <c r="AU180" s="5" t="s">
        <v>158</v>
      </c>
      <c r="AV180" s="5" t="s">
        <v>158</v>
      </c>
      <c r="AW180" s="5" t="s">
        <v>158</v>
      </c>
      <c r="BC180" s="107">
        <v>382</v>
      </c>
      <c r="BD180" s="17" t="s">
        <v>158</v>
      </c>
      <c r="BE180" s="17" t="s">
        <v>158</v>
      </c>
      <c r="BF180" s="17" t="s">
        <v>158</v>
      </c>
      <c r="BG180" s="17" t="s">
        <v>158</v>
      </c>
      <c r="BH180" s="17" t="s">
        <v>158</v>
      </c>
      <c r="BI180" s="17" t="s">
        <v>158</v>
      </c>
      <c r="BJ180" s="17" t="s">
        <v>158</v>
      </c>
      <c r="BK180" s="17" t="s">
        <v>158</v>
      </c>
      <c r="BL180" s="17" t="s">
        <v>158</v>
      </c>
      <c r="BM180" s="17" t="s">
        <v>158</v>
      </c>
      <c r="BN180" s="5" t="s">
        <v>158</v>
      </c>
      <c r="BO180" s="5" t="s">
        <v>158</v>
      </c>
      <c r="BP180" s="5" t="s">
        <v>158</v>
      </c>
      <c r="BQ180" s="5" t="s">
        <v>158</v>
      </c>
      <c r="BR180" s="5" t="s">
        <v>158</v>
      </c>
      <c r="BS180" s="5" t="s">
        <v>158</v>
      </c>
      <c r="BT180" s="5" t="s">
        <v>158</v>
      </c>
      <c r="BU180" s="5" t="s">
        <v>158</v>
      </c>
      <c r="BV180" s="5" t="s">
        <v>158</v>
      </c>
      <c r="BW180" s="5" t="s">
        <v>158</v>
      </c>
      <c r="BX180" s="5" t="s">
        <v>158</v>
      </c>
      <c r="BY180" s="5" t="s">
        <v>158</v>
      </c>
      <c r="BZ180" s="5" t="s">
        <v>158</v>
      </c>
      <c r="CA180" s="5" t="s">
        <v>158</v>
      </c>
      <c r="CB180" s="5" t="s">
        <v>158</v>
      </c>
      <c r="CC180" s="5" t="s">
        <v>158</v>
      </c>
      <c r="CD180" s="5" t="s">
        <v>158</v>
      </c>
      <c r="CE180" s="5" t="s">
        <v>158</v>
      </c>
      <c r="CF180" s="5" t="s">
        <v>158</v>
      </c>
      <c r="CG180" s="5" t="s">
        <v>158</v>
      </c>
      <c r="CH180" s="5" t="s">
        <v>158</v>
      </c>
      <c r="CI180" s="17" t="s">
        <v>158</v>
      </c>
      <c r="CJ180" s="17" t="s">
        <v>158</v>
      </c>
      <c r="CK180" s="17" t="s">
        <v>158</v>
      </c>
      <c r="CL180" s="17" t="s">
        <v>158</v>
      </c>
      <c r="CM180" s="17" t="s">
        <v>158</v>
      </c>
      <c r="CN180" s="17" t="s">
        <v>158</v>
      </c>
      <c r="CO180" s="17" t="s">
        <v>158</v>
      </c>
      <c r="CP180" s="17" t="s">
        <v>158</v>
      </c>
      <c r="CQ180" s="17" t="s">
        <v>158</v>
      </c>
      <c r="CR180" s="17" t="s">
        <v>158</v>
      </c>
      <c r="CS180" s="17" t="s">
        <v>158</v>
      </c>
      <c r="CT180" s="17" t="s">
        <v>158</v>
      </c>
      <c r="CU180" s="17" t="s">
        <v>158</v>
      </c>
      <c r="CV180" s="17" t="s">
        <v>158</v>
      </c>
      <c r="CW180" s="17" t="s">
        <v>158</v>
      </c>
      <c r="CX180" s="17" t="s">
        <v>158</v>
      </c>
      <c r="CY180" s="67" t="s">
        <v>158</v>
      </c>
    </row>
    <row r="181" spans="1:103" x14ac:dyDescent="0.2">
      <c r="A181" s="37" t="s">
        <v>21</v>
      </c>
      <c r="B181" s="59" t="s">
        <v>21</v>
      </c>
      <c r="C181" s="25" t="s">
        <v>20</v>
      </c>
      <c r="D181" s="25" t="s">
        <v>125</v>
      </c>
      <c r="F181" s="44"/>
      <c r="G181" s="87">
        <v>40433</v>
      </c>
      <c r="H181" s="41">
        <v>2010</v>
      </c>
      <c r="I181" s="143" t="s">
        <v>3</v>
      </c>
      <c r="J181" s="143" t="s">
        <v>114</v>
      </c>
      <c r="K181" s="136">
        <v>0.3</v>
      </c>
      <c r="L181" s="5" t="s">
        <v>158</v>
      </c>
      <c r="M181" s="42">
        <v>0.2</v>
      </c>
      <c r="N181" s="42">
        <v>0.33</v>
      </c>
      <c r="O181" s="42">
        <v>2.9</v>
      </c>
      <c r="P181" s="42">
        <v>2.7</v>
      </c>
      <c r="Q181" s="42">
        <v>12</v>
      </c>
      <c r="R181" s="42">
        <v>7.3</v>
      </c>
      <c r="S181" s="42">
        <v>3.5</v>
      </c>
      <c r="T181" s="5">
        <f t="shared" si="17"/>
        <v>28.93</v>
      </c>
      <c r="U181" s="17">
        <f t="shared" si="21"/>
        <v>437.16666666666669</v>
      </c>
      <c r="V181" s="42" t="s">
        <v>61</v>
      </c>
      <c r="W181" s="42">
        <v>0.19</v>
      </c>
      <c r="X181" s="42">
        <v>6.9000000000000006E-2</v>
      </c>
      <c r="Y181" s="42">
        <v>0.14000000000000001</v>
      </c>
      <c r="Z181" s="5" t="s">
        <v>158</v>
      </c>
      <c r="AA181" s="42">
        <v>2.4E-2</v>
      </c>
      <c r="AB181" s="42">
        <v>1.4999999999999999E-2</v>
      </c>
      <c r="AC181" s="30" t="s">
        <v>158</v>
      </c>
      <c r="AD181" s="5" t="s">
        <v>158</v>
      </c>
      <c r="AE181" s="17">
        <f t="shared" si="18"/>
        <v>0.43800000000000006</v>
      </c>
      <c r="AF181" s="42" t="s">
        <v>46</v>
      </c>
      <c r="AG181" s="18" t="s">
        <v>158</v>
      </c>
      <c r="AH181" s="31">
        <f t="shared" si="16"/>
        <v>23.723404255319149</v>
      </c>
      <c r="AI181" s="17" t="s">
        <v>158</v>
      </c>
      <c r="AJ181" s="17" t="s">
        <v>158</v>
      </c>
      <c r="AK181" s="17" t="s">
        <v>158</v>
      </c>
      <c r="AL181" s="17" t="s">
        <v>158</v>
      </c>
      <c r="AM181" s="17" t="s">
        <v>158</v>
      </c>
      <c r="AN181" s="17" t="s">
        <v>158</v>
      </c>
      <c r="AO181" s="17" t="s">
        <v>158</v>
      </c>
      <c r="AP181" s="17" t="s">
        <v>158</v>
      </c>
      <c r="AQ181" s="17" t="s">
        <v>158</v>
      </c>
      <c r="AR181" s="17" t="s">
        <v>158</v>
      </c>
      <c r="AS181" s="5" t="s">
        <v>158</v>
      </c>
      <c r="AT181" s="5" t="s">
        <v>158</v>
      </c>
      <c r="AU181" s="5" t="s">
        <v>158</v>
      </c>
      <c r="AV181" s="5" t="s">
        <v>158</v>
      </c>
      <c r="AW181" s="5" t="s">
        <v>158</v>
      </c>
      <c r="BC181" s="107">
        <v>446</v>
      </c>
      <c r="BD181" s="17" t="s">
        <v>158</v>
      </c>
      <c r="BE181" s="17" t="s">
        <v>158</v>
      </c>
      <c r="BF181" s="17" t="s">
        <v>158</v>
      </c>
      <c r="BG181" s="17" t="s">
        <v>158</v>
      </c>
      <c r="BH181" s="17" t="s">
        <v>158</v>
      </c>
      <c r="BI181" s="17" t="s">
        <v>158</v>
      </c>
      <c r="BJ181" s="17" t="s">
        <v>158</v>
      </c>
      <c r="BK181" s="17" t="s">
        <v>158</v>
      </c>
      <c r="BL181" s="17" t="s">
        <v>158</v>
      </c>
      <c r="BM181" s="17" t="s">
        <v>158</v>
      </c>
      <c r="BN181" s="5" t="s">
        <v>158</v>
      </c>
      <c r="BO181" s="5" t="s">
        <v>158</v>
      </c>
      <c r="BP181" s="5" t="s">
        <v>158</v>
      </c>
      <c r="BQ181" s="5" t="s">
        <v>158</v>
      </c>
      <c r="BR181" s="5" t="s">
        <v>158</v>
      </c>
      <c r="BS181" s="5" t="s">
        <v>158</v>
      </c>
      <c r="BT181" s="5" t="s">
        <v>158</v>
      </c>
      <c r="BU181" s="5" t="s">
        <v>158</v>
      </c>
      <c r="BV181" s="5" t="s">
        <v>158</v>
      </c>
      <c r="BW181" s="5" t="s">
        <v>158</v>
      </c>
      <c r="BX181" s="5" t="s">
        <v>158</v>
      </c>
      <c r="BY181" s="5" t="s">
        <v>158</v>
      </c>
      <c r="BZ181" s="5" t="s">
        <v>158</v>
      </c>
      <c r="CA181" s="5" t="s">
        <v>158</v>
      </c>
      <c r="CB181" s="5" t="s">
        <v>158</v>
      </c>
      <c r="CC181" s="5" t="s">
        <v>158</v>
      </c>
      <c r="CD181" s="5" t="s">
        <v>158</v>
      </c>
      <c r="CE181" s="5" t="s">
        <v>158</v>
      </c>
      <c r="CF181" s="5" t="s">
        <v>158</v>
      </c>
      <c r="CG181" s="5" t="s">
        <v>158</v>
      </c>
      <c r="CH181" s="5" t="s">
        <v>158</v>
      </c>
      <c r="CI181" s="17" t="s">
        <v>158</v>
      </c>
      <c r="CJ181" s="17" t="s">
        <v>158</v>
      </c>
      <c r="CK181" s="17" t="s">
        <v>158</v>
      </c>
      <c r="CL181" s="17" t="s">
        <v>158</v>
      </c>
      <c r="CM181" s="17" t="s">
        <v>158</v>
      </c>
      <c r="CN181" s="17" t="s">
        <v>158</v>
      </c>
      <c r="CO181" s="17" t="s">
        <v>158</v>
      </c>
      <c r="CP181" s="17" t="s">
        <v>158</v>
      </c>
      <c r="CQ181" s="17" t="s">
        <v>158</v>
      </c>
      <c r="CR181" s="17" t="s">
        <v>158</v>
      </c>
      <c r="CS181" s="17" t="s">
        <v>158</v>
      </c>
      <c r="CT181" s="17" t="s">
        <v>158</v>
      </c>
      <c r="CU181" s="17" t="s">
        <v>158</v>
      </c>
      <c r="CV181" s="17" t="s">
        <v>158</v>
      </c>
      <c r="CW181" s="17" t="s">
        <v>158</v>
      </c>
      <c r="CX181" s="17" t="s">
        <v>158</v>
      </c>
      <c r="CY181" s="67" t="s">
        <v>158</v>
      </c>
    </row>
    <row r="182" spans="1:103" x14ac:dyDescent="0.2">
      <c r="A182" s="37" t="s">
        <v>21</v>
      </c>
      <c r="B182" s="59" t="s">
        <v>21</v>
      </c>
      <c r="C182" s="25" t="s">
        <v>20</v>
      </c>
      <c r="D182" s="25" t="s">
        <v>125</v>
      </c>
      <c r="F182" s="44"/>
      <c r="G182" s="87">
        <v>40433</v>
      </c>
      <c r="H182" s="41">
        <v>2010</v>
      </c>
      <c r="I182" s="143" t="s">
        <v>3</v>
      </c>
      <c r="J182" s="143" t="s">
        <v>114</v>
      </c>
      <c r="K182" s="136">
        <v>0.34</v>
      </c>
      <c r="L182" s="5" t="s">
        <v>158</v>
      </c>
      <c r="M182" s="42">
        <v>0.16</v>
      </c>
      <c r="N182" s="42">
        <v>0.35</v>
      </c>
      <c r="O182" s="42">
        <v>1.7</v>
      </c>
      <c r="P182" s="42">
        <v>1.5</v>
      </c>
      <c r="Q182" s="42">
        <v>6.9</v>
      </c>
      <c r="R182" s="42">
        <v>4</v>
      </c>
      <c r="S182" s="42">
        <v>2.2000000000000002</v>
      </c>
      <c r="T182" s="5">
        <f t="shared" si="17"/>
        <v>16.809999999999999</v>
      </c>
      <c r="U182" s="17">
        <f t="shared" si="21"/>
        <v>225.14705882352939</v>
      </c>
      <c r="V182" s="42" t="s">
        <v>60</v>
      </c>
      <c r="W182" s="42">
        <v>0.23</v>
      </c>
      <c r="X182" s="42">
        <v>7.3999999999999996E-2</v>
      </c>
      <c r="Y182" s="42">
        <v>0.12</v>
      </c>
      <c r="Z182" s="5" t="s">
        <v>158</v>
      </c>
      <c r="AA182" s="42">
        <v>2.7E-2</v>
      </c>
      <c r="AB182" s="42">
        <v>1.4E-2</v>
      </c>
      <c r="AC182" s="30" t="s">
        <v>158</v>
      </c>
      <c r="AD182" s="5" t="s">
        <v>158</v>
      </c>
      <c r="AE182" s="17">
        <f t="shared" si="18"/>
        <v>0.46500000000000002</v>
      </c>
      <c r="AF182" s="42" t="s">
        <v>46</v>
      </c>
      <c r="AG182" s="18" t="s">
        <v>158</v>
      </c>
      <c r="AH182" s="31">
        <f t="shared" si="16"/>
        <v>20.212765957446809</v>
      </c>
      <c r="AI182" s="17" t="s">
        <v>158</v>
      </c>
      <c r="AJ182" s="17" t="s">
        <v>158</v>
      </c>
      <c r="AK182" s="17" t="s">
        <v>158</v>
      </c>
      <c r="AL182" s="17" t="s">
        <v>158</v>
      </c>
      <c r="AM182" s="17" t="s">
        <v>158</v>
      </c>
      <c r="AN182" s="17" t="s">
        <v>158</v>
      </c>
      <c r="AO182" s="17" t="s">
        <v>158</v>
      </c>
      <c r="AP182" s="17" t="s">
        <v>158</v>
      </c>
      <c r="AQ182" s="17" t="s">
        <v>158</v>
      </c>
      <c r="AR182" s="17" t="s">
        <v>158</v>
      </c>
      <c r="AS182" s="5" t="s">
        <v>158</v>
      </c>
      <c r="AT182" s="5" t="s">
        <v>158</v>
      </c>
      <c r="AU182" s="5" t="s">
        <v>158</v>
      </c>
      <c r="AV182" s="5" t="s">
        <v>158</v>
      </c>
      <c r="AW182" s="5" t="s">
        <v>158</v>
      </c>
      <c r="BC182" s="107">
        <v>380</v>
      </c>
      <c r="BD182" s="17" t="s">
        <v>158</v>
      </c>
      <c r="BE182" s="17" t="s">
        <v>158</v>
      </c>
      <c r="BF182" s="17" t="s">
        <v>158</v>
      </c>
      <c r="BG182" s="17" t="s">
        <v>158</v>
      </c>
      <c r="BH182" s="17" t="s">
        <v>158</v>
      </c>
      <c r="BI182" s="17" t="s">
        <v>158</v>
      </c>
      <c r="BJ182" s="17" t="s">
        <v>158</v>
      </c>
      <c r="BK182" s="17" t="s">
        <v>158</v>
      </c>
      <c r="BL182" s="17" t="s">
        <v>158</v>
      </c>
      <c r="BM182" s="17" t="s">
        <v>158</v>
      </c>
      <c r="BN182" s="5" t="s">
        <v>158</v>
      </c>
      <c r="BO182" s="5" t="s">
        <v>158</v>
      </c>
      <c r="BP182" s="5" t="s">
        <v>158</v>
      </c>
      <c r="BQ182" s="5" t="s">
        <v>158</v>
      </c>
      <c r="BR182" s="5" t="s">
        <v>158</v>
      </c>
      <c r="BS182" s="5" t="s">
        <v>158</v>
      </c>
      <c r="BT182" s="5" t="s">
        <v>158</v>
      </c>
      <c r="BU182" s="5" t="s">
        <v>158</v>
      </c>
      <c r="BV182" s="5" t="s">
        <v>158</v>
      </c>
      <c r="BW182" s="5" t="s">
        <v>158</v>
      </c>
      <c r="BX182" s="5" t="s">
        <v>158</v>
      </c>
      <c r="BY182" s="5" t="s">
        <v>158</v>
      </c>
      <c r="BZ182" s="5" t="s">
        <v>158</v>
      </c>
      <c r="CA182" s="5" t="s">
        <v>158</v>
      </c>
      <c r="CB182" s="5" t="s">
        <v>158</v>
      </c>
      <c r="CC182" s="5" t="s">
        <v>158</v>
      </c>
      <c r="CD182" s="5" t="s">
        <v>158</v>
      </c>
      <c r="CE182" s="5" t="s">
        <v>158</v>
      </c>
      <c r="CF182" s="5" t="s">
        <v>158</v>
      </c>
      <c r="CG182" s="5" t="s">
        <v>158</v>
      </c>
      <c r="CH182" s="5" t="s">
        <v>158</v>
      </c>
      <c r="CI182" s="17" t="s">
        <v>158</v>
      </c>
      <c r="CJ182" s="17" t="s">
        <v>158</v>
      </c>
      <c r="CK182" s="17" t="s">
        <v>158</v>
      </c>
      <c r="CL182" s="17" t="s">
        <v>158</v>
      </c>
      <c r="CM182" s="17" t="s">
        <v>158</v>
      </c>
      <c r="CN182" s="17" t="s">
        <v>158</v>
      </c>
      <c r="CO182" s="17" t="s">
        <v>158</v>
      </c>
      <c r="CP182" s="17" t="s">
        <v>158</v>
      </c>
      <c r="CQ182" s="17" t="s">
        <v>158</v>
      </c>
      <c r="CR182" s="17" t="s">
        <v>158</v>
      </c>
      <c r="CS182" s="17" t="s">
        <v>158</v>
      </c>
      <c r="CT182" s="17" t="s">
        <v>158</v>
      </c>
      <c r="CU182" s="17" t="s">
        <v>158</v>
      </c>
      <c r="CV182" s="17" t="s">
        <v>158</v>
      </c>
      <c r="CW182" s="17" t="s">
        <v>158</v>
      </c>
      <c r="CX182" s="17" t="s">
        <v>158</v>
      </c>
      <c r="CY182" s="67" t="s">
        <v>158</v>
      </c>
    </row>
    <row r="183" spans="1:103" x14ac:dyDescent="0.2">
      <c r="A183" s="37" t="s">
        <v>112</v>
      </c>
      <c r="B183" s="59" t="s">
        <v>24</v>
      </c>
      <c r="C183" s="25" t="s">
        <v>20</v>
      </c>
      <c r="D183" s="25" t="s">
        <v>125</v>
      </c>
      <c r="F183" s="44"/>
      <c r="G183" s="87">
        <v>40418</v>
      </c>
      <c r="H183" s="41">
        <v>2010</v>
      </c>
      <c r="I183" s="143" t="s">
        <v>3</v>
      </c>
      <c r="J183" s="143" t="s">
        <v>114</v>
      </c>
      <c r="K183" s="136">
        <v>0.45</v>
      </c>
      <c r="L183" s="5" t="s">
        <v>158</v>
      </c>
      <c r="M183" s="42">
        <v>4.5999999999999996</v>
      </c>
      <c r="N183" s="42">
        <v>8.9</v>
      </c>
      <c r="O183" s="42">
        <v>18</v>
      </c>
      <c r="P183" s="42">
        <v>20</v>
      </c>
      <c r="Q183" s="42">
        <v>32</v>
      </c>
      <c r="R183" s="42">
        <v>20</v>
      </c>
      <c r="S183" s="42">
        <v>9.4</v>
      </c>
      <c r="T183" s="5">
        <f t="shared" si="17"/>
        <v>112.9</v>
      </c>
      <c r="U183" s="17">
        <f t="shared" si="21"/>
        <v>1032.2222222222222</v>
      </c>
      <c r="V183" s="42" t="s">
        <v>61</v>
      </c>
      <c r="W183" s="42">
        <v>0.77</v>
      </c>
      <c r="X183" s="42">
        <v>0.2</v>
      </c>
      <c r="Y183" s="42">
        <v>0.11</v>
      </c>
      <c r="Z183" s="5" t="s">
        <v>158</v>
      </c>
      <c r="AA183" s="42">
        <v>4.4999999999999998E-2</v>
      </c>
      <c r="AB183" s="42">
        <v>2.1000000000000001E-2</v>
      </c>
      <c r="AC183" s="30" t="s">
        <v>158</v>
      </c>
      <c r="AD183" s="5" t="s">
        <v>158</v>
      </c>
      <c r="AE183" s="17">
        <f t="shared" si="18"/>
        <v>1.1459999999999999</v>
      </c>
      <c r="AF183" s="5" t="s">
        <v>46</v>
      </c>
      <c r="AG183" s="18" t="s">
        <v>158</v>
      </c>
      <c r="AH183" s="31">
        <f t="shared" si="16"/>
        <v>39.734042553191486</v>
      </c>
      <c r="AI183" s="17" t="s">
        <v>158</v>
      </c>
      <c r="AJ183" s="17" t="s">
        <v>158</v>
      </c>
      <c r="AK183" s="17" t="s">
        <v>158</v>
      </c>
      <c r="AL183" s="17" t="s">
        <v>158</v>
      </c>
      <c r="AM183" s="17" t="s">
        <v>158</v>
      </c>
      <c r="AN183" s="17" t="s">
        <v>158</v>
      </c>
      <c r="AO183" s="17" t="s">
        <v>158</v>
      </c>
      <c r="AP183" s="17" t="s">
        <v>158</v>
      </c>
      <c r="AQ183" s="17" t="s">
        <v>158</v>
      </c>
      <c r="AR183" s="17" t="s">
        <v>158</v>
      </c>
      <c r="AS183" s="5" t="s">
        <v>158</v>
      </c>
      <c r="AT183" s="5" t="s">
        <v>158</v>
      </c>
      <c r="AU183" s="5" t="s">
        <v>158</v>
      </c>
      <c r="AV183" s="5" t="s">
        <v>158</v>
      </c>
      <c r="AW183" s="5" t="s">
        <v>158</v>
      </c>
      <c r="BC183" s="107">
        <v>747</v>
      </c>
      <c r="BD183" s="17" t="s">
        <v>158</v>
      </c>
      <c r="BE183" s="17" t="s">
        <v>158</v>
      </c>
      <c r="BF183" s="17" t="s">
        <v>158</v>
      </c>
      <c r="BG183" s="17" t="s">
        <v>158</v>
      </c>
      <c r="BH183" s="17" t="s">
        <v>158</v>
      </c>
      <c r="BI183" s="17" t="s">
        <v>158</v>
      </c>
      <c r="BJ183" s="17" t="s">
        <v>158</v>
      </c>
      <c r="BK183" s="17" t="s">
        <v>158</v>
      </c>
      <c r="BL183" s="17" t="s">
        <v>158</v>
      </c>
      <c r="BM183" s="17" t="s">
        <v>158</v>
      </c>
      <c r="BN183" s="5" t="s">
        <v>158</v>
      </c>
      <c r="BO183" s="5" t="s">
        <v>158</v>
      </c>
      <c r="BP183" s="5" t="s">
        <v>158</v>
      </c>
      <c r="BQ183" s="5" t="s">
        <v>158</v>
      </c>
      <c r="BR183" s="5" t="s">
        <v>158</v>
      </c>
      <c r="BS183" s="5" t="s">
        <v>158</v>
      </c>
      <c r="BT183" s="5" t="s">
        <v>158</v>
      </c>
      <c r="BU183" s="5" t="s">
        <v>158</v>
      </c>
      <c r="BV183" s="5" t="s">
        <v>158</v>
      </c>
      <c r="BW183" s="5" t="s">
        <v>158</v>
      </c>
      <c r="BX183" s="5" t="s">
        <v>158</v>
      </c>
      <c r="BY183" s="5" t="s">
        <v>158</v>
      </c>
      <c r="BZ183" s="5" t="s">
        <v>158</v>
      </c>
      <c r="CA183" s="5" t="s">
        <v>158</v>
      </c>
      <c r="CB183" s="5" t="s">
        <v>158</v>
      </c>
      <c r="CC183" s="5" t="s">
        <v>158</v>
      </c>
      <c r="CD183" s="5" t="s">
        <v>158</v>
      </c>
      <c r="CE183" s="5" t="s">
        <v>158</v>
      </c>
      <c r="CF183" s="5" t="s">
        <v>158</v>
      </c>
      <c r="CG183" s="5" t="s">
        <v>158</v>
      </c>
      <c r="CH183" s="5" t="s">
        <v>158</v>
      </c>
      <c r="CI183" s="17" t="s">
        <v>158</v>
      </c>
      <c r="CJ183" s="17" t="s">
        <v>158</v>
      </c>
      <c r="CK183" s="17" t="s">
        <v>158</v>
      </c>
      <c r="CL183" s="17" t="s">
        <v>158</v>
      </c>
      <c r="CM183" s="17" t="s">
        <v>158</v>
      </c>
      <c r="CN183" s="17" t="s">
        <v>158</v>
      </c>
      <c r="CO183" s="17" t="s">
        <v>158</v>
      </c>
      <c r="CP183" s="17" t="s">
        <v>158</v>
      </c>
      <c r="CQ183" s="17" t="s">
        <v>158</v>
      </c>
      <c r="CR183" s="17" t="s">
        <v>158</v>
      </c>
      <c r="CS183" s="17" t="s">
        <v>158</v>
      </c>
      <c r="CT183" s="17" t="s">
        <v>158</v>
      </c>
      <c r="CU183" s="17" t="s">
        <v>158</v>
      </c>
      <c r="CV183" s="17" t="s">
        <v>158</v>
      </c>
      <c r="CW183" s="17" t="s">
        <v>158</v>
      </c>
      <c r="CX183" s="17" t="s">
        <v>158</v>
      </c>
      <c r="CY183" s="67" t="s">
        <v>158</v>
      </c>
    </row>
    <row r="184" spans="1:103" x14ac:dyDescent="0.2">
      <c r="A184" s="37" t="s">
        <v>112</v>
      </c>
      <c r="B184" s="59" t="s">
        <v>24</v>
      </c>
      <c r="C184" s="25" t="s">
        <v>20</v>
      </c>
      <c r="D184" s="25" t="s">
        <v>125</v>
      </c>
      <c r="F184" s="45"/>
      <c r="G184" s="87">
        <v>40418</v>
      </c>
      <c r="H184" s="41">
        <v>2010</v>
      </c>
      <c r="I184" s="143" t="s">
        <v>33</v>
      </c>
      <c r="J184" s="143" t="s">
        <v>114</v>
      </c>
      <c r="K184" s="136">
        <v>0.35</v>
      </c>
      <c r="L184" s="5" t="s">
        <v>158</v>
      </c>
      <c r="M184" s="42">
        <v>0.99</v>
      </c>
      <c r="N184" s="42">
        <v>3.6</v>
      </c>
      <c r="O184" s="42">
        <v>9.5</v>
      </c>
      <c r="P184" s="42">
        <v>8.1</v>
      </c>
      <c r="Q184" s="42">
        <v>16</v>
      </c>
      <c r="R184" s="42">
        <v>10</v>
      </c>
      <c r="S184" s="42">
        <v>5.3</v>
      </c>
      <c r="T184" s="5">
        <f t="shared" si="17"/>
        <v>53.489999999999995</v>
      </c>
      <c r="U184" s="17">
        <f t="shared" si="21"/>
        <v>648.42857142857144</v>
      </c>
      <c r="V184" s="42" t="s">
        <v>59</v>
      </c>
      <c r="W184" s="42">
        <v>0.4</v>
      </c>
      <c r="X184" s="42">
        <v>0.11</v>
      </c>
      <c r="Y184" s="42">
        <v>9.2999999999999999E-2</v>
      </c>
      <c r="Z184" s="5" t="s">
        <v>158</v>
      </c>
      <c r="AA184" s="42">
        <v>2.9000000000000001E-2</v>
      </c>
      <c r="AB184" s="42">
        <v>1.6E-2</v>
      </c>
      <c r="AC184" s="30" t="s">
        <v>158</v>
      </c>
      <c r="AD184" s="5" t="s">
        <v>158</v>
      </c>
      <c r="AE184" s="17">
        <f t="shared" si="18"/>
        <v>0.64800000000000002</v>
      </c>
      <c r="AF184" s="42">
        <v>1.2</v>
      </c>
      <c r="AG184" s="18" t="s">
        <v>158</v>
      </c>
      <c r="AH184" s="31">
        <f t="shared" si="16"/>
        <v>25.904255319148934</v>
      </c>
      <c r="AI184" s="17" t="s">
        <v>158</v>
      </c>
      <c r="AJ184" s="17" t="s">
        <v>158</v>
      </c>
      <c r="AK184" s="17" t="s">
        <v>158</v>
      </c>
      <c r="AL184" s="17" t="s">
        <v>158</v>
      </c>
      <c r="AM184" s="17" t="s">
        <v>158</v>
      </c>
      <c r="AN184" s="17" t="s">
        <v>158</v>
      </c>
      <c r="AO184" s="17" t="s">
        <v>158</v>
      </c>
      <c r="AP184" s="17" t="s">
        <v>158</v>
      </c>
      <c r="AQ184" s="17" t="s">
        <v>158</v>
      </c>
      <c r="AR184" s="17" t="s">
        <v>158</v>
      </c>
      <c r="AS184" s="5" t="s">
        <v>158</v>
      </c>
      <c r="AT184" s="5" t="s">
        <v>158</v>
      </c>
      <c r="AU184" s="5" t="s">
        <v>158</v>
      </c>
      <c r="AV184" s="5" t="s">
        <v>158</v>
      </c>
      <c r="AW184" s="5" t="s">
        <v>158</v>
      </c>
      <c r="BC184" s="107">
        <v>487</v>
      </c>
      <c r="BD184" s="17" t="s">
        <v>158</v>
      </c>
      <c r="BE184" s="17" t="s">
        <v>158</v>
      </c>
      <c r="BF184" s="17" t="s">
        <v>158</v>
      </c>
      <c r="BG184" s="17" t="s">
        <v>158</v>
      </c>
      <c r="BH184" s="17" t="s">
        <v>158</v>
      </c>
      <c r="BI184" s="17" t="s">
        <v>158</v>
      </c>
      <c r="BJ184" s="17" t="s">
        <v>158</v>
      </c>
      <c r="BK184" s="17" t="s">
        <v>158</v>
      </c>
      <c r="BL184" s="17" t="s">
        <v>158</v>
      </c>
      <c r="BM184" s="17" t="s">
        <v>158</v>
      </c>
      <c r="BN184" s="5" t="s">
        <v>158</v>
      </c>
      <c r="BO184" s="5" t="s">
        <v>158</v>
      </c>
      <c r="BP184" s="5" t="s">
        <v>158</v>
      </c>
      <c r="BQ184" s="5" t="s">
        <v>158</v>
      </c>
      <c r="BR184" s="5" t="s">
        <v>158</v>
      </c>
      <c r="BS184" s="5" t="s">
        <v>158</v>
      </c>
      <c r="BT184" s="5" t="s">
        <v>158</v>
      </c>
      <c r="BU184" s="5" t="s">
        <v>158</v>
      </c>
      <c r="BV184" s="5" t="s">
        <v>158</v>
      </c>
      <c r="BW184" s="5" t="s">
        <v>158</v>
      </c>
      <c r="BX184" s="5" t="s">
        <v>158</v>
      </c>
      <c r="BY184" s="5" t="s">
        <v>158</v>
      </c>
      <c r="BZ184" s="5" t="s">
        <v>158</v>
      </c>
      <c r="CA184" s="5" t="s">
        <v>158</v>
      </c>
      <c r="CB184" s="5" t="s">
        <v>158</v>
      </c>
      <c r="CC184" s="5" t="s">
        <v>158</v>
      </c>
      <c r="CD184" s="5" t="s">
        <v>158</v>
      </c>
      <c r="CE184" s="5" t="s">
        <v>158</v>
      </c>
      <c r="CF184" s="5" t="s">
        <v>158</v>
      </c>
      <c r="CG184" s="5" t="s">
        <v>158</v>
      </c>
      <c r="CH184" s="5" t="s">
        <v>158</v>
      </c>
      <c r="CI184" s="17" t="s">
        <v>158</v>
      </c>
      <c r="CJ184" s="17" t="s">
        <v>158</v>
      </c>
      <c r="CK184" s="17" t="s">
        <v>158</v>
      </c>
      <c r="CL184" s="17" t="s">
        <v>158</v>
      </c>
      <c r="CM184" s="17" t="s">
        <v>158</v>
      </c>
      <c r="CN184" s="17" t="s">
        <v>158</v>
      </c>
      <c r="CO184" s="17" t="s">
        <v>158</v>
      </c>
      <c r="CP184" s="17" t="s">
        <v>158</v>
      </c>
      <c r="CQ184" s="17" t="s">
        <v>158</v>
      </c>
      <c r="CR184" s="17" t="s">
        <v>158</v>
      </c>
      <c r="CS184" s="17" t="s">
        <v>158</v>
      </c>
      <c r="CT184" s="17" t="s">
        <v>158</v>
      </c>
      <c r="CU184" s="17" t="s">
        <v>158</v>
      </c>
      <c r="CV184" s="17" t="s">
        <v>158</v>
      </c>
      <c r="CW184" s="17" t="s">
        <v>158</v>
      </c>
      <c r="CX184" s="17" t="s">
        <v>158</v>
      </c>
      <c r="CY184" s="67" t="s">
        <v>158</v>
      </c>
    </row>
    <row r="185" spans="1:103" x14ac:dyDescent="0.2">
      <c r="A185" s="37" t="s">
        <v>112</v>
      </c>
      <c r="B185" s="59" t="s">
        <v>24</v>
      </c>
      <c r="C185" s="25" t="s">
        <v>20</v>
      </c>
      <c r="D185" s="25" t="s">
        <v>125</v>
      </c>
      <c r="F185" s="44"/>
      <c r="G185" s="87">
        <v>40418</v>
      </c>
      <c r="H185" s="41">
        <v>2010</v>
      </c>
      <c r="I185" s="143" t="s">
        <v>3</v>
      </c>
      <c r="J185" s="143" t="s">
        <v>114</v>
      </c>
      <c r="K185" s="136">
        <v>0.26</v>
      </c>
      <c r="L185" s="5" t="s">
        <v>158</v>
      </c>
      <c r="M185" s="42">
        <v>0.98</v>
      </c>
      <c r="N185" s="42">
        <v>4.3</v>
      </c>
      <c r="O185" s="42">
        <v>7</v>
      </c>
      <c r="P185" s="42">
        <v>5.8</v>
      </c>
      <c r="Q185" s="42">
        <v>9.8000000000000007</v>
      </c>
      <c r="R185" s="42">
        <v>5.8</v>
      </c>
      <c r="S185" s="42">
        <v>2.5</v>
      </c>
      <c r="T185" s="5">
        <f t="shared" si="17"/>
        <v>36.18</v>
      </c>
      <c r="U185" s="17">
        <f t="shared" si="21"/>
        <v>584.23076923076917</v>
      </c>
      <c r="V185" s="42" t="s">
        <v>72</v>
      </c>
      <c r="W185" s="42">
        <v>0.21</v>
      </c>
      <c r="X185" s="42">
        <v>4.1000000000000002E-2</v>
      </c>
      <c r="Y185" s="42">
        <v>4.2999999999999997E-2</v>
      </c>
      <c r="Z185" s="5" t="s">
        <v>158</v>
      </c>
      <c r="AA185" s="42">
        <v>8.3000000000000001E-3</v>
      </c>
      <c r="AB185" s="42">
        <v>4.7000000000000002E-3</v>
      </c>
      <c r="AC185" s="30" t="s">
        <v>158</v>
      </c>
      <c r="AD185" s="5" t="s">
        <v>158</v>
      </c>
      <c r="AE185" s="17">
        <f t="shared" si="18"/>
        <v>0.30699999999999994</v>
      </c>
      <c r="AF185" s="42" t="s">
        <v>46</v>
      </c>
      <c r="AG185" s="18" t="s">
        <v>158</v>
      </c>
      <c r="AH185" s="31">
        <f t="shared" si="16"/>
        <v>26.702127659574469</v>
      </c>
      <c r="AI185" s="17" t="s">
        <v>158</v>
      </c>
      <c r="AJ185" s="17" t="s">
        <v>158</v>
      </c>
      <c r="AK185" s="17" t="s">
        <v>158</v>
      </c>
      <c r="AL185" s="17" t="s">
        <v>158</v>
      </c>
      <c r="AM185" s="17" t="s">
        <v>158</v>
      </c>
      <c r="AN185" s="17" t="s">
        <v>158</v>
      </c>
      <c r="AO185" s="17" t="s">
        <v>158</v>
      </c>
      <c r="AP185" s="17" t="s">
        <v>158</v>
      </c>
      <c r="AQ185" s="17" t="s">
        <v>158</v>
      </c>
      <c r="AR185" s="17" t="s">
        <v>158</v>
      </c>
      <c r="AS185" s="5" t="s">
        <v>158</v>
      </c>
      <c r="AT185" s="5" t="s">
        <v>158</v>
      </c>
      <c r="AU185" s="5" t="s">
        <v>158</v>
      </c>
      <c r="AV185" s="5" t="s">
        <v>158</v>
      </c>
      <c r="AW185" s="5" t="s">
        <v>158</v>
      </c>
      <c r="BC185" s="107">
        <v>502</v>
      </c>
      <c r="BD185" s="17" t="s">
        <v>158</v>
      </c>
      <c r="BE185" s="17" t="s">
        <v>158</v>
      </c>
      <c r="BF185" s="17" t="s">
        <v>158</v>
      </c>
      <c r="BG185" s="17" t="s">
        <v>158</v>
      </c>
      <c r="BH185" s="17" t="s">
        <v>158</v>
      </c>
      <c r="BI185" s="17" t="s">
        <v>158</v>
      </c>
      <c r="BJ185" s="17" t="s">
        <v>158</v>
      </c>
      <c r="BK185" s="17" t="s">
        <v>158</v>
      </c>
      <c r="BL185" s="17" t="s">
        <v>158</v>
      </c>
      <c r="BM185" s="17" t="s">
        <v>158</v>
      </c>
      <c r="BN185" s="5" t="s">
        <v>158</v>
      </c>
      <c r="BO185" s="5" t="s">
        <v>158</v>
      </c>
      <c r="BP185" s="5" t="s">
        <v>158</v>
      </c>
      <c r="BQ185" s="5" t="s">
        <v>158</v>
      </c>
      <c r="BR185" s="5" t="s">
        <v>158</v>
      </c>
      <c r="BS185" s="5" t="s">
        <v>158</v>
      </c>
      <c r="BT185" s="5" t="s">
        <v>158</v>
      </c>
      <c r="BU185" s="5" t="s">
        <v>158</v>
      </c>
      <c r="BV185" s="5" t="s">
        <v>158</v>
      </c>
      <c r="BW185" s="5" t="s">
        <v>158</v>
      </c>
      <c r="BX185" s="5" t="s">
        <v>158</v>
      </c>
      <c r="BY185" s="5" t="s">
        <v>158</v>
      </c>
      <c r="BZ185" s="5" t="s">
        <v>158</v>
      </c>
      <c r="CA185" s="5" t="s">
        <v>158</v>
      </c>
      <c r="CB185" s="5" t="s">
        <v>158</v>
      </c>
      <c r="CC185" s="5" t="s">
        <v>158</v>
      </c>
      <c r="CD185" s="5" t="s">
        <v>158</v>
      </c>
      <c r="CE185" s="5" t="s">
        <v>158</v>
      </c>
      <c r="CF185" s="5" t="s">
        <v>158</v>
      </c>
      <c r="CG185" s="5" t="s">
        <v>158</v>
      </c>
      <c r="CH185" s="5" t="s">
        <v>158</v>
      </c>
      <c r="CI185" s="17" t="s">
        <v>158</v>
      </c>
      <c r="CJ185" s="17" t="s">
        <v>158</v>
      </c>
      <c r="CK185" s="17" t="s">
        <v>158</v>
      </c>
      <c r="CL185" s="17" t="s">
        <v>158</v>
      </c>
      <c r="CM185" s="17" t="s">
        <v>158</v>
      </c>
      <c r="CN185" s="17" t="s">
        <v>158</v>
      </c>
      <c r="CO185" s="17" t="s">
        <v>158</v>
      </c>
      <c r="CP185" s="17" t="s">
        <v>158</v>
      </c>
      <c r="CQ185" s="17" t="s">
        <v>158</v>
      </c>
      <c r="CR185" s="17" t="s">
        <v>158</v>
      </c>
      <c r="CS185" s="17" t="s">
        <v>158</v>
      </c>
      <c r="CT185" s="17" t="s">
        <v>158</v>
      </c>
      <c r="CU185" s="17" t="s">
        <v>158</v>
      </c>
      <c r="CV185" s="17" t="s">
        <v>158</v>
      </c>
      <c r="CW185" s="17" t="s">
        <v>158</v>
      </c>
      <c r="CX185" s="17" t="s">
        <v>158</v>
      </c>
      <c r="CY185" s="67" t="s">
        <v>158</v>
      </c>
    </row>
    <row r="186" spans="1:103" x14ac:dyDescent="0.2">
      <c r="A186" s="37" t="s">
        <v>112</v>
      </c>
      <c r="B186" s="59" t="s">
        <v>24</v>
      </c>
      <c r="C186" s="25" t="s">
        <v>20</v>
      </c>
      <c r="D186" s="25" t="s">
        <v>125</v>
      </c>
      <c r="F186" s="44"/>
      <c r="G186" s="87">
        <v>40418</v>
      </c>
      <c r="H186" s="41">
        <v>2010</v>
      </c>
      <c r="I186" s="143" t="s">
        <v>3</v>
      </c>
      <c r="J186" s="143" t="s">
        <v>114</v>
      </c>
      <c r="K186" s="136">
        <v>0.44000000000000006</v>
      </c>
      <c r="L186" s="5" t="s">
        <v>158</v>
      </c>
      <c r="M186" s="42">
        <v>2.1</v>
      </c>
      <c r="N186" s="42">
        <v>5.6</v>
      </c>
      <c r="O186" s="42">
        <v>10</v>
      </c>
      <c r="P186" s="42">
        <v>9.1999999999999993</v>
      </c>
      <c r="Q186" s="42">
        <v>17</v>
      </c>
      <c r="R186" s="42">
        <v>11</v>
      </c>
      <c r="S186" s="42">
        <v>5.0999999999999996</v>
      </c>
      <c r="T186" s="5">
        <f t="shared" si="17"/>
        <v>60</v>
      </c>
      <c r="U186" s="17">
        <f t="shared" si="21"/>
        <v>577.27272727272725</v>
      </c>
      <c r="V186" s="42" t="s">
        <v>62</v>
      </c>
      <c r="W186" s="42">
        <v>0.44</v>
      </c>
      <c r="X186" s="42">
        <v>0.11</v>
      </c>
      <c r="Y186" s="42">
        <v>3.6999999999999998E-2</v>
      </c>
      <c r="Z186" s="5" t="s">
        <v>158</v>
      </c>
      <c r="AA186" s="42">
        <v>2.4E-2</v>
      </c>
      <c r="AB186" s="42">
        <v>1.4E-2</v>
      </c>
      <c r="AC186" s="30" t="s">
        <v>158</v>
      </c>
      <c r="AD186" s="5" t="s">
        <v>158</v>
      </c>
      <c r="AE186" s="17">
        <f t="shared" si="18"/>
        <v>0.625</v>
      </c>
      <c r="AF186" s="42" t="s">
        <v>46</v>
      </c>
      <c r="AG186" s="18" t="s">
        <v>158</v>
      </c>
      <c r="AH186" s="31">
        <f t="shared" si="16"/>
        <v>90.90425531914893</v>
      </c>
      <c r="AI186" s="17" t="s">
        <v>158</v>
      </c>
      <c r="AJ186" s="17" t="s">
        <v>158</v>
      </c>
      <c r="AK186" s="17" t="s">
        <v>158</v>
      </c>
      <c r="AL186" s="17" t="s">
        <v>158</v>
      </c>
      <c r="AM186" s="17" t="s">
        <v>158</v>
      </c>
      <c r="AN186" s="17" t="s">
        <v>158</v>
      </c>
      <c r="AO186" s="17" t="s">
        <v>158</v>
      </c>
      <c r="AP186" s="17" t="s">
        <v>158</v>
      </c>
      <c r="AQ186" s="17" t="s">
        <v>158</v>
      </c>
      <c r="AR186" s="17" t="s">
        <v>158</v>
      </c>
      <c r="AS186" s="5" t="s">
        <v>158</v>
      </c>
      <c r="AT186" s="5" t="s">
        <v>158</v>
      </c>
      <c r="AU186" s="5" t="s">
        <v>158</v>
      </c>
      <c r="AV186" s="5" t="s">
        <v>158</v>
      </c>
      <c r="AW186" s="5" t="s">
        <v>158</v>
      </c>
      <c r="BC186" s="107">
        <v>1709</v>
      </c>
      <c r="BD186" s="17" t="s">
        <v>158</v>
      </c>
      <c r="BE186" s="17" t="s">
        <v>158</v>
      </c>
      <c r="BF186" s="17" t="s">
        <v>158</v>
      </c>
      <c r="BG186" s="17" t="s">
        <v>158</v>
      </c>
      <c r="BH186" s="17" t="s">
        <v>158</v>
      </c>
      <c r="BI186" s="17" t="s">
        <v>158</v>
      </c>
      <c r="BJ186" s="17" t="s">
        <v>158</v>
      </c>
      <c r="BK186" s="17" t="s">
        <v>158</v>
      </c>
      <c r="BL186" s="17" t="s">
        <v>158</v>
      </c>
      <c r="BM186" s="17" t="s">
        <v>158</v>
      </c>
      <c r="BN186" s="5" t="s">
        <v>158</v>
      </c>
      <c r="BO186" s="5" t="s">
        <v>158</v>
      </c>
      <c r="BP186" s="5" t="s">
        <v>158</v>
      </c>
      <c r="BQ186" s="5" t="s">
        <v>158</v>
      </c>
      <c r="BR186" s="5" t="s">
        <v>158</v>
      </c>
      <c r="BS186" s="5" t="s">
        <v>158</v>
      </c>
      <c r="BT186" s="5" t="s">
        <v>158</v>
      </c>
      <c r="BU186" s="5" t="s">
        <v>158</v>
      </c>
      <c r="BV186" s="5" t="s">
        <v>158</v>
      </c>
      <c r="BW186" s="5" t="s">
        <v>158</v>
      </c>
      <c r="BX186" s="5" t="s">
        <v>158</v>
      </c>
      <c r="BY186" s="5" t="s">
        <v>158</v>
      </c>
      <c r="BZ186" s="5" t="s">
        <v>158</v>
      </c>
      <c r="CA186" s="5" t="s">
        <v>158</v>
      </c>
      <c r="CB186" s="5" t="s">
        <v>158</v>
      </c>
      <c r="CC186" s="5" t="s">
        <v>158</v>
      </c>
      <c r="CD186" s="5" t="s">
        <v>158</v>
      </c>
      <c r="CE186" s="5" t="s">
        <v>158</v>
      </c>
      <c r="CF186" s="5" t="s">
        <v>158</v>
      </c>
      <c r="CG186" s="5" t="s">
        <v>158</v>
      </c>
      <c r="CH186" s="5" t="s">
        <v>158</v>
      </c>
      <c r="CI186" s="17" t="s">
        <v>158</v>
      </c>
      <c r="CJ186" s="17" t="s">
        <v>158</v>
      </c>
      <c r="CK186" s="17" t="s">
        <v>158</v>
      </c>
      <c r="CL186" s="17" t="s">
        <v>158</v>
      </c>
      <c r="CM186" s="17" t="s">
        <v>158</v>
      </c>
      <c r="CN186" s="17" t="s">
        <v>158</v>
      </c>
      <c r="CO186" s="17" t="s">
        <v>158</v>
      </c>
      <c r="CP186" s="17" t="s">
        <v>158</v>
      </c>
      <c r="CQ186" s="17" t="s">
        <v>158</v>
      </c>
      <c r="CR186" s="17" t="s">
        <v>158</v>
      </c>
      <c r="CS186" s="17" t="s">
        <v>158</v>
      </c>
      <c r="CT186" s="17" t="s">
        <v>158</v>
      </c>
      <c r="CU186" s="17" t="s">
        <v>158</v>
      </c>
      <c r="CV186" s="17" t="s">
        <v>158</v>
      </c>
      <c r="CW186" s="17" t="s">
        <v>158</v>
      </c>
      <c r="CX186" s="17" t="s">
        <v>158</v>
      </c>
      <c r="CY186" s="67" t="s">
        <v>158</v>
      </c>
    </row>
    <row r="187" spans="1:103" x14ac:dyDescent="0.2">
      <c r="A187" s="37" t="s">
        <v>112</v>
      </c>
      <c r="B187" s="59" t="s">
        <v>24</v>
      </c>
      <c r="C187" s="25" t="s">
        <v>20</v>
      </c>
      <c r="D187" s="25" t="s">
        <v>125</v>
      </c>
      <c r="F187" s="44"/>
      <c r="G187" s="87">
        <v>40418</v>
      </c>
      <c r="H187" s="41">
        <v>2010</v>
      </c>
      <c r="I187" s="143" t="s">
        <v>3</v>
      </c>
      <c r="J187" s="143" t="s">
        <v>114</v>
      </c>
      <c r="K187" s="136">
        <v>0.79</v>
      </c>
      <c r="L187" s="5" t="s">
        <v>158</v>
      </c>
      <c r="M187" s="42">
        <v>2.2999999999999998</v>
      </c>
      <c r="N187" s="42">
        <v>6</v>
      </c>
      <c r="O187" s="42">
        <v>17</v>
      </c>
      <c r="P187" s="42">
        <v>14</v>
      </c>
      <c r="Q187" s="42">
        <v>23</v>
      </c>
      <c r="R187" s="42">
        <v>14</v>
      </c>
      <c r="S187" s="42">
        <v>6.4</v>
      </c>
      <c r="T187" s="5">
        <f t="shared" si="17"/>
        <v>82.7</v>
      </c>
      <c r="U187" s="17">
        <f t="shared" si="21"/>
        <v>434.81012658227849</v>
      </c>
      <c r="V187" s="42" t="s">
        <v>59</v>
      </c>
      <c r="W187" s="42">
        <v>0.68</v>
      </c>
      <c r="X187" s="42">
        <v>0.24</v>
      </c>
      <c r="Y187" s="42">
        <v>0.12</v>
      </c>
      <c r="Z187" s="5" t="s">
        <v>158</v>
      </c>
      <c r="AA187" s="42">
        <v>0.01</v>
      </c>
      <c r="AB187" s="42" t="s">
        <v>63</v>
      </c>
      <c r="AC187" s="30" t="s">
        <v>158</v>
      </c>
      <c r="AD187" s="5" t="s">
        <v>158</v>
      </c>
      <c r="AE187" s="17">
        <f t="shared" si="18"/>
        <v>1.05</v>
      </c>
      <c r="AF187" s="42" t="s">
        <v>46</v>
      </c>
      <c r="AG187" s="18" t="s">
        <v>158</v>
      </c>
      <c r="AH187" s="31">
        <f t="shared" si="16"/>
        <v>6.9680851063829783</v>
      </c>
      <c r="AI187" s="17" t="s">
        <v>158</v>
      </c>
      <c r="AJ187" s="17" t="s">
        <v>158</v>
      </c>
      <c r="AK187" s="17" t="s">
        <v>158</v>
      </c>
      <c r="AL187" s="17" t="s">
        <v>158</v>
      </c>
      <c r="AM187" s="17" t="s">
        <v>158</v>
      </c>
      <c r="AN187" s="17" t="s">
        <v>158</v>
      </c>
      <c r="AO187" s="17" t="s">
        <v>158</v>
      </c>
      <c r="AP187" s="17" t="s">
        <v>158</v>
      </c>
      <c r="AQ187" s="17" t="s">
        <v>158</v>
      </c>
      <c r="AR187" s="17" t="s">
        <v>158</v>
      </c>
      <c r="AS187" s="5" t="s">
        <v>158</v>
      </c>
      <c r="AT187" s="5" t="s">
        <v>158</v>
      </c>
      <c r="AU187" s="5" t="s">
        <v>158</v>
      </c>
      <c r="AV187" s="5" t="s">
        <v>158</v>
      </c>
      <c r="AW187" s="5" t="s">
        <v>158</v>
      </c>
      <c r="BC187" s="107">
        <v>131</v>
      </c>
      <c r="BD187" s="17" t="s">
        <v>158</v>
      </c>
      <c r="BE187" s="17" t="s">
        <v>158</v>
      </c>
      <c r="BF187" s="17" t="s">
        <v>158</v>
      </c>
      <c r="BG187" s="17" t="s">
        <v>158</v>
      </c>
      <c r="BH187" s="17" t="s">
        <v>158</v>
      </c>
      <c r="BI187" s="17" t="s">
        <v>158</v>
      </c>
      <c r="BJ187" s="17" t="s">
        <v>158</v>
      </c>
      <c r="BK187" s="17" t="s">
        <v>158</v>
      </c>
      <c r="BL187" s="17" t="s">
        <v>158</v>
      </c>
      <c r="BM187" s="17" t="s">
        <v>158</v>
      </c>
      <c r="BN187" s="5" t="s">
        <v>158</v>
      </c>
      <c r="BO187" s="5" t="s">
        <v>158</v>
      </c>
      <c r="BP187" s="5" t="s">
        <v>158</v>
      </c>
      <c r="BQ187" s="5" t="s">
        <v>158</v>
      </c>
      <c r="BR187" s="5" t="s">
        <v>158</v>
      </c>
      <c r="BS187" s="5" t="s">
        <v>158</v>
      </c>
      <c r="BT187" s="5" t="s">
        <v>158</v>
      </c>
      <c r="BU187" s="5" t="s">
        <v>158</v>
      </c>
      <c r="BV187" s="5" t="s">
        <v>158</v>
      </c>
      <c r="BW187" s="5" t="s">
        <v>158</v>
      </c>
      <c r="BX187" s="5" t="s">
        <v>158</v>
      </c>
      <c r="BY187" s="5" t="s">
        <v>158</v>
      </c>
      <c r="BZ187" s="5" t="s">
        <v>158</v>
      </c>
      <c r="CA187" s="5" t="s">
        <v>158</v>
      </c>
      <c r="CB187" s="5" t="s">
        <v>158</v>
      </c>
      <c r="CC187" s="5" t="s">
        <v>158</v>
      </c>
      <c r="CD187" s="5" t="s">
        <v>158</v>
      </c>
      <c r="CE187" s="5" t="s">
        <v>158</v>
      </c>
      <c r="CF187" s="5" t="s">
        <v>158</v>
      </c>
      <c r="CG187" s="5" t="s">
        <v>158</v>
      </c>
      <c r="CH187" s="5" t="s">
        <v>158</v>
      </c>
      <c r="CI187" s="17" t="s">
        <v>158</v>
      </c>
      <c r="CJ187" s="17" t="s">
        <v>158</v>
      </c>
      <c r="CK187" s="17" t="s">
        <v>158</v>
      </c>
      <c r="CL187" s="17" t="s">
        <v>158</v>
      </c>
      <c r="CM187" s="17" t="s">
        <v>158</v>
      </c>
      <c r="CN187" s="17" t="s">
        <v>158</v>
      </c>
      <c r="CO187" s="17" t="s">
        <v>158</v>
      </c>
      <c r="CP187" s="17" t="s">
        <v>158</v>
      </c>
      <c r="CQ187" s="17" t="s">
        <v>158</v>
      </c>
      <c r="CR187" s="17" t="s">
        <v>158</v>
      </c>
      <c r="CS187" s="17" t="s">
        <v>158</v>
      </c>
      <c r="CT187" s="17" t="s">
        <v>158</v>
      </c>
      <c r="CU187" s="17" t="s">
        <v>158</v>
      </c>
      <c r="CV187" s="17" t="s">
        <v>158</v>
      </c>
      <c r="CW187" s="17" t="s">
        <v>158</v>
      </c>
      <c r="CX187" s="17" t="s">
        <v>158</v>
      </c>
      <c r="CY187" s="67" t="s">
        <v>158</v>
      </c>
    </row>
    <row r="188" spans="1:103" x14ac:dyDescent="0.2">
      <c r="A188" s="37" t="s">
        <v>112</v>
      </c>
      <c r="B188" s="59" t="s">
        <v>24</v>
      </c>
      <c r="C188" s="25" t="s">
        <v>20</v>
      </c>
      <c r="D188" s="25" t="s">
        <v>125</v>
      </c>
      <c r="F188" s="44"/>
      <c r="G188" s="87">
        <v>40418</v>
      </c>
      <c r="H188" s="41">
        <v>2010</v>
      </c>
      <c r="I188" s="143" t="s">
        <v>3</v>
      </c>
      <c r="J188" s="143" t="s">
        <v>114</v>
      </c>
      <c r="K188" s="136">
        <v>0.36</v>
      </c>
      <c r="L188" s="5" t="s">
        <v>158</v>
      </c>
      <c r="M188" s="42">
        <v>2.2999999999999998</v>
      </c>
      <c r="N188" s="42">
        <v>6.8</v>
      </c>
      <c r="O188" s="42">
        <v>17</v>
      </c>
      <c r="P188" s="42">
        <v>15</v>
      </c>
      <c r="Q188" s="42">
        <v>31</v>
      </c>
      <c r="R188" s="42">
        <v>18</v>
      </c>
      <c r="S188" s="42">
        <v>8.9</v>
      </c>
      <c r="T188" s="5">
        <f t="shared" si="17"/>
        <v>99</v>
      </c>
      <c r="U188" s="17">
        <f t="shared" si="21"/>
        <v>1166.6666666666667</v>
      </c>
      <c r="V188" s="42">
        <v>1.0999999999999999E-2</v>
      </c>
      <c r="W188" s="42">
        <v>0.62</v>
      </c>
      <c r="X188" s="42">
        <v>0.16</v>
      </c>
      <c r="Y188" s="42">
        <v>0.1</v>
      </c>
      <c r="Z188" s="5" t="s">
        <v>158</v>
      </c>
      <c r="AA188" s="42">
        <v>0.04</v>
      </c>
      <c r="AB188" s="42">
        <v>2.5999999999999999E-2</v>
      </c>
      <c r="AC188" s="30" t="s">
        <v>158</v>
      </c>
      <c r="AD188" s="5" t="s">
        <v>158</v>
      </c>
      <c r="AE188" s="17">
        <f t="shared" si="18"/>
        <v>0.95700000000000007</v>
      </c>
      <c r="AF188" s="42" t="s">
        <v>46</v>
      </c>
      <c r="AG188" s="18" t="s">
        <v>158</v>
      </c>
      <c r="AH188" s="31">
        <f t="shared" si="16"/>
        <v>33.191489361702125</v>
      </c>
      <c r="AI188" s="17" t="s">
        <v>158</v>
      </c>
      <c r="AJ188" s="17" t="s">
        <v>158</v>
      </c>
      <c r="AK188" s="17" t="s">
        <v>158</v>
      </c>
      <c r="AL188" s="17" t="s">
        <v>158</v>
      </c>
      <c r="AM188" s="17" t="s">
        <v>158</v>
      </c>
      <c r="AN188" s="17" t="s">
        <v>158</v>
      </c>
      <c r="AO188" s="17" t="s">
        <v>158</v>
      </c>
      <c r="AP188" s="17" t="s">
        <v>158</v>
      </c>
      <c r="AQ188" s="17" t="s">
        <v>158</v>
      </c>
      <c r="AR188" s="17" t="s">
        <v>158</v>
      </c>
      <c r="AS188" s="5" t="s">
        <v>158</v>
      </c>
      <c r="AT188" s="5" t="s">
        <v>158</v>
      </c>
      <c r="AU188" s="5" t="s">
        <v>158</v>
      </c>
      <c r="AV188" s="5" t="s">
        <v>158</v>
      </c>
      <c r="AW188" s="5" t="s">
        <v>158</v>
      </c>
      <c r="BC188" s="107">
        <v>624</v>
      </c>
      <c r="BD188" s="17" t="s">
        <v>158</v>
      </c>
      <c r="BE188" s="17" t="s">
        <v>158</v>
      </c>
      <c r="BF188" s="17" t="s">
        <v>158</v>
      </c>
      <c r="BG188" s="17" t="s">
        <v>158</v>
      </c>
      <c r="BH188" s="17" t="s">
        <v>158</v>
      </c>
      <c r="BI188" s="17" t="s">
        <v>158</v>
      </c>
      <c r="BJ188" s="17" t="s">
        <v>158</v>
      </c>
      <c r="BK188" s="17" t="s">
        <v>158</v>
      </c>
      <c r="BL188" s="17" t="s">
        <v>158</v>
      </c>
      <c r="BM188" s="17" t="s">
        <v>158</v>
      </c>
      <c r="BN188" s="5" t="s">
        <v>158</v>
      </c>
      <c r="BO188" s="5" t="s">
        <v>158</v>
      </c>
      <c r="BP188" s="5" t="s">
        <v>158</v>
      </c>
      <c r="BQ188" s="5" t="s">
        <v>158</v>
      </c>
      <c r="BR188" s="5" t="s">
        <v>158</v>
      </c>
      <c r="BS188" s="5" t="s">
        <v>158</v>
      </c>
      <c r="BT188" s="5" t="s">
        <v>158</v>
      </c>
      <c r="BU188" s="5" t="s">
        <v>158</v>
      </c>
      <c r="BV188" s="5" t="s">
        <v>158</v>
      </c>
      <c r="BW188" s="5" t="s">
        <v>158</v>
      </c>
      <c r="BX188" s="5" t="s">
        <v>158</v>
      </c>
      <c r="BY188" s="5" t="s">
        <v>158</v>
      </c>
      <c r="BZ188" s="5" t="s">
        <v>158</v>
      </c>
      <c r="CA188" s="5" t="s">
        <v>158</v>
      </c>
      <c r="CB188" s="5" t="s">
        <v>158</v>
      </c>
      <c r="CC188" s="5" t="s">
        <v>158</v>
      </c>
      <c r="CD188" s="5" t="s">
        <v>158</v>
      </c>
      <c r="CE188" s="5" t="s">
        <v>158</v>
      </c>
      <c r="CF188" s="5" t="s">
        <v>158</v>
      </c>
      <c r="CG188" s="5" t="s">
        <v>158</v>
      </c>
      <c r="CH188" s="5" t="s">
        <v>158</v>
      </c>
      <c r="CI188" s="17" t="s">
        <v>158</v>
      </c>
      <c r="CJ188" s="17" t="s">
        <v>158</v>
      </c>
      <c r="CK188" s="17" t="s">
        <v>158</v>
      </c>
      <c r="CL188" s="17" t="s">
        <v>158</v>
      </c>
      <c r="CM188" s="17" t="s">
        <v>158</v>
      </c>
      <c r="CN188" s="17" t="s">
        <v>158</v>
      </c>
      <c r="CO188" s="17" t="s">
        <v>158</v>
      </c>
      <c r="CP188" s="17" t="s">
        <v>158</v>
      </c>
      <c r="CQ188" s="17" t="s">
        <v>158</v>
      </c>
      <c r="CR188" s="17" t="s">
        <v>158</v>
      </c>
      <c r="CS188" s="17" t="s">
        <v>158</v>
      </c>
      <c r="CT188" s="17" t="s">
        <v>158</v>
      </c>
      <c r="CU188" s="17" t="s">
        <v>158</v>
      </c>
      <c r="CV188" s="17" t="s">
        <v>158</v>
      </c>
      <c r="CW188" s="17" t="s">
        <v>158</v>
      </c>
      <c r="CX188" s="17" t="s">
        <v>158</v>
      </c>
      <c r="CY188" s="67" t="s">
        <v>158</v>
      </c>
    </row>
    <row r="189" spans="1:103" x14ac:dyDescent="0.2">
      <c r="A189" s="37" t="s">
        <v>112</v>
      </c>
      <c r="B189" s="59" t="s">
        <v>24</v>
      </c>
      <c r="C189" s="25" t="s">
        <v>20</v>
      </c>
      <c r="D189" s="25" t="s">
        <v>125</v>
      </c>
      <c r="F189" s="44"/>
      <c r="G189" s="87">
        <v>40418</v>
      </c>
      <c r="H189" s="41">
        <v>2010</v>
      </c>
      <c r="I189" s="143" t="s">
        <v>3</v>
      </c>
      <c r="J189" s="143" t="s">
        <v>114</v>
      </c>
      <c r="K189" s="136">
        <v>0.38</v>
      </c>
      <c r="L189" s="5" t="s">
        <v>158</v>
      </c>
      <c r="M189" s="42">
        <v>1.7</v>
      </c>
      <c r="N189" s="42">
        <v>7.3</v>
      </c>
      <c r="O189" s="42">
        <v>13</v>
      </c>
      <c r="P189" s="42">
        <v>8.5</v>
      </c>
      <c r="Q189" s="42">
        <v>16</v>
      </c>
      <c r="R189" s="42">
        <v>11</v>
      </c>
      <c r="S189" s="42">
        <v>3.1</v>
      </c>
      <c r="T189" s="5">
        <f t="shared" si="17"/>
        <v>60.6</v>
      </c>
      <c r="U189" s="17">
        <f t="shared" si="21"/>
        <v>685.52631578947364</v>
      </c>
      <c r="V189" s="42">
        <v>1.2E-2</v>
      </c>
      <c r="W189" s="42">
        <v>0.37</v>
      </c>
      <c r="X189" s="42">
        <v>7.1999999999999995E-2</v>
      </c>
      <c r="Y189" s="42">
        <v>6.3E-2</v>
      </c>
      <c r="Z189" s="5" t="s">
        <v>158</v>
      </c>
      <c r="AA189" s="42">
        <v>1.6E-2</v>
      </c>
      <c r="AB189" s="42">
        <v>7.6E-3</v>
      </c>
      <c r="AC189" s="30" t="s">
        <v>158</v>
      </c>
      <c r="AD189" s="5" t="s">
        <v>158</v>
      </c>
      <c r="AE189" s="17">
        <f t="shared" si="18"/>
        <v>0.54060000000000008</v>
      </c>
      <c r="AF189" s="42" t="s">
        <v>46</v>
      </c>
      <c r="AG189" s="18" t="s">
        <v>158</v>
      </c>
      <c r="AH189" s="31">
        <f t="shared" si="16"/>
        <v>18.191489361702128</v>
      </c>
      <c r="AI189" s="17" t="s">
        <v>158</v>
      </c>
      <c r="AJ189" s="17" t="s">
        <v>158</v>
      </c>
      <c r="AK189" s="17" t="s">
        <v>158</v>
      </c>
      <c r="AL189" s="17" t="s">
        <v>158</v>
      </c>
      <c r="AM189" s="17" t="s">
        <v>158</v>
      </c>
      <c r="AN189" s="17" t="s">
        <v>158</v>
      </c>
      <c r="AO189" s="17" t="s">
        <v>158</v>
      </c>
      <c r="AP189" s="17" t="s">
        <v>158</v>
      </c>
      <c r="AQ189" s="17" t="s">
        <v>158</v>
      </c>
      <c r="AR189" s="17" t="s">
        <v>158</v>
      </c>
      <c r="AS189" s="5" t="s">
        <v>158</v>
      </c>
      <c r="AT189" s="5" t="s">
        <v>158</v>
      </c>
      <c r="AU189" s="5" t="s">
        <v>158</v>
      </c>
      <c r="AV189" s="5" t="s">
        <v>158</v>
      </c>
      <c r="AW189" s="5" t="s">
        <v>158</v>
      </c>
      <c r="BC189" s="107">
        <v>342</v>
      </c>
      <c r="BD189" s="17" t="s">
        <v>158</v>
      </c>
      <c r="BE189" s="17" t="s">
        <v>158</v>
      </c>
      <c r="BF189" s="17" t="s">
        <v>158</v>
      </c>
      <c r="BG189" s="17" t="s">
        <v>158</v>
      </c>
      <c r="BH189" s="17" t="s">
        <v>158</v>
      </c>
      <c r="BI189" s="17" t="s">
        <v>158</v>
      </c>
      <c r="BJ189" s="17" t="s">
        <v>158</v>
      </c>
      <c r="BK189" s="17" t="s">
        <v>158</v>
      </c>
      <c r="BL189" s="17" t="s">
        <v>158</v>
      </c>
      <c r="BM189" s="17" t="s">
        <v>158</v>
      </c>
      <c r="BN189" s="5" t="s">
        <v>158</v>
      </c>
      <c r="BO189" s="5" t="s">
        <v>158</v>
      </c>
      <c r="BP189" s="5" t="s">
        <v>158</v>
      </c>
      <c r="BQ189" s="5" t="s">
        <v>158</v>
      </c>
      <c r="BR189" s="5" t="s">
        <v>158</v>
      </c>
      <c r="BS189" s="5" t="s">
        <v>158</v>
      </c>
      <c r="BT189" s="5" t="s">
        <v>158</v>
      </c>
      <c r="BU189" s="5" t="s">
        <v>158</v>
      </c>
      <c r="BV189" s="5" t="s">
        <v>158</v>
      </c>
      <c r="BW189" s="5" t="s">
        <v>158</v>
      </c>
      <c r="BX189" s="5" t="s">
        <v>158</v>
      </c>
      <c r="BY189" s="5" t="s">
        <v>158</v>
      </c>
      <c r="BZ189" s="5" t="s">
        <v>158</v>
      </c>
      <c r="CA189" s="5" t="s">
        <v>158</v>
      </c>
      <c r="CB189" s="5" t="s">
        <v>158</v>
      </c>
      <c r="CC189" s="5" t="s">
        <v>158</v>
      </c>
      <c r="CD189" s="5" t="s">
        <v>158</v>
      </c>
      <c r="CE189" s="5" t="s">
        <v>158</v>
      </c>
      <c r="CF189" s="5" t="s">
        <v>158</v>
      </c>
      <c r="CG189" s="5" t="s">
        <v>158</v>
      </c>
      <c r="CH189" s="5" t="s">
        <v>158</v>
      </c>
      <c r="CI189" s="17" t="s">
        <v>158</v>
      </c>
      <c r="CJ189" s="17" t="s">
        <v>158</v>
      </c>
      <c r="CK189" s="17" t="s">
        <v>158</v>
      </c>
      <c r="CL189" s="17" t="s">
        <v>158</v>
      </c>
      <c r="CM189" s="17" t="s">
        <v>158</v>
      </c>
      <c r="CN189" s="17" t="s">
        <v>158</v>
      </c>
      <c r="CO189" s="17" t="s">
        <v>158</v>
      </c>
      <c r="CP189" s="17" t="s">
        <v>158</v>
      </c>
      <c r="CQ189" s="17" t="s">
        <v>158</v>
      </c>
      <c r="CR189" s="17" t="s">
        <v>158</v>
      </c>
      <c r="CS189" s="17" t="s">
        <v>158</v>
      </c>
      <c r="CT189" s="17" t="s">
        <v>158</v>
      </c>
      <c r="CU189" s="17" t="s">
        <v>158</v>
      </c>
      <c r="CV189" s="17" t="s">
        <v>158</v>
      </c>
      <c r="CW189" s="17" t="s">
        <v>158</v>
      </c>
      <c r="CX189" s="17" t="s">
        <v>158</v>
      </c>
      <c r="CY189" s="67" t="s">
        <v>158</v>
      </c>
    </row>
    <row r="190" spans="1:103" x14ac:dyDescent="0.2">
      <c r="A190" s="37" t="s">
        <v>112</v>
      </c>
      <c r="B190" s="59" t="s">
        <v>24</v>
      </c>
      <c r="C190" s="25" t="s">
        <v>20</v>
      </c>
      <c r="D190" s="25" t="s">
        <v>125</v>
      </c>
      <c r="F190" s="40"/>
      <c r="G190" s="87">
        <v>40418</v>
      </c>
      <c r="H190" s="41">
        <v>2010</v>
      </c>
      <c r="I190" s="143" t="s">
        <v>3</v>
      </c>
      <c r="J190" s="143" t="s">
        <v>114</v>
      </c>
      <c r="K190" s="136">
        <v>0.3</v>
      </c>
      <c r="L190" s="5" t="s">
        <v>158</v>
      </c>
      <c r="M190" s="42">
        <v>2.2999999999999998</v>
      </c>
      <c r="N190" s="42">
        <v>6.7</v>
      </c>
      <c r="O190" s="42">
        <v>16</v>
      </c>
      <c r="P190" s="42">
        <v>14</v>
      </c>
      <c r="Q190" s="42">
        <v>29</v>
      </c>
      <c r="R190" s="42">
        <v>22</v>
      </c>
      <c r="S190" s="42">
        <v>6.4</v>
      </c>
      <c r="T190" s="5">
        <f t="shared" si="17"/>
        <v>96.4</v>
      </c>
      <c r="U190" s="17">
        <f>SUM(M190,N190,O190,Q190,R190,S190)*(5/K190)</f>
        <v>1373.3333333333335</v>
      </c>
      <c r="V190" s="42">
        <v>8.8000000000000005E-3</v>
      </c>
      <c r="W190" s="42">
        <v>0.56999999999999995</v>
      </c>
      <c r="X190" s="42">
        <v>0.14000000000000001</v>
      </c>
      <c r="Y190" s="42">
        <v>0.19</v>
      </c>
      <c r="Z190" s="5" t="s">
        <v>158</v>
      </c>
      <c r="AA190" s="42">
        <v>2.3E-2</v>
      </c>
      <c r="AB190" s="42">
        <v>1.7999999999999999E-2</v>
      </c>
      <c r="AC190" s="30" t="s">
        <v>158</v>
      </c>
      <c r="AD190" s="5" t="s">
        <v>158</v>
      </c>
      <c r="AE190" s="17">
        <f t="shared" si="18"/>
        <v>0.94979999999999998</v>
      </c>
      <c r="AF190" s="42" t="s">
        <v>46</v>
      </c>
      <c r="AG190" s="18" t="s">
        <v>158</v>
      </c>
      <c r="AH190" s="31">
        <f t="shared" si="16"/>
        <v>39.521276595744681</v>
      </c>
      <c r="AI190" s="17" t="s">
        <v>158</v>
      </c>
      <c r="AJ190" s="17" t="s">
        <v>158</v>
      </c>
      <c r="AK190" s="17" t="s">
        <v>158</v>
      </c>
      <c r="AL190" s="17" t="s">
        <v>158</v>
      </c>
      <c r="AM190" s="17" t="s">
        <v>158</v>
      </c>
      <c r="AN190" s="17" t="s">
        <v>158</v>
      </c>
      <c r="AO190" s="17" t="s">
        <v>158</v>
      </c>
      <c r="AP190" s="17" t="s">
        <v>158</v>
      </c>
      <c r="AQ190" s="17" t="s">
        <v>158</v>
      </c>
      <c r="AR190" s="17" t="s">
        <v>158</v>
      </c>
      <c r="AS190" s="5" t="s">
        <v>158</v>
      </c>
      <c r="AT190" s="5" t="s">
        <v>158</v>
      </c>
      <c r="AU190" s="5" t="s">
        <v>158</v>
      </c>
      <c r="AV190" s="5" t="s">
        <v>158</v>
      </c>
      <c r="AW190" s="5" t="s">
        <v>158</v>
      </c>
      <c r="BC190" s="107">
        <v>743</v>
      </c>
      <c r="BD190" s="17" t="s">
        <v>158</v>
      </c>
      <c r="BE190" s="17" t="s">
        <v>158</v>
      </c>
      <c r="BF190" s="17" t="s">
        <v>158</v>
      </c>
      <c r="BG190" s="17" t="s">
        <v>158</v>
      </c>
      <c r="BH190" s="17" t="s">
        <v>158</v>
      </c>
      <c r="BI190" s="17" t="s">
        <v>158</v>
      </c>
      <c r="BJ190" s="17" t="s">
        <v>158</v>
      </c>
      <c r="BK190" s="17" t="s">
        <v>158</v>
      </c>
      <c r="BL190" s="17" t="s">
        <v>158</v>
      </c>
      <c r="BM190" s="17" t="s">
        <v>158</v>
      </c>
      <c r="BN190" s="5" t="s">
        <v>158</v>
      </c>
      <c r="BO190" s="5" t="s">
        <v>158</v>
      </c>
      <c r="BP190" s="5" t="s">
        <v>158</v>
      </c>
      <c r="BQ190" s="5" t="s">
        <v>158</v>
      </c>
      <c r="BR190" s="5" t="s">
        <v>158</v>
      </c>
      <c r="BS190" s="5" t="s">
        <v>158</v>
      </c>
      <c r="BT190" s="5" t="s">
        <v>158</v>
      </c>
      <c r="BU190" s="5" t="s">
        <v>158</v>
      </c>
      <c r="BV190" s="5" t="s">
        <v>158</v>
      </c>
      <c r="BW190" s="5" t="s">
        <v>158</v>
      </c>
      <c r="BX190" s="5" t="s">
        <v>158</v>
      </c>
      <c r="BY190" s="5" t="s">
        <v>158</v>
      </c>
      <c r="BZ190" s="5" t="s">
        <v>158</v>
      </c>
      <c r="CA190" s="5" t="s">
        <v>158</v>
      </c>
      <c r="CB190" s="5" t="s">
        <v>158</v>
      </c>
      <c r="CC190" s="5" t="s">
        <v>158</v>
      </c>
      <c r="CD190" s="5" t="s">
        <v>158</v>
      </c>
      <c r="CE190" s="5" t="s">
        <v>158</v>
      </c>
      <c r="CF190" s="5" t="s">
        <v>158</v>
      </c>
      <c r="CG190" s="5" t="s">
        <v>158</v>
      </c>
      <c r="CH190" s="5" t="s">
        <v>158</v>
      </c>
      <c r="CI190" s="17" t="s">
        <v>158</v>
      </c>
      <c r="CJ190" s="17" t="s">
        <v>158</v>
      </c>
      <c r="CK190" s="17" t="s">
        <v>158</v>
      </c>
      <c r="CL190" s="17" t="s">
        <v>158</v>
      </c>
      <c r="CM190" s="17" t="s">
        <v>158</v>
      </c>
      <c r="CN190" s="17" t="s">
        <v>158</v>
      </c>
      <c r="CO190" s="17" t="s">
        <v>158</v>
      </c>
      <c r="CP190" s="17" t="s">
        <v>158</v>
      </c>
      <c r="CQ190" s="17" t="s">
        <v>158</v>
      </c>
      <c r="CR190" s="17" t="s">
        <v>158</v>
      </c>
      <c r="CS190" s="17" t="s">
        <v>158</v>
      </c>
      <c r="CT190" s="17" t="s">
        <v>158</v>
      </c>
      <c r="CU190" s="17" t="s">
        <v>158</v>
      </c>
      <c r="CV190" s="17" t="s">
        <v>158</v>
      </c>
      <c r="CW190" s="17" t="s">
        <v>158</v>
      </c>
      <c r="CX190" s="17" t="s">
        <v>158</v>
      </c>
      <c r="CY190" s="67" t="s">
        <v>158</v>
      </c>
    </row>
    <row r="191" spans="1:103" x14ac:dyDescent="0.2">
      <c r="A191" s="37" t="s">
        <v>112</v>
      </c>
      <c r="B191" s="59" t="s">
        <v>24</v>
      </c>
      <c r="C191" s="25" t="s">
        <v>20</v>
      </c>
      <c r="D191" s="25" t="s">
        <v>125</v>
      </c>
      <c r="F191" s="44"/>
      <c r="G191" s="87">
        <v>40418</v>
      </c>
      <c r="H191" s="41">
        <v>2010</v>
      </c>
      <c r="I191" s="143" t="s">
        <v>3</v>
      </c>
      <c r="J191" s="143" t="s">
        <v>114</v>
      </c>
      <c r="K191" s="136">
        <v>0.38</v>
      </c>
      <c r="L191" s="5" t="s">
        <v>158</v>
      </c>
      <c r="M191" s="42">
        <v>2.2000000000000002</v>
      </c>
      <c r="N191" s="42">
        <v>7.2</v>
      </c>
      <c r="O191" s="42">
        <v>14</v>
      </c>
      <c r="P191" s="42">
        <v>11</v>
      </c>
      <c r="Q191" s="42">
        <v>16</v>
      </c>
      <c r="R191" s="42">
        <v>12</v>
      </c>
      <c r="S191" s="42">
        <v>4.5</v>
      </c>
      <c r="T191" s="5">
        <f t="shared" si="17"/>
        <v>66.900000000000006</v>
      </c>
      <c r="U191" s="17">
        <f t="shared" si="21"/>
        <v>735.52631578947364</v>
      </c>
      <c r="V191" s="42">
        <v>7.4999999999999997E-3</v>
      </c>
      <c r="W191" s="42">
        <v>0.39</v>
      </c>
      <c r="X191" s="42">
        <v>0.1</v>
      </c>
      <c r="Y191" s="42">
        <v>0.17</v>
      </c>
      <c r="Z191" s="5" t="s">
        <v>158</v>
      </c>
      <c r="AA191" s="42">
        <v>0.03</v>
      </c>
      <c r="AB191" s="42">
        <v>1.6E-2</v>
      </c>
      <c r="AC191" s="30" t="s">
        <v>158</v>
      </c>
      <c r="AD191" s="5" t="s">
        <v>158</v>
      </c>
      <c r="AE191" s="17">
        <f t="shared" si="18"/>
        <v>0.71350000000000002</v>
      </c>
      <c r="AF191" s="42">
        <v>0.79</v>
      </c>
      <c r="AG191" s="18" t="s">
        <v>158</v>
      </c>
      <c r="AH191" s="31">
        <f t="shared" si="16"/>
        <v>12.712765957446807</v>
      </c>
      <c r="AI191" s="17" t="s">
        <v>158</v>
      </c>
      <c r="AJ191" s="17" t="s">
        <v>158</v>
      </c>
      <c r="AK191" s="17" t="s">
        <v>158</v>
      </c>
      <c r="AL191" s="17" t="s">
        <v>158</v>
      </c>
      <c r="AM191" s="17" t="s">
        <v>158</v>
      </c>
      <c r="AN191" s="17" t="s">
        <v>158</v>
      </c>
      <c r="AO191" s="17" t="s">
        <v>158</v>
      </c>
      <c r="AP191" s="17" t="s">
        <v>158</v>
      </c>
      <c r="AQ191" s="17" t="s">
        <v>158</v>
      </c>
      <c r="AR191" s="17" t="s">
        <v>158</v>
      </c>
      <c r="AS191" s="5" t="s">
        <v>158</v>
      </c>
      <c r="AT191" s="5" t="s">
        <v>158</v>
      </c>
      <c r="AU191" s="5" t="s">
        <v>158</v>
      </c>
      <c r="AV191" s="5" t="s">
        <v>158</v>
      </c>
      <c r="AW191" s="5" t="s">
        <v>158</v>
      </c>
      <c r="BC191" s="107">
        <v>239</v>
      </c>
      <c r="BD191" s="17" t="s">
        <v>158</v>
      </c>
      <c r="BE191" s="17" t="s">
        <v>158</v>
      </c>
      <c r="BF191" s="17" t="s">
        <v>158</v>
      </c>
      <c r="BG191" s="17" t="s">
        <v>158</v>
      </c>
      <c r="BH191" s="17" t="s">
        <v>158</v>
      </c>
      <c r="BI191" s="17" t="s">
        <v>158</v>
      </c>
      <c r="BJ191" s="17" t="s">
        <v>158</v>
      </c>
      <c r="BK191" s="17" t="s">
        <v>158</v>
      </c>
      <c r="BL191" s="17" t="s">
        <v>158</v>
      </c>
      <c r="BM191" s="17" t="s">
        <v>158</v>
      </c>
      <c r="BN191" s="5" t="s">
        <v>158</v>
      </c>
      <c r="BO191" s="5" t="s">
        <v>158</v>
      </c>
      <c r="BP191" s="5" t="s">
        <v>158</v>
      </c>
      <c r="BQ191" s="5" t="s">
        <v>158</v>
      </c>
      <c r="BR191" s="5" t="s">
        <v>158</v>
      </c>
      <c r="BS191" s="5" t="s">
        <v>158</v>
      </c>
      <c r="BT191" s="5" t="s">
        <v>158</v>
      </c>
      <c r="BU191" s="5" t="s">
        <v>158</v>
      </c>
      <c r="BV191" s="5" t="s">
        <v>158</v>
      </c>
      <c r="BW191" s="5" t="s">
        <v>158</v>
      </c>
      <c r="BX191" s="5" t="s">
        <v>158</v>
      </c>
      <c r="BY191" s="5" t="s">
        <v>158</v>
      </c>
      <c r="BZ191" s="5" t="s">
        <v>158</v>
      </c>
      <c r="CA191" s="5" t="s">
        <v>158</v>
      </c>
      <c r="CB191" s="5" t="s">
        <v>158</v>
      </c>
      <c r="CC191" s="5" t="s">
        <v>158</v>
      </c>
      <c r="CD191" s="5" t="s">
        <v>158</v>
      </c>
      <c r="CE191" s="5" t="s">
        <v>158</v>
      </c>
      <c r="CF191" s="5" t="s">
        <v>158</v>
      </c>
      <c r="CG191" s="5" t="s">
        <v>158</v>
      </c>
      <c r="CH191" s="5" t="s">
        <v>158</v>
      </c>
      <c r="CI191" s="17" t="s">
        <v>158</v>
      </c>
      <c r="CJ191" s="17" t="s">
        <v>158</v>
      </c>
      <c r="CK191" s="17" t="s">
        <v>158</v>
      </c>
      <c r="CL191" s="17" t="s">
        <v>158</v>
      </c>
      <c r="CM191" s="17" t="s">
        <v>158</v>
      </c>
      <c r="CN191" s="17" t="s">
        <v>158</v>
      </c>
      <c r="CO191" s="17" t="s">
        <v>158</v>
      </c>
      <c r="CP191" s="17" t="s">
        <v>158</v>
      </c>
      <c r="CQ191" s="17" t="s">
        <v>158</v>
      </c>
      <c r="CR191" s="17" t="s">
        <v>158</v>
      </c>
      <c r="CS191" s="17" t="s">
        <v>158</v>
      </c>
      <c r="CT191" s="17" t="s">
        <v>158</v>
      </c>
      <c r="CU191" s="17" t="s">
        <v>158</v>
      </c>
      <c r="CV191" s="17" t="s">
        <v>158</v>
      </c>
      <c r="CW191" s="17" t="s">
        <v>158</v>
      </c>
      <c r="CX191" s="17" t="s">
        <v>158</v>
      </c>
      <c r="CY191" s="67" t="s">
        <v>158</v>
      </c>
    </row>
    <row r="192" spans="1:103" ht="15" thickBot="1" x14ac:dyDescent="0.25">
      <c r="A192" s="46" t="s">
        <v>112</v>
      </c>
      <c r="B192" s="60" t="s">
        <v>24</v>
      </c>
      <c r="C192" s="47" t="s">
        <v>20</v>
      </c>
      <c r="D192" s="47" t="s">
        <v>125</v>
      </c>
      <c r="E192" s="19"/>
      <c r="F192" s="48"/>
      <c r="G192" s="88">
        <v>40418</v>
      </c>
      <c r="H192" s="49">
        <v>2010</v>
      </c>
      <c r="I192" s="144" t="s">
        <v>3</v>
      </c>
      <c r="J192" s="144" t="s">
        <v>114</v>
      </c>
      <c r="K192" s="137">
        <v>0.72</v>
      </c>
      <c r="L192" s="20" t="s">
        <v>158</v>
      </c>
      <c r="M192" s="50">
        <v>6.6</v>
      </c>
      <c r="N192" s="50">
        <v>13</v>
      </c>
      <c r="O192" s="50">
        <v>28</v>
      </c>
      <c r="P192" s="50">
        <v>32</v>
      </c>
      <c r="Q192" s="50">
        <v>56</v>
      </c>
      <c r="R192" s="50">
        <v>45</v>
      </c>
      <c r="S192" s="50">
        <v>14</v>
      </c>
      <c r="T192" s="20">
        <f t="shared" si="17"/>
        <v>194.6</v>
      </c>
      <c r="U192" s="22">
        <f t="shared" si="21"/>
        <v>1129.1666666666667</v>
      </c>
      <c r="V192" s="50">
        <v>1.2999999999999999E-2</v>
      </c>
      <c r="W192" s="50">
        <v>1.3</v>
      </c>
      <c r="X192" s="50">
        <v>0.4</v>
      </c>
      <c r="Y192" s="50">
        <v>0.25</v>
      </c>
      <c r="Z192" s="20" t="s">
        <v>158</v>
      </c>
      <c r="AA192" s="50">
        <v>0.05</v>
      </c>
      <c r="AB192" s="50">
        <v>3.2000000000000001E-2</v>
      </c>
      <c r="AC192" s="51" t="s">
        <v>158</v>
      </c>
      <c r="AD192" s="20" t="s">
        <v>158</v>
      </c>
      <c r="AE192" s="22">
        <f t="shared" si="18"/>
        <v>2.0449999999999999</v>
      </c>
      <c r="AF192" s="50">
        <v>0.79</v>
      </c>
      <c r="AG192" s="21" t="s">
        <v>158</v>
      </c>
      <c r="AH192" s="89">
        <f t="shared" si="16"/>
        <v>8.4574468085106371</v>
      </c>
      <c r="AI192" s="22" t="s">
        <v>158</v>
      </c>
      <c r="AJ192" s="22" t="s">
        <v>158</v>
      </c>
      <c r="AK192" s="22" t="s">
        <v>158</v>
      </c>
      <c r="AL192" s="22" t="s">
        <v>158</v>
      </c>
      <c r="AM192" s="22" t="s">
        <v>158</v>
      </c>
      <c r="AN192" s="22" t="s">
        <v>158</v>
      </c>
      <c r="AO192" s="22" t="s">
        <v>158</v>
      </c>
      <c r="AP192" s="22" t="s">
        <v>158</v>
      </c>
      <c r="AQ192" s="22" t="s">
        <v>158</v>
      </c>
      <c r="AR192" s="22" t="s">
        <v>158</v>
      </c>
      <c r="AS192" s="20" t="s">
        <v>158</v>
      </c>
      <c r="AT192" s="20" t="s">
        <v>158</v>
      </c>
      <c r="AU192" s="20" t="s">
        <v>158</v>
      </c>
      <c r="AV192" s="20" t="s">
        <v>158</v>
      </c>
      <c r="AW192" s="20" t="s">
        <v>158</v>
      </c>
      <c r="AX192" s="20"/>
      <c r="AY192" s="20"/>
      <c r="AZ192" s="20"/>
      <c r="BA192" s="20"/>
      <c r="BB192" s="20"/>
      <c r="BC192" s="108">
        <v>159</v>
      </c>
      <c r="BD192" s="22" t="s">
        <v>158</v>
      </c>
      <c r="BE192" s="22" t="s">
        <v>158</v>
      </c>
      <c r="BF192" s="22" t="s">
        <v>158</v>
      </c>
      <c r="BG192" s="22" t="s">
        <v>158</v>
      </c>
      <c r="BH192" s="22" t="s">
        <v>158</v>
      </c>
      <c r="BI192" s="22" t="s">
        <v>158</v>
      </c>
      <c r="BJ192" s="22" t="s">
        <v>158</v>
      </c>
      <c r="BK192" s="22" t="s">
        <v>158</v>
      </c>
      <c r="BL192" s="22" t="s">
        <v>158</v>
      </c>
      <c r="BM192" s="22" t="s">
        <v>158</v>
      </c>
      <c r="BN192" s="20" t="s">
        <v>158</v>
      </c>
      <c r="BO192" s="20" t="s">
        <v>158</v>
      </c>
      <c r="BP192" s="20" t="s">
        <v>158</v>
      </c>
      <c r="BQ192" s="20" t="s">
        <v>158</v>
      </c>
      <c r="BR192" s="20" t="s">
        <v>158</v>
      </c>
      <c r="BS192" s="20" t="s">
        <v>158</v>
      </c>
      <c r="BT192" s="20" t="s">
        <v>158</v>
      </c>
      <c r="BU192" s="20" t="s">
        <v>158</v>
      </c>
      <c r="BV192" s="20" t="s">
        <v>158</v>
      </c>
      <c r="BW192" s="20" t="s">
        <v>158</v>
      </c>
      <c r="BX192" s="20" t="s">
        <v>158</v>
      </c>
      <c r="BY192" s="20" t="s">
        <v>158</v>
      </c>
      <c r="BZ192" s="20" t="s">
        <v>158</v>
      </c>
      <c r="CA192" s="20" t="s">
        <v>158</v>
      </c>
      <c r="CB192" s="20" t="s">
        <v>158</v>
      </c>
      <c r="CC192" s="20" t="s">
        <v>158</v>
      </c>
      <c r="CD192" s="20" t="s">
        <v>158</v>
      </c>
      <c r="CE192" s="20" t="s">
        <v>158</v>
      </c>
      <c r="CF192" s="20" t="s">
        <v>158</v>
      </c>
      <c r="CG192" s="20" t="s">
        <v>158</v>
      </c>
      <c r="CH192" s="20" t="s">
        <v>158</v>
      </c>
      <c r="CI192" s="22" t="s">
        <v>158</v>
      </c>
      <c r="CJ192" s="22" t="s">
        <v>158</v>
      </c>
      <c r="CK192" s="22" t="s">
        <v>158</v>
      </c>
      <c r="CL192" s="22" t="s">
        <v>158</v>
      </c>
      <c r="CM192" s="22" t="s">
        <v>158</v>
      </c>
      <c r="CN192" s="22" t="s">
        <v>158</v>
      </c>
      <c r="CO192" s="22" t="s">
        <v>158</v>
      </c>
      <c r="CP192" s="22" t="s">
        <v>158</v>
      </c>
      <c r="CQ192" s="22" t="s">
        <v>158</v>
      </c>
      <c r="CR192" s="22" t="s">
        <v>158</v>
      </c>
      <c r="CS192" s="22" t="s">
        <v>158</v>
      </c>
      <c r="CT192" s="22" t="s">
        <v>158</v>
      </c>
      <c r="CU192" s="22" t="s">
        <v>158</v>
      </c>
      <c r="CV192" s="22" t="s">
        <v>158</v>
      </c>
      <c r="CW192" s="22" t="s">
        <v>158</v>
      </c>
      <c r="CX192" s="22" t="s">
        <v>158</v>
      </c>
      <c r="CY192" s="70" t="s">
        <v>158</v>
      </c>
    </row>
    <row r="193" spans="2:104" x14ac:dyDescent="0.2">
      <c r="B193" s="52"/>
      <c r="C193" s="52"/>
      <c r="D193" s="52"/>
      <c r="E193" s="53"/>
      <c r="F193" s="43"/>
      <c r="G193" s="54"/>
      <c r="H193" s="42"/>
      <c r="I193" s="145"/>
      <c r="J193" s="145"/>
      <c r="K193" s="141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D193" s="42"/>
      <c r="AE193" s="5"/>
      <c r="AF193" s="42"/>
      <c r="AH193" s="43"/>
      <c r="AI193" s="17"/>
      <c r="AJ193" s="17"/>
      <c r="AL193" s="42"/>
      <c r="AM193" s="42"/>
      <c r="AP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67"/>
    </row>
    <row r="194" spans="2:104" x14ac:dyDescent="0.2">
      <c r="B194" s="52"/>
      <c r="C194" s="52"/>
      <c r="D194" s="52"/>
      <c r="E194" s="53"/>
      <c r="F194" s="43"/>
      <c r="G194" s="54"/>
      <c r="H194" s="42"/>
      <c r="I194" s="145"/>
      <c r="J194" s="145"/>
      <c r="K194" s="141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D194" s="42"/>
      <c r="AE194" s="5"/>
      <c r="AF194" s="42"/>
      <c r="AH194" s="43"/>
      <c r="AI194" s="17"/>
      <c r="AJ194" s="17"/>
      <c r="AL194" s="42"/>
      <c r="AM194" s="42"/>
      <c r="AP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N194" s="5"/>
      <c r="BY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67"/>
    </row>
    <row r="195" spans="2:104" x14ac:dyDescent="0.2">
      <c r="B195" s="59"/>
      <c r="C195" s="59"/>
      <c r="D195" s="59"/>
      <c r="E195" s="109"/>
      <c r="F195" s="40"/>
      <c r="G195" s="54"/>
      <c r="H195" s="41"/>
      <c r="I195" s="146"/>
      <c r="J195" s="146"/>
      <c r="K195" s="141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D195" s="42"/>
      <c r="AE195" s="5"/>
      <c r="AF195" s="42"/>
      <c r="AH195" s="43"/>
      <c r="AI195" s="17"/>
      <c r="AJ195" s="17"/>
      <c r="AL195" s="42"/>
      <c r="AM195" s="42"/>
      <c r="AP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N195" s="5"/>
      <c r="BY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67"/>
    </row>
    <row r="196" spans="2:104" x14ac:dyDescent="0.2">
      <c r="B196" s="59"/>
      <c r="C196" s="59"/>
      <c r="D196" s="59"/>
      <c r="E196" s="109"/>
      <c r="F196" s="40"/>
      <c r="G196" s="54"/>
      <c r="H196" s="41"/>
      <c r="I196" s="146"/>
      <c r="J196" s="146"/>
      <c r="K196" s="141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D196" s="42"/>
      <c r="AE196" s="5"/>
      <c r="AF196" s="42"/>
      <c r="AH196" s="43"/>
      <c r="AI196" s="17"/>
      <c r="AJ196" s="17"/>
      <c r="AL196" s="42"/>
      <c r="AM196" s="42"/>
      <c r="AP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N196" s="5"/>
      <c r="BY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67"/>
    </row>
    <row r="197" spans="2:104" x14ac:dyDescent="0.2">
      <c r="B197" s="59"/>
      <c r="C197" s="59"/>
      <c r="D197" s="59"/>
      <c r="E197" s="109"/>
      <c r="F197" s="40"/>
      <c r="G197" s="54"/>
      <c r="H197" s="41"/>
      <c r="I197" s="146"/>
      <c r="J197" s="146"/>
      <c r="K197" s="141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D197" s="42"/>
      <c r="AE197" s="5"/>
      <c r="AH197" s="43"/>
      <c r="AI197" s="17"/>
      <c r="AJ197" s="17"/>
      <c r="AL197" s="42"/>
      <c r="AM197" s="42"/>
      <c r="AP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N197" s="5"/>
      <c r="BY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67"/>
    </row>
    <row r="198" spans="2:104" x14ac:dyDescent="0.2">
      <c r="B198" s="59"/>
      <c r="C198" s="59"/>
      <c r="D198" s="59"/>
      <c r="E198" s="109"/>
      <c r="F198" s="40"/>
      <c r="G198" s="54"/>
      <c r="H198" s="41"/>
      <c r="I198" s="143"/>
      <c r="J198" s="143"/>
      <c r="K198" s="141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D198" s="42"/>
      <c r="AE198" s="5"/>
      <c r="AG198" s="43"/>
      <c r="AH198" s="43"/>
      <c r="AI198" s="17"/>
      <c r="AJ198" s="17"/>
      <c r="AL198" s="42"/>
      <c r="AM198" s="42"/>
      <c r="AP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N198" s="5"/>
      <c r="BY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67"/>
    </row>
    <row r="199" spans="2:104" x14ac:dyDescent="0.2">
      <c r="B199" s="59"/>
      <c r="C199" s="59"/>
      <c r="D199" s="59"/>
      <c r="E199" s="109"/>
      <c r="F199" s="40"/>
      <c r="G199" s="54"/>
      <c r="H199" s="41"/>
      <c r="I199" s="143"/>
      <c r="J199" s="143"/>
      <c r="K199" s="141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D199" s="42"/>
      <c r="AE199" s="5"/>
      <c r="AG199" s="43"/>
      <c r="BC199" s="17"/>
      <c r="BN199" s="5"/>
      <c r="BY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67"/>
    </row>
    <row r="200" spans="2:104" x14ac:dyDescent="0.2">
      <c r="B200" s="59"/>
      <c r="C200" s="59"/>
      <c r="D200" s="59"/>
      <c r="E200" s="109"/>
      <c r="F200" s="40"/>
      <c r="G200" s="54"/>
      <c r="H200" s="41"/>
      <c r="I200" s="143"/>
      <c r="J200" s="143"/>
      <c r="K200" s="141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D200" s="42"/>
      <c r="AE200" s="5"/>
      <c r="AG200" s="43"/>
      <c r="AH200" s="43"/>
      <c r="AI200" s="17"/>
      <c r="AJ200" s="17"/>
      <c r="AL200" s="42"/>
      <c r="AM200" s="42"/>
      <c r="AP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N200" s="5"/>
      <c r="BY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67"/>
    </row>
    <row r="201" spans="2:104" x14ac:dyDescent="0.2">
      <c r="B201" s="59"/>
      <c r="C201" s="59"/>
      <c r="D201" s="59"/>
      <c r="E201" s="109"/>
      <c r="F201" s="40"/>
      <c r="G201" s="54"/>
      <c r="H201" s="41"/>
      <c r="I201" s="143"/>
      <c r="J201" s="143"/>
      <c r="K201" s="141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D201" s="42"/>
      <c r="AE201" s="5"/>
      <c r="AG201" s="43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  <c r="AT201" s="94"/>
      <c r="AU201" s="94"/>
      <c r="AV201" s="94"/>
      <c r="AW201" s="94"/>
      <c r="AX201" s="94"/>
      <c r="AY201" s="94"/>
      <c r="AZ201" s="94"/>
      <c r="BA201" s="94"/>
      <c r="BB201" s="94"/>
      <c r="BC201" s="16"/>
      <c r="BD201" s="16"/>
      <c r="BE201" s="16"/>
      <c r="BF201" s="16"/>
      <c r="BG201" s="16"/>
      <c r="BN201" s="5"/>
      <c r="CB201" s="17"/>
      <c r="CI201" s="5"/>
      <c r="CJ201" s="5"/>
      <c r="CK201" s="5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67"/>
      <c r="CZ201" s="17"/>
    </row>
    <row r="202" spans="2:104" x14ac:dyDescent="0.2">
      <c r="B202" s="59"/>
      <c r="C202" s="59"/>
      <c r="D202" s="59"/>
      <c r="E202" s="109"/>
      <c r="F202" s="40"/>
      <c r="G202" s="54"/>
      <c r="H202" s="41"/>
      <c r="I202" s="143"/>
      <c r="J202" s="143"/>
      <c r="K202" s="141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D202" s="42"/>
      <c r="AE202" s="5"/>
      <c r="AG202" s="43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6"/>
      <c r="BD202" s="16"/>
      <c r="BE202" s="16"/>
      <c r="BF202" s="16"/>
      <c r="BG202" s="16"/>
      <c r="BN202" s="5"/>
      <c r="CB202" s="17"/>
      <c r="CI202" s="5"/>
      <c r="CJ202" s="5"/>
      <c r="CK202" s="5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67"/>
      <c r="CZ202" s="17"/>
    </row>
    <row r="203" spans="2:104" x14ac:dyDescent="0.2">
      <c r="B203" s="59"/>
      <c r="C203" s="59"/>
      <c r="D203" s="59"/>
      <c r="E203" s="109"/>
      <c r="F203" s="40"/>
      <c r="G203" s="103"/>
      <c r="H203" s="41"/>
      <c r="I203" s="143"/>
      <c r="J203" s="143"/>
      <c r="K203" s="141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D203" s="42"/>
      <c r="AE203" s="5"/>
      <c r="AG203" s="95"/>
      <c r="AH203" s="63"/>
      <c r="AI203" s="104"/>
      <c r="AJ203" s="104"/>
      <c r="AK203" s="104"/>
      <c r="AL203" s="104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  <c r="AW203" s="104"/>
      <c r="AX203" s="104"/>
      <c r="AY203" s="104"/>
      <c r="AZ203" s="104"/>
      <c r="BA203" s="104"/>
      <c r="BB203" s="104"/>
      <c r="BC203" s="16"/>
      <c r="BD203" s="16"/>
      <c r="BE203" s="16"/>
      <c r="BF203" s="16"/>
      <c r="BG203" s="16"/>
      <c r="BN203" s="5"/>
      <c r="CB203" s="17"/>
      <c r="CI203" s="5"/>
      <c r="CJ203" s="5"/>
      <c r="CK203" s="5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67"/>
      <c r="CZ203" s="17"/>
    </row>
    <row r="204" spans="2:104" x14ac:dyDescent="0.2">
      <c r="B204" s="59"/>
      <c r="C204" s="59"/>
      <c r="D204" s="59"/>
      <c r="E204" s="109"/>
      <c r="F204" s="40"/>
      <c r="G204" s="103"/>
      <c r="H204" s="41"/>
      <c r="K204" s="141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D204" s="42"/>
      <c r="AE204" s="5"/>
      <c r="AG204" s="95"/>
      <c r="AH204" s="105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6"/>
      <c r="BD204" s="16"/>
      <c r="BE204" s="16"/>
      <c r="BF204" s="16"/>
      <c r="BG204" s="16"/>
      <c r="BN204" s="5"/>
      <c r="CB204" s="17"/>
      <c r="CI204" s="5"/>
      <c r="CJ204" s="5"/>
      <c r="CK204" s="5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67"/>
      <c r="CZ204" s="17"/>
    </row>
    <row r="205" spans="2:104" x14ac:dyDescent="0.2">
      <c r="B205" s="59"/>
      <c r="C205" s="59"/>
      <c r="D205" s="59"/>
      <c r="E205" s="109"/>
      <c r="F205" s="40"/>
      <c r="G205" s="103"/>
      <c r="H205" s="41"/>
      <c r="K205" s="141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D205" s="42"/>
      <c r="AE205" s="5"/>
      <c r="AG205" s="95"/>
      <c r="AH205" s="105"/>
      <c r="AI205" s="104"/>
      <c r="AJ205" s="104"/>
      <c r="AK205" s="104"/>
      <c r="AL205" s="104"/>
      <c r="AM205" s="104"/>
      <c r="AN205" s="63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6"/>
      <c r="BD205" s="16"/>
      <c r="BE205" s="16"/>
      <c r="BF205" s="16"/>
      <c r="BG205" s="16"/>
      <c r="BN205" s="5"/>
      <c r="CB205" s="17"/>
      <c r="CI205" s="5"/>
      <c r="CJ205" s="5"/>
      <c r="CK205" s="5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67"/>
      <c r="CZ205" s="17"/>
    </row>
    <row r="206" spans="2:104" x14ac:dyDescent="0.2">
      <c r="B206" s="59"/>
      <c r="C206" s="59"/>
      <c r="D206" s="59"/>
      <c r="E206" s="109"/>
      <c r="F206" s="40"/>
      <c r="G206" s="103"/>
      <c r="H206" s="41"/>
      <c r="I206" s="143"/>
      <c r="J206" s="143"/>
      <c r="K206" s="141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D206" s="42"/>
      <c r="AE206" s="5"/>
      <c r="AG206" s="95"/>
      <c r="AH206" s="105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6"/>
      <c r="BD206" s="16"/>
      <c r="BE206" s="16"/>
      <c r="BF206" s="16"/>
      <c r="BG206" s="16"/>
      <c r="BN206" s="5"/>
      <c r="CB206" s="17"/>
      <c r="CI206" s="5"/>
      <c r="CJ206" s="5"/>
      <c r="CK206" s="5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67"/>
      <c r="CZ206" s="17"/>
    </row>
    <row r="207" spans="2:104" x14ac:dyDescent="0.2">
      <c r="B207" s="59"/>
      <c r="C207" s="59"/>
      <c r="D207" s="59"/>
      <c r="E207" s="109"/>
      <c r="F207" s="40"/>
      <c r="G207" s="54"/>
      <c r="H207" s="41"/>
      <c r="I207" s="143"/>
      <c r="J207" s="143"/>
      <c r="K207" s="141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D207" s="42"/>
      <c r="AE207" s="5"/>
      <c r="AG207" s="95"/>
      <c r="AH207" s="105"/>
      <c r="AI207" s="104"/>
      <c r="AJ207" s="104"/>
      <c r="AK207" s="104"/>
      <c r="AL207" s="104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  <c r="AX207" s="104"/>
      <c r="AY207" s="104"/>
      <c r="AZ207" s="104"/>
      <c r="BA207" s="104"/>
      <c r="BB207" s="104"/>
      <c r="BC207" s="16"/>
      <c r="BD207" s="16"/>
      <c r="BE207" s="16"/>
      <c r="BF207" s="16"/>
      <c r="BG207" s="16"/>
      <c r="BN207" s="5"/>
      <c r="CB207" s="17"/>
      <c r="CI207" s="5"/>
      <c r="CJ207" s="5"/>
      <c r="CK207" s="5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67"/>
      <c r="CZ207" s="17"/>
    </row>
    <row r="208" spans="2:104" x14ac:dyDescent="0.2">
      <c r="B208" s="59"/>
      <c r="C208" s="59"/>
      <c r="D208" s="59"/>
      <c r="E208" s="109"/>
      <c r="F208" s="40"/>
      <c r="G208" s="103"/>
      <c r="H208" s="41"/>
      <c r="I208" s="143"/>
      <c r="J208" s="143"/>
      <c r="K208" s="141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D208" s="42"/>
      <c r="AE208" s="5"/>
      <c r="AG208" s="95"/>
      <c r="AH208" s="105"/>
      <c r="AI208" s="104"/>
      <c r="AJ208" s="104"/>
      <c r="AK208" s="104"/>
      <c r="AL208" s="104"/>
      <c r="AM208" s="104"/>
      <c r="AN208" s="63"/>
      <c r="AO208" s="104"/>
      <c r="AP208" s="104"/>
      <c r="AQ208" s="104"/>
      <c r="AR208" s="104"/>
      <c r="AS208" s="104"/>
      <c r="AT208" s="104"/>
      <c r="AU208" s="104"/>
      <c r="AV208" s="104"/>
      <c r="AW208" s="104"/>
      <c r="AX208" s="104"/>
      <c r="AY208" s="104"/>
      <c r="AZ208" s="104"/>
      <c r="BA208" s="104"/>
      <c r="BB208" s="104"/>
      <c r="BC208" s="16"/>
      <c r="BD208" s="16"/>
      <c r="BE208" s="16"/>
      <c r="BF208" s="16"/>
      <c r="BG208" s="16"/>
      <c r="BN208" s="5"/>
      <c r="CB208" s="17"/>
      <c r="CI208" s="5"/>
      <c r="CJ208" s="5"/>
      <c r="CK208" s="5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67"/>
      <c r="CZ208" s="17"/>
    </row>
    <row r="209" spans="2:104" x14ac:dyDescent="0.2">
      <c r="B209" s="59"/>
      <c r="C209" s="59"/>
      <c r="D209" s="59"/>
      <c r="E209" s="109"/>
      <c r="F209" s="40"/>
      <c r="G209" s="103"/>
      <c r="H209" s="41"/>
      <c r="I209" s="143"/>
      <c r="J209" s="143"/>
      <c r="K209" s="141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D209" s="42"/>
      <c r="AE209" s="5"/>
      <c r="AG209" s="95"/>
      <c r="AH209" s="105"/>
      <c r="AI209" s="104"/>
      <c r="AJ209" s="104"/>
      <c r="AK209" s="104"/>
      <c r="AL209" s="104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  <c r="AX209" s="104"/>
      <c r="AY209" s="104"/>
      <c r="AZ209" s="104"/>
      <c r="BA209" s="104"/>
      <c r="BB209" s="104"/>
      <c r="BC209" s="16"/>
      <c r="BD209" s="16"/>
      <c r="BE209" s="16"/>
      <c r="BF209" s="16"/>
      <c r="BG209" s="16"/>
      <c r="BN209" s="5"/>
      <c r="CB209" s="17"/>
      <c r="CI209" s="5"/>
      <c r="CJ209" s="5"/>
      <c r="CK209" s="5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67"/>
      <c r="CZ209" s="17"/>
    </row>
    <row r="210" spans="2:104" x14ac:dyDescent="0.2">
      <c r="B210" s="59"/>
      <c r="C210" s="59"/>
      <c r="D210" s="59"/>
      <c r="E210" s="109"/>
      <c r="F210" s="40"/>
      <c r="G210" s="103"/>
      <c r="H210" s="41"/>
      <c r="I210" s="143"/>
      <c r="J210" s="143"/>
      <c r="K210" s="141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D210" s="42"/>
      <c r="AE210" s="5"/>
      <c r="AG210" s="95"/>
      <c r="AH210" s="105"/>
      <c r="AI210" s="104"/>
      <c r="AJ210" s="104"/>
      <c r="AK210" s="104"/>
      <c r="AL210" s="104"/>
      <c r="AM210" s="104"/>
      <c r="AN210" s="63"/>
      <c r="AO210" s="104"/>
      <c r="AP210" s="104"/>
      <c r="AQ210" s="104"/>
      <c r="AR210" s="104"/>
      <c r="AS210" s="104"/>
      <c r="AT210" s="104"/>
      <c r="AU210" s="104"/>
      <c r="AV210" s="104"/>
      <c r="AW210" s="104"/>
      <c r="AX210" s="104"/>
      <c r="AY210" s="104"/>
      <c r="AZ210" s="104"/>
      <c r="BA210" s="104"/>
      <c r="BB210" s="104"/>
      <c r="BC210" s="16"/>
      <c r="BD210" s="16"/>
      <c r="BE210" s="16"/>
      <c r="BF210" s="16"/>
      <c r="BG210" s="16"/>
      <c r="BN210" s="5"/>
      <c r="CB210" s="17"/>
      <c r="CI210" s="5"/>
      <c r="CJ210" s="5"/>
      <c r="CK210" s="5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67"/>
      <c r="CZ210" s="17"/>
    </row>
    <row r="211" spans="2:104" x14ac:dyDescent="0.2">
      <c r="B211" s="59"/>
      <c r="C211" s="59"/>
      <c r="D211" s="59"/>
      <c r="E211" s="109"/>
      <c r="F211" s="40"/>
      <c r="G211" s="103"/>
      <c r="H211" s="41"/>
      <c r="I211" s="143"/>
      <c r="J211" s="143"/>
      <c r="K211" s="141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D211" s="42"/>
      <c r="AE211" s="5"/>
      <c r="AG211" s="95"/>
      <c r="AH211" s="105"/>
      <c r="AI211" s="104"/>
      <c r="AJ211" s="104"/>
      <c r="AK211" s="104"/>
      <c r="AL211" s="104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  <c r="AW211" s="104"/>
      <c r="AX211" s="104"/>
      <c r="AY211" s="104"/>
      <c r="AZ211" s="104"/>
      <c r="BA211" s="104"/>
      <c r="BB211" s="104"/>
      <c r="BC211" s="16"/>
      <c r="BD211" s="16"/>
      <c r="BE211" s="16"/>
      <c r="BF211" s="16"/>
      <c r="BG211" s="16"/>
      <c r="BN211" s="5"/>
      <c r="CB211" s="17"/>
      <c r="CI211" s="5"/>
      <c r="CJ211" s="5"/>
      <c r="CK211" s="5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67"/>
      <c r="CZ211" s="17"/>
    </row>
    <row r="212" spans="2:104" x14ac:dyDescent="0.2">
      <c r="B212" s="59"/>
      <c r="C212" s="59"/>
      <c r="D212" s="59"/>
      <c r="E212" s="109"/>
      <c r="F212" s="40"/>
      <c r="G212" s="54"/>
      <c r="H212" s="41"/>
      <c r="I212" s="143"/>
      <c r="J212" s="143"/>
      <c r="K212" s="141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D212" s="42"/>
      <c r="AE212" s="5"/>
      <c r="AG212" s="95"/>
      <c r="AH212" s="105"/>
      <c r="AI212" s="104"/>
      <c r="AJ212" s="104"/>
      <c r="AK212" s="104"/>
      <c r="AL212" s="104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  <c r="AW212" s="104"/>
      <c r="AX212" s="104"/>
      <c r="AY212" s="104"/>
      <c r="AZ212" s="104"/>
      <c r="BA212" s="104"/>
      <c r="BB212" s="104"/>
      <c r="BC212" s="16"/>
      <c r="BD212" s="16"/>
      <c r="BE212" s="16"/>
      <c r="BF212" s="16"/>
      <c r="BG212" s="16"/>
      <c r="BN212" s="5"/>
      <c r="CB212" s="17"/>
      <c r="CI212" s="5"/>
      <c r="CJ212" s="5"/>
      <c r="CK212" s="5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67"/>
      <c r="CZ212" s="17"/>
    </row>
    <row r="213" spans="2:104" x14ac:dyDescent="0.2">
      <c r="B213" s="59"/>
      <c r="C213" s="59"/>
      <c r="D213" s="59"/>
      <c r="E213" s="109"/>
      <c r="F213" s="40"/>
      <c r="H213" s="41"/>
      <c r="I213" s="147"/>
      <c r="J213" s="147"/>
      <c r="K213" s="141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D213" s="42"/>
      <c r="AE213" s="5"/>
      <c r="AG213" s="95"/>
      <c r="AH213" s="105"/>
      <c r="AI213" s="104"/>
      <c r="AJ213" s="104"/>
      <c r="AK213" s="104"/>
      <c r="AL213" s="104"/>
      <c r="AM213" s="104"/>
      <c r="AN213" s="104"/>
      <c r="AO213" s="104"/>
      <c r="AP213" s="104"/>
      <c r="AQ213" s="104"/>
      <c r="AR213" s="104"/>
      <c r="AS213" s="63"/>
      <c r="AT213" s="104"/>
      <c r="AU213" s="104"/>
      <c r="AV213" s="104"/>
      <c r="AW213" s="104"/>
      <c r="AX213" s="104"/>
      <c r="AY213" s="104"/>
      <c r="AZ213" s="104"/>
      <c r="BA213" s="104"/>
      <c r="BB213" s="104"/>
      <c r="BC213" s="16"/>
      <c r="BD213" s="16"/>
      <c r="BE213" s="16"/>
      <c r="BF213" s="16"/>
      <c r="BG213" s="16"/>
      <c r="BN213" s="5"/>
      <c r="CB213" s="17"/>
      <c r="CI213" s="5"/>
      <c r="CJ213" s="5"/>
      <c r="CK213" s="5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67"/>
      <c r="CZ213" s="17"/>
    </row>
    <row r="214" spans="2:104" x14ac:dyDescent="0.2">
      <c r="B214" s="59"/>
      <c r="C214" s="59"/>
      <c r="D214" s="59"/>
      <c r="E214" s="109"/>
      <c r="F214" s="40"/>
      <c r="G214" s="103"/>
      <c r="H214" s="41"/>
      <c r="I214" s="143"/>
      <c r="J214" s="143"/>
      <c r="K214" s="141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D214" s="42"/>
      <c r="AE214" s="5"/>
      <c r="AG214" s="95"/>
      <c r="AH214" s="105"/>
      <c r="AI214" s="104"/>
      <c r="AJ214" s="104"/>
      <c r="AK214" s="104"/>
      <c r="AL214" s="104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  <c r="AW214" s="104"/>
      <c r="AX214" s="104"/>
      <c r="AY214" s="104"/>
      <c r="AZ214" s="104"/>
      <c r="BA214" s="104"/>
      <c r="BB214" s="104"/>
      <c r="BC214" s="16"/>
      <c r="BD214" s="16"/>
      <c r="BE214" s="16"/>
      <c r="BF214" s="16"/>
      <c r="BG214" s="16"/>
      <c r="BN214" s="5"/>
      <c r="CB214" s="17"/>
      <c r="CI214" s="5"/>
      <c r="CJ214" s="5"/>
      <c r="CK214" s="5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67"/>
      <c r="CZ214" s="17"/>
    </row>
    <row r="215" spans="2:104" x14ac:dyDescent="0.2">
      <c r="B215" s="59"/>
      <c r="C215" s="59"/>
      <c r="D215" s="59"/>
      <c r="E215" s="109"/>
      <c r="F215" s="40"/>
      <c r="G215" s="103"/>
      <c r="H215" s="41"/>
      <c r="I215" s="143"/>
      <c r="J215" s="143"/>
      <c r="K215" s="141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D215" s="42"/>
      <c r="AE215" s="5"/>
      <c r="AG215" s="95"/>
      <c r="AH215" s="63"/>
      <c r="AI215" s="104"/>
      <c r="AJ215" s="104"/>
      <c r="AK215" s="104"/>
      <c r="AL215" s="104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  <c r="AX215" s="104"/>
      <c r="AY215" s="104"/>
      <c r="AZ215" s="104"/>
      <c r="BA215" s="104"/>
      <c r="BB215" s="104"/>
      <c r="BC215" s="16"/>
      <c r="BD215" s="16"/>
      <c r="BE215" s="16"/>
      <c r="BF215" s="16"/>
      <c r="BG215" s="16"/>
      <c r="BN215" s="5"/>
      <c r="CB215" s="17"/>
      <c r="CI215" s="5"/>
      <c r="CJ215" s="5"/>
      <c r="CK215" s="5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67"/>
      <c r="CZ215" s="17"/>
    </row>
    <row r="216" spans="2:104" x14ac:dyDescent="0.2">
      <c r="B216" s="59"/>
      <c r="C216" s="59"/>
      <c r="D216" s="59"/>
      <c r="E216" s="109"/>
      <c r="F216" s="40"/>
      <c r="G216" s="103"/>
      <c r="H216" s="41"/>
      <c r="I216" s="143"/>
      <c r="J216" s="143"/>
      <c r="K216" s="141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D216" s="42"/>
      <c r="AE216" s="5"/>
      <c r="AG216" s="95"/>
      <c r="AH216" s="105"/>
      <c r="AI216" s="104"/>
      <c r="AJ216" s="104"/>
      <c r="AK216" s="104"/>
      <c r="AL216" s="104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  <c r="AW216" s="104"/>
      <c r="AX216" s="104"/>
      <c r="AY216" s="104"/>
      <c r="AZ216" s="104"/>
      <c r="BA216" s="104"/>
      <c r="BB216" s="104"/>
      <c r="BC216" s="16"/>
      <c r="BD216" s="16"/>
      <c r="BE216" s="16"/>
      <c r="BF216" s="16"/>
      <c r="BG216" s="16"/>
      <c r="BN216" s="5"/>
      <c r="CB216" s="17"/>
      <c r="CI216" s="5"/>
      <c r="CJ216" s="5"/>
      <c r="CK216" s="5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67"/>
      <c r="CZ216" s="17"/>
    </row>
    <row r="217" spans="2:104" x14ac:dyDescent="0.2">
      <c r="B217" s="59"/>
      <c r="C217" s="59"/>
      <c r="D217" s="59"/>
      <c r="E217" s="109"/>
      <c r="F217" s="40"/>
      <c r="G217" s="103"/>
      <c r="H217" s="41"/>
      <c r="I217" s="143"/>
      <c r="J217" s="143"/>
      <c r="K217" s="141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D217" s="42"/>
      <c r="AE217" s="5"/>
      <c r="AG217" s="95"/>
      <c r="AH217" s="105"/>
      <c r="AI217" s="104"/>
      <c r="AJ217" s="104"/>
      <c r="AK217" s="104"/>
      <c r="AL217" s="104"/>
      <c r="AM217" s="104"/>
      <c r="AN217" s="63"/>
      <c r="AO217" s="104"/>
      <c r="AP217" s="104"/>
      <c r="AQ217" s="63"/>
      <c r="AR217" s="104"/>
      <c r="AS217" s="63"/>
      <c r="AT217" s="63"/>
      <c r="AU217" s="63"/>
      <c r="AV217" s="104"/>
      <c r="AW217" s="104"/>
      <c r="AX217" s="104"/>
      <c r="AY217" s="104"/>
      <c r="AZ217" s="104"/>
      <c r="BA217" s="104"/>
      <c r="BB217" s="104"/>
      <c r="BC217" s="16"/>
      <c r="BD217" s="16"/>
      <c r="BE217" s="16"/>
      <c r="BF217" s="16"/>
      <c r="BG217" s="16"/>
      <c r="BN217" s="5"/>
      <c r="CB217" s="17"/>
      <c r="CI217" s="5"/>
      <c r="CJ217" s="5"/>
      <c r="CK217" s="5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67"/>
      <c r="CZ217" s="17"/>
    </row>
    <row r="218" spans="2:104" x14ac:dyDescent="0.2">
      <c r="B218" s="59"/>
      <c r="C218" s="59"/>
      <c r="D218" s="59"/>
      <c r="E218" s="109"/>
      <c r="F218" s="40"/>
      <c r="G218" s="103"/>
      <c r="H218" s="41"/>
      <c r="I218" s="143"/>
      <c r="J218" s="143"/>
      <c r="K218" s="141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D218" s="42"/>
      <c r="AE218" s="5"/>
      <c r="AG218" s="43"/>
      <c r="AH218" s="43"/>
      <c r="AI218" s="17"/>
      <c r="AJ218" s="17"/>
      <c r="AL218" s="42"/>
      <c r="AM218" s="42"/>
      <c r="AP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N218" s="5"/>
      <c r="BY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67"/>
    </row>
    <row r="219" spans="2:104" x14ac:dyDescent="0.2">
      <c r="B219" s="59"/>
      <c r="C219" s="59"/>
      <c r="D219" s="59"/>
      <c r="E219" s="109"/>
      <c r="F219" s="40"/>
      <c r="G219" s="54"/>
      <c r="H219" s="41"/>
      <c r="I219" s="143"/>
      <c r="J219" s="143"/>
      <c r="K219" s="141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D219" s="42"/>
      <c r="AE219" s="5"/>
      <c r="AG219" s="43"/>
      <c r="AH219" s="43"/>
      <c r="AI219" s="17"/>
      <c r="AJ219" s="17"/>
      <c r="AL219" s="42"/>
      <c r="AM219" s="42"/>
      <c r="AP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N219" s="5"/>
      <c r="BY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67"/>
    </row>
    <row r="220" spans="2:104" x14ac:dyDescent="0.2">
      <c r="B220" s="59"/>
      <c r="C220" s="59"/>
      <c r="D220" s="59"/>
      <c r="E220" s="109"/>
      <c r="F220" s="40"/>
      <c r="G220" s="103"/>
      <c r="H220" s="41"/>
      <c r="I220" s="143"/>
      <c r="J220" s="143"/>
      <c r="K220" s="141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D220" s="42"/>
      <c r="AE220" s="5"/>
      <c r="AG220" s="43"/>
      <c r="AH220" s="43"/>
      <c r="AI220" s="17"/>
      <c r="AJ220" s="17"/>
      <c r="AL220" s="42"/>
      <c r="AM220" s="42"/>
      <c r="AP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N220" s="5"/>
      <c r="BY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67"/>
    </row>
    <row r="221" spans="2:104" x14ac:dyDescent="0.2">
      <c r="B221" s="59"/>
      <c r="C221" s="59"/>
      <c r="D221" s="59"/>
      <c r="E221" s="109"/>
      <c r="F221" s="40"/>
      <c r="G221" s="103"/>
      <c r="H221" s="41"/>
      <c r="I221" s="143"/>
      <c r="J221" s="143"/>
      <c r="K221" s="141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D221" s="42"/>
      <c r="AE221" s="5"/>
      <c r="AG221" s="43"/>
      <c r="AH221" s="43"/>
      <c r="AI221" s="17"/>
      <c r="AJ221" s="17"/>
      <c r="AL221" s="42"/>
      <c r="AM221" s="42"/>
      <c r="AP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N221" s="5"/>
      <c r="BY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67"/>
    </row>
    <row r="222" spans="2:104" x14ac:dyDescent="0.2">
      <c r="F222" s="40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67"/>
    </row>
    <row r="223" spans="2:104" x14ac:dyDescent="0.2">
      <c r="F223" s="40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67"/>
    </row>
    <row r="224" spans="2:104" x14ac:dyDescent="0.2">
      <c r="F224" s="40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67"/>
    </row>
    <row r="225" spans="6:103" x14ac:dyDescent="0.2">
      <c r="F225" s="40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67"/>
    </row>
    <row r="226" spans="6:103" x14ac:dyDescent="0.2">
      <c r="F226" s="40"/>
      <c r="BI226" s="86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67"/>
    </row>
    <row r="227" spans="6:103" x14ac:dyDescent="0.2">
      <c r="F227" s="40"/>
      <c r="BI227" s="86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67"/>
    </row>
    <row r="228" spans="6:103" x14ac:dyDescent="0.2">
      <c r="F228" s="40"/>
      <c r="BI228" s="86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67"/>
    </row>
    <row r="229" spans="6:103" x14ac:dyDescent="0.2">
      <c r="F229" s="40"/>
      <c r="BI229" s="86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67"/>
    </row>
    <row r="230" spans="6:103" x14ac:dyDescent="0.2">
      <c r="F230" s="40"/>
      <c r="BI230" s="86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67"/>
    </row>
    <row r="231" spans="6:103" x14ac:dyDescent="0.2">
      <c r="F231" s="40"/>
      <c r="BI231" s="86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67"/>
    </row>
    <row r="232" spans="6:103" x14ac:dyDescent="0.2">
      <c r="F232" s="40"/>
      <c r="BI232" s="86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67"/>
    </row>
    <row r="233" spans="6:103" x14ac:dyDescent="0.2">
      <c r="F233" s="40"/>
      <c r="BI233" s="86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67"/>
    </row>
    <row r="234" spans="6:103" x14ac:dyDescent="0.2">
      <c r="F234" s="40"/>
      <c r="BI234" s="86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67"/>
    </row>
    <row r="235" spans="6:103" x14ac:dyDescent="0.2">
      <c r="F235" s="40"/>
      <c r="BI235" s="86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67"/>
    </row>
    <row r="236" spans="6:103" x14ac:dyDescent="0.2">
      <c r="F236" s="40"/>
      <c r="BI236" s="86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67"/>
    </row>
    <row r="237" spans="6:103" x14ac:dyDescent="0.2">
      <c r="F237" s="40"/>
      <c r="BI237" s="86"/>
    </row>
    <row r="238" spans="6:103" x14ac:dyDescent="0.2">
      <c r="F238" s="40"/>
      <c r="BI238" s="86"/>
    </row>
    <row r="239" spans="6:103" x14ac:dyDescent="0.2">
      <c r="F239" s="40"/>
    </row>
    <row r="240" spans="6:103" x14ac:dyDescent="0.2">
      <c r="F240" s="40"/>
    </row>
    <row r="241" spans="6:6" x14ac:dyDescent="0.2">
      <c r="F241" s="40"/>
    </row>
    <row r="242" spans="6:6" x14ac:dyDescent="0.2">
      <c r="F242" s="40"/>
    </row>
    <row r="243" spans="6:6" x14ac:dyDescent="0.2">
      <c r="F243" s="40"/>
    </row>
    <row r="244" spans="6:6" x14ac:dyDescent="0.2">
      <c r="F244" s="40"/>
    </row>
    <row r="245" spans="6:6" x14ac:dyDescent="0.2">
      <c r="F245" s="40"/>
    </row>
    <row r="246" spans="6:6" x14ac:dyDescent="0.2">
      <c r="F246" s="40"/>
    </row>
    <row r="247" spans="6:6" x14ac:dyDescent="0.2">
      <c r="F247" s="40"/>
    </row>
    <row r="248" spans="6:6" x14ac:dyDescent="0.2">
      <c r="F248" s="40"/>
    </row>
    <row r="249" spans="6:6" x14ac:dyDescent="0.2">
      <c r="F249" s="40"/>
    </row>
    <row r="250" spans="6:6" x14ac:dyDescent="0.2">
      <c r="F250" s="40"/>
    </row>
    <row r="251" spans="6:6" x14ac:dyDescent="0.2">
      <c r="F251" s="40"/>
    </row>
    <row r="252" spans="6:6" x14ac:dyDescent="0.2">
      <c r="F252" s="40"/>
    </row>
    <row r="253" spans="6:6" x14ac:dyDescent="0.2">
      <c r="F253" s="40"/>
    </row>
    <row r="254" spans="6:6" x14ac:dyDescent="0.2">
      <c r="F254" s="40"/>
    </row>
    <row r="255" spans="6:6" x14ac:dyDescent="0.2">
      <c r="F255" s="40"/>
    </row>
    <row r="256" spans="6:6" x14ac:dyDescent="0.2">
      <c r="F256" s="40"/>
    </row>
    <row r="257" spans="6:6" x14ac:dyDescent="0.2">
      <c r="F257" s="40"/>
    </row>
    <row r="258" spans="6:6" x14ac:dyDescent="0.2">
      <c r="F258" s="40"/>
    </row>
    <row r="259" spans="6:6" x14ac:dyDescent="0.2">
      <c r="F259" s="40"/>
    </row>
    <row r="260" spans="6:6" x14ac:dyDescent="0.2">
      <c r="F260" s="40"/>
    </row>
    <row r="261" spans="6:6" x14ac:dyDescent="0.2">
      <c r="F261" s="40"/>
    </row>
    <row r="262" spans="6:6" x14ac:dyDescent="0.2">
      <c r="F262" s="40"/>
    </row>
    <row r="263" spans="6:6" x14ac:dyDescent="0.2">
      <c r="F263" s="40"/>
    </row>
    <row r="264" spans="6:6" x14ac:dyDescent="0.2">
      <c r="F264" s="40"/>
    </row>
    <row r="265" spans="6:6" x14ac:dyDescent="0.2">
      <c r="F265" s="40"/>
    </row>
    <row r="266" spans="6:6" x14ac:dyDescent="0.2">
      <c r="F266" s="40"/>
    </row>
    <row r="267" spans="6:6" x14ac:dyDescent="0.2">
      <c r="F267" s="40"/>
    </row>
    <row r="268" spans="6:6" x14ac:dyDescent="0.2">
      <c r="F268" s="40"/>
    </row>
    <row r="269" spans="6:6" x14ac:dyDescent="0.2">
      <c r="F269" s="40"/>
    </row>
    <row r="270" spans="6:6" x14ac:dyDescent="0.2">
      <c r="F270" s="40"/>
    </row>
    <row r="271" spans="6:6" x14ac:dyDescent="0.2">
      <c r="F271" s="40"/>
    </row>
    <row r="272" spans="6:6" x14ac:dyDescent="0.2">
      <c r="F272" s="40"/>
    </row>
    <row r="273" spans="6:6" x14ac:dyDescent="0.2">
      <c r="F273" s="40"/>
    </row>
    <row r="274" spans="6:6" x14ac:dyDescent="0.2">
      <c r="F274" s="40"/>
    </row>
    <row r="275" spans="6:6" x14ac:dyDescent="0.2">
      <c r="F275" s="40"/>
    </row>
    <row r="276" spans="6:6" x14ac:dyDescent="0.2">
      <c r="F276" s="40"/>
    </row>
    <row r="277" spans="6:6" x14ac:dyDescent="0.2">
      <c r="F277" s="40"/>
    </row>
    <row r="278" spans="6:6" x14ac:dyDescent="0.2">
      <c r="F278" s="40"/>
    </row>
    <row r="279" spans="6:6" x14ac:dyDescent="0.2">
      <c r="F279" s="40"/>
    </row>
    <row r="280" spans="6:6" x14ac:dyDescent="0.2">
      <c r="F280" s="40"/>
    </row>
    <row r="281" spans="6:6" x14ac:dyDescent="0.2">
      <c r="F281" s="40"/>
    </row>
    <row r="282" spans="6:6" x14ac:dyDescent="0.2">
      <c r="F282" s="40"/>
    </row>
    <row r="283" spans="6:6" x14ac:dyDescent="0.2">
      <c r="F283" s="40"/>
    </row>
    <row r="284" spans="6:6" x14ac:dyDescent="0.2">
      <c r="F284" s="40"/>
    </row>
    <row r="285" spans="6:6" x14ac:dyDescent="0.2">
      <c r="F285" s="40"/>
    </row>
    <row r="286" spans="6:6" x14ac:dyDescent="0.2">
      <c r="F286" s="40"/>
    </row>
    <row r="287" spans="6:6" x14ac:dyDescent="0.2">
      <c r="F287" s="40"/>
    </row>
    <row r="288" spans="6:6" x14ac:dyDescent="0.2">
      <c r="F288" s="40"/>
    </row>
    <row r="289" spans="6:6" x14ac:dyDescent="0.2">
      <c r="F289" s="40"/>
    </row>
    <row r="290" spans="6:6" x14ac:dyDescent="0.2">
      <c r="F290" s="40"/>
    </row>
    <row r="291" spans="6:6" x14ac:dyDescent="0.2">
      <c r="F291" s="40"/>
    </row>
    <row r="292" spans="6:6" x14ac:dyDescent="0.2">
      <c r="F292" s="40"/>
    </row>
    <row r="293" spans="6:6" x14ac:dyDescent="0.2">
      <c r="F293" s="40"/>
    </row>
    <row r="294" spans="6:6" x14ac:dyDescent="0.2">
      <c r="F294" s="40"/>
    </row>
    <row r="295" spans="6:6" x14ac:dyDescent="0.2">
      <c r="F295" s="40"/>
    </row>
    <row r="296" spans="6:6" x14ac:dyDescent="0.2">
      <c r="F296" s="40"/>
    </row>
    <row r="297" spans="6:6" x14ac:dyDescent="0.2">
      <c r="F297" s="40"/>
    </row>
    <row r="298" spans="6:6" x14ac:dyDescent="0.2">
      <c r="F298" s="40"/>
    </row>
    <row r="299" spans="6:6" x14ac:dyDescent="0.2">
      <c r="F299" s="40"/>
    </row>
    <row r="300" spans="6:6" x14ac:dyDescent="0.2">
      <c r="F300" s="40"/>
    </row>
    <row r="301" spans="6:6" x14ac:dyDescent="0.2">
      <c r="F301" s="40"/>
    </row>
    <row r="302" spans="6:6" x14ac:dyDescent="0.2">
      <c r="F302" s="40"/>
    </row>
    <row r="303" spans="6:6" x14ac:dyDescent="0.2">
      <c r="F303" s="40"/>
    </row>
    <row r="304" spans="6:6" x14ac:dyDescent="0.2">
      <c r="F304" s="40"/>
    </row>
    <row r="305" spans="6:6" x14ac:dyDescent="0.2">
      <c r="F305" s="40"/>
    </row>
    <row r="306" spans="6:6" x14ac:dyDescent="0.2">
      <c r="F306" s="40"/>
    </row>
    <row r="307" spans="6:6" x14ac:dyDescent="0.2">
      <c r="F307" s="40"/>
    </row>
    <row r="308" spans="6:6" x14ac:dyDescent="0.2">
      <c r="F308" s="40"/>
    </row>
    <row r="309" spans="6:6" x14ac:dyDescent="0.2">
      <c r="F309" s="40"/>
    </row>
  </sheetData>
  <conditionalFormatting sqref="A193:XFD1048576 CZ164:XFD192 DL26:XFD44 DC45:XFD76 DC1:XFD25">
    <cfRule type="containsText" dxfId="5" priority="3" operator="containsText" text="&lt;">
      <formula>NOT(ISERROR(SEARCH("&lt;",A1)))</formula>
    </cfRule>
  </conditionalFormatting>
  <conditionalFormatting sqref="AR22:AR25 AI5 AL23:AM23 AL24:AL25 AL22 AL5 AT22:AW24 AV25:AW25 AI22:AI25 AK22:AK25 AX22:BB25 AJ23:AJ24">
    <cfRule type="beginsWith" dxfId="4" priority="1" operator="beginsWith" text="&lt;">
      <formula>LEFT(AI5,LEN("&lt;"))="&lt;"</formula>
    </cfRule>
    <cfRule type="cellIs" dxfId="3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309"/>
  <sheetViews>
    <sheetView zoomScale="60" zoomScaleNormal="60" workbookViewId="0">
      <pane ySplit="1" topLeftCell="A2" activePane="bottomLeft" state="frozen"/>
      <selection pane="bottomLeft" activeCell="N49" sqref="N49"/>
    </sheetView>
  </sheetViews>
  <sheetFormatPr defaultColWidth="9" defaultRowHeight="14.25" x14ac:dyDescent="0.2"/>
  <cols>
    <col min="1" max="1" width="21.375" style="14" bestFit="1" customWidth="1"/>
    <col min="2" max="2" width="23.875" style="14" customWidth="1"/>
    <col min="3" max="3" width="7.75" style="14" bestFit="1" customWidth="1"/>
    <col min="4" max="4" width="10.875" style="14" customWidth="1"/>
    <col min="5" max="5" width="10.125" style="15" customWidth="1"/>
    <col min="6" max="6" width="11" style="15" customWidth="1"/>
    <col min="7" max="7" width="20.625" style="16" bestFit="1" customWidth="1"/>
    <col min="8" max="8" width="5.5" style="16" bestFit="1" customWidth="1"/>
    <col min="9" max="9" width="11.25" style="135" bestFit="1" customWidth="1"/>
    <col min="10" max="10" width="11.25" style="135" customWidth="1"/>
    <col min="11" max="11" width="15" style="136" bestFit="1" customWidth="1"/>
    <col min="12" max="12" width="12.5" style="5" bestFit="1" customWidth="1"/>
    <col min="13" max="13" width="15.125" style="5" bestFit="1" customWidth="1"/>
    <col min="14" max="14" width="8.25" style="5" bestFit="1" customWidth="1"/>
    <col min="15" max="15" width="9.25" style="5" bestFit="1" customWidth="1"/>
    <col min="16" max="19" width="9.375" style="5" bestFit="1" customWidth="1"/>
    <col min="20" max="20" width="14" style="5" bestFit="1" customWidth="1"/>
    <col min="21" max="21" width="19.375" style="17" customWidth="1"/>
    <col min="22" max="22" width="19.5" style="5" bestFit="1" customWidth="1"/>
    <col min="23" max="29" width="9.25" style="5" bestFit="1" customWidth="1"/>
    <col min="30" max="30" width="21.25" style="5" bestFit="1" customWidth="1"/>
    <col min="31" max="31" width="21" style="17" customWidth="1"/>
    <col min="32" max="32" width="21" style="5" customWidth="1"/>
    <col min="33" max="33" width="18.375" style="18" bestFit="1" customWidth="1"/>
    <col min="34" max="34" width="9.375" style="18" bestFit="1" customWidth="1"/>
    <col min="35" max="44" width="9.25" style="5" bestFit="1" customWidth="1"/>
    <col min="45" max="48" width="9.25" style="5" customWidth="1"/>
    <col min="49" max="49" width="18.875" style="5" bestFit="1" customWidth="1"/>
    <col min="50" max="54" width="18.875" style="5" customWidth="1"/>
    <col min="55" max="65" width="9.25" style="5" bestFit="1" customWidth="1"/>
    <col min="66" max="66" width="9" style="17"/>
    <col min="67" max="86" width="9" style="5"/>
    <col min="87" max="102" width="9" style="16"/>
    <col min="103" max="103" width="22.875" style="110" bestFit="1" customWidth="1"/>
    <col min="104" max="16384" width="9" style="14"/>
  </cols>
  <sheetData>
    <row r="1" spans="1:103" ht="57.75" thickBot="1" x14ac:dyDescent="0.25">
      <c r="A1" s="223" t="s">
        <v>111</v>
      </c>
      <c r="B1" s="224" t="s">
        <v>0</v>
      </c>
      <c r="C1" s="224" t="s">
        <v>17</v>
      </c>
      <c r="D1" s="225" t="s">
        <v>110</v>
      </c>
      <c r="E1" s="226" t="s">
        <v>2</v>
      </c>
      <c r="F1" s="226" t="s">
        <v>2</v>
      </c>
      <c r="G1" s="227" t="s">
        <v>1</v>
      </c>
      <c r="H1" s="227" t="s">
        <v>18</v>
      </c>
      <c r="I1" s="228" t="s">
        <v>288</v>
      </c>
      <c r="J1" s="228" t="s">
        <v>113</v>
      </c>
      <c r="K1" s="229" t="s">
        <v>286</v>
      </c>
      <c r="L1" s="230" t="s">
        <v>287</v>
      </c>
      <c r="M1" s="230" t="s">
        <v>278</v>
      </c>
      <c r="N1" s="230" t="s">
        <v>279</v>
      </c>
      <c r="O1" s="230" t="s">
        <v>280</v>
      </c>
      <c r="P1" s="230" t="s">
        <v>281</v>
      </c>
      <c r="Q1" s="230" t="s">
        <v>282</v>
      </c>
      <c r="R1" s="230" t="s">
        <v>283</v>
      </c>
      <c r="S1" s="230" t="s">
        <v>284</v>
      </c>
      <c r="T1" s="230" t="s">
        <v>285</v>
      </c>
      <c r="U1" s="247" t="s">
        <v>289</v>
      </c>
      <c r="V1" s="230" t="s">
        <v>290</v>
      </c>
      <c r="W1" s="230" t="s">
        <v>291</v>
      </c>
      <c r="X1" s="230" t="s">
        <v>292</v>
      </c>
      <c r="Y1" s="230" t="s">
        <v>293</v>
      </c>
      <c r="Z1" s="230" t="s">
        <v>294</v>
      </c>
      <c r="AA1" s="230" t="s">
        <v>295</v>
      </c>
      <c r="AB1" s="230" t="s">
        <v>296</v>
      </c>
      <c r="AC1" s="230" t="s">
        <v>297</v>
      </c>
      <c r="AD1" s="230" t="s">
        <v>298</v>
      </c>
      <c r="AE1" s="247" t="s">
        <v>299</v>
      </c>
      <c r="AF1" s="230" t="s">
        <v>300</v>
      </c>
      <c r="AG1" s="248" t="s">
        <v>301</v>
      </c>
      <c r="AH1" s="248" t="s">
        <v>302</v>
      </c>
      <c r="AI1" s="230" t="s">
        <v>303</v>
      </c>
      <c r="AJ1" s="230" t="s">
        <v>304</v>
      </c>
      <c r="AK1" s="230" t="s">
        <v>305</v>
      </c>
      <c r="AL1" s="230" t="s">
        <v>306</v>
      </c>
      <c r="AM1" s="230" t="s">
        <v>307</v>
      </c>
      <c r="AN1" s="230" t="s">
        <v>308</v>
      </c>
      <c r="AO1" s="230" t="s">
        <v>309</v>
      </c>
      <c r="AP1" s="230" t="s">
        <v>310</v>
      </c>
      <c r="AQ1" s="230" t="s">
        <v>311</v>
      </c>
      <c r="AR1" s="230" t="s">
        <v>312</v>
      </c>
      <c r="AS1" s="230" t="s">
        <v>313</v>
      </c>
      <c r="AT1" s="230" t="s">
        <v>314</v>
      </c>
      <c r="AU1" s="230" t="s">
        <v>315</v>
      </c>
      <c r="AV1" s="230" t="s">
        <v>316</v>
      </c>
      <c r="AW1" s="230" t="s">
        <v>317</v>
      </c>
      <c r="AX1" s="231" t="s">
        <v>318</v>
      </c>
      <c r="AY1" s="231" t="s">
        <v>319</v>
      </c>
      <c r="AZ1" s="231" t="s">
        <v>320</v>
      </c>
      <c r="BA1" s="231" t="s">
        <v>321</v>
      </c>
      <c r="BB1" s="231" t="s">
        <v>322</v>
      </c>
      <c r="BC1" s="230" t="s">
        <v>323</v>
      </c>
      <c r="BD1" s="230" t="s">
        <v>324</v>
      </c>
      <c r="BE1" s="230" t="s">
        <v>325</v>
      </c>
      <c r="BF1" s="230" t="s">
        <v>326</v>
      </c>
      <c r="BG1" s="230" t="s">
        <v>327</v>
      </c>
      <c r="BH1" s="230" t="s">
        <v>328</v>
      </c>
      <c r="BI1" s="230" t="s">
        <v>329</v>
      </c>
      <c r="BJ1" s="230" t="s">
        <v>330</v>
      </c>
      <c r="BK1" s="230" t="s">
        <v>331</v>
      </c>
      <c r="BL1" s="230" t="s">
        <v>332</v>
      </c>
      <c r="BM1" s="230" t="s">
        <v>333</v>
      </c>
      <c r="BN1" s="247" t="s">
        <v>334</v>
      </c>
      <c r="BO1" s="230" t="s">
        <v>335</v>
      </c>
      <c r="BP1" s="230" t="s">
        <v>336</v>
      </c>
      <c r="BQ1" s="230" t="s">
        <v>337</v>
      </c>
      <c r="BR1" s="230" t="s">
        <v>338</v>
      </c>
      <c r="BS1" s="230" t="s">
        <v>339</v>
      </c>
      <c r="BT1" s="230" t="s">
        <v>340</v>
      </c>
      <c r="BU1" s="230" t="s">
        <v>341</v>
      </c>
      <c r="BV1" s="230" t="s">
        <v>342</v>
      </c>
      <c r="BW1" s="230" t="s">
        <v>343</v>
      </c>
      <c r="BX1" s="230" t="s">
        <v>344</v>
      </c>
      <c r="BY1" s="230" t="s">
        <v>345</v>
      </c>
      <c r="BZ1" s="230" t="s">
        <v>346</v>
      </c>
      <c r="CA1" s="230" t="s">
        <v>347</v>
      </c>
      <c r="CB1" s="230" t="s">
        <v>348</v>
      </c>
      <c r="CC1" s="230" t="s">
        <v>349</v>
      </c>
      <c r="CD1" s="230" t="s">
        <v>350</v>
      </c>
      <c r="CE1" s="230" t="s">
        <v>351</v>
      </c>
      <c r="CF1" s="230" t="s">
        <v>352</v>
      </c>
      <c r="CG1" s="230" t="s">
        <v>353</v>
      </c>
      <c r="CH1" s="230" t="s">
        <v>354</v>
      </c>
      <c r="CI1" s="232" t="s">
        <v>355</v>
      </c>
      <c r="CJ1" s="232" t="s">
        <v>356</v>
      </c>
      <c r="CK1" s="232" t="s">
        <v>357</v>
      </c>
      <c r="CL1" s="232" t="s">
        <v>358</v>
      </c>
      <c r="CM1" s="232" t="s">
        <v>359</v>
      </c>
      <c r="CN1" s="232" t="s">
        <v>360</v>
      </c>
      <c r="CO1" s="232" t="s">
        <v>361</v>
      </c>
      <c r="CP1" s="232" t="s">
        <v>362</v>
      </c>
      <c r="CQ1" s="227" t="s">
        <v>363</v>
      </c>
      <c r="CR1" s="227" t="s">
        <v>364</v>
      </c>
      <c r="CS1" s="227" t="s">
        <v>365</v>
      </c>
      <c r="CT1" s="227" t="s">
        <v>366</v>
      </c>
      <c r="CU1" s="227" t="s">
        <v>367</v>
      </c>
      <c r="CV1" s="227" t="s">
        <v>368</v>
      </c>
      <c r="CW1" s="227" t="s">
        <v>369</v>
      </c>
      <c r="CX1" s="227" t="s">
        <v>370</v>
      </c>
      <c r="CY1" s="233" t="s">
        <v>371</v>
      </c>
    </row>
    <row r="2" spans="1:103" x14ac:dyDescent="0.2">
      <c r="A2" s="185" t="s">
        <v>5</v>
      </c>
      <c r="B2" s="185" t="s">
        <v>5</v>
      </c>
      <c r="C2" s="186" t="s">
        <v>20</v>
      </c>
      <c r="D2" s="185"/>
      <c r="E2" s="187"/>
      <c r="F2" s="187"/>
      <c r="G2" s="188">
        <v>45169</v>
      </c>
      <c r="H2" s="189">
        <v>2023</v>
      </c>
      <c r="I2" s="190" t="s">
        <v>33</v>
      </c>
      <c r="J2" s="190">
        <v>10</v>
      </c>
      <c r="K2" s="191">
        <v>0.61740890688266237</v>
      </c>
      <c r="L2" s="191"/>
      <c r="M2" s="192">
        <v>4.8127812690046623</v>
      </c>
      <c r="N2" s="192">
        <v>7.8949777011960274</v>
      </c>
      <c r="O2" s="193">
        <v>14.68236874113116</v>
      </c>
      <c r="P2" s="193">
        <v>10.639083721873099</v>
      </c>
      <c r="Q2" s="193">
        <v>15.289762821812285</v>
      </c>
      <c r="R2" s="193">
        <v>15.198155280762213</v>
      </c>
      <c r="S2" s="192">
        <v>2.9353334684776002</v>
      </c>
      <c r="T2" s="193">
        <v>71.452463004257041</v>
      </c>
      <c r="U2" s="17">
        <f t="shared" ref="U2:U43" si="0">SUM(M2,N2,O2,Q2,R2,S2)*(5/K2)</f>
        <v>492.48867812285573</v>
      </c>
      <c r="V2" s="194">
        <f>0.5*0.0253395499695925</f>
        <v>1.266977498479625E-2</v>
      </c>
      <c r="W2" s="195">
        <v>0.16121610489074714</v>
      </c>
      <c r="X2" s="195">
        <v>8.4990663233436833E-2</v>
      </c>
      <c r="Y2" s="195">
        <v>0.10614650769578192</v>
      </c>
      <c r="Z2" s="194">
        <v>1.9088322603970226E-2</v>
      </c>
      <c r="AA2" s="183">
        <v>2.4511806073074877E-2</v>
      </c>
      <c r="AB2" s="194">
        <v>3.0588227273083857E-2</v>
      </c>
      <c r="AC2" s="194">
        <f>0.5*0.0506790999391851</f>
        <v>2.5339549969592551E-2</v>
      </c>
      <c r="AD2" s="195">
        <v>0.42654163177009485</v>
      </c>
      <c r="AE2" s="152">
        <f t="shared" ref="AE2:AE44" si="1">SUM(V2,W2,Y2,X2,AB2,AA2)</f>
        <v>0.42012308415092092</v>
      </c>
      <c r="AF2" s="185"/>
      <c r="AG2" s="185"/>
      <c r="AH2" s="196">
        <v>9.5043034320538826</v>
      </c>
      <c r="AI2" s="197">
        <f t="shared" ref="AI2:AI15" si="2">0.5*0.4</f>
        <v>0.2</v>
      </c>
      <c r="AJ2" s="197">
        <v>0.33969492854342626</v>
      </c>
      <c r="AK2" s="197">
        <f t="shared" ref="AK2:AK15" si="3">0.5*0.23</f>
        <v>0.115</v>
      </c>
      <c r="AL2" s="197">
        <f t="shared" ref="AL2:AM5" si="4">0.5*0.15</f>
        <v>7.4999999999999997E-2</v>
      </c>
      <c r="AM2" s="197">
        <f t="shared" si="4"/>
        <v>7.4999999999999997E-2</v>
      </c>
      <c r="AN2" s="197">
        <v>0.65372964111336807</v>
      </c>
      <c r="AO2" s="197">
        <v>0.19667486368010259</v>
      </c>
      <c r="AP2" s="197"/>
      <c r="AQ2" s="197">
        <v>0.66652410991125821</v>
      </c>
      <c r="AR2" s="197">
        <f t="shared" ref="AR2:AR25" si="5">0.5*0.15</f>
        <v>7.4999999999999997E-2</v>
      </c>
      <c r="AS2" s="196">
        <v>1.5831996863751376</v>
      </c>
      <c r="AT2" s="197">
        <v>0.90936954274920667</v>
      </c>
      <c r="AU2" s="198">
        <v>0.22949855661285143</v>
      </c>
      <c r="AV2" s="197">
        <f t="shared" ref="AV2:AV25" si="6">0.5*0.15</f>
        <v>7.4999999999999997E-2</v>
      </c>
      <c r="AW2" s="198">
        <v>5.7735485940339983E-2</v>
      </c>
      <c r="AX2" s="197">
        <f t="shared" ref="AX2:BB9" si="7">0.5*0.15</f>
        <v>7.4999999999999997E-2</v>
      </c>
      <c r="AY2" s="197">
        <f t="shared" si="7"/>
        <v>7.4999999999999997E-2</v>
      </c>
      <c r="AZ2" s="197">
        <f t="shared" si="7"/>
        <v>7.4999999999999997E-2</v>
      </c>
      <c r="BA2" s="197">
        <f t="shared" si="7"/>
        <v>7.4999999999999997E-2</v>
      </c>
      <c r="BB2" s="197">
        <f t="shared" si="7"/>
        <v>7.4999999999999997E-2</v>
      </c>
      <c r="BC2" s="199"/>
      <c r="BD2" s="199"/>
      <c r="BE2" s="199"/>
      <c r="BF2" s="199"/>
      <c r="BG2" s="199"/>
      <c r="BH2" s="199"/>
      <c r="BI2" s="199"/>
      <c r="BJ2" s="200"/>
      <c r="BK2" s="201"/>
      <c r="BL2" s="185"/>
      <c r="BM2" s="202"/>
      <c r="BN2" s="202">
        <v>73</v>
      </c>
      <c r="BO2" s="203"/>
      <c r="BP2" s="203"/>
      <c r="BQ2" s="203"/>
      <c r="BR2" s="203"/>
      <c r="BS2" s="203"/>
      <c r="BT2" s="203"/>
      <c r="BU2" s="203"/>
      <c r="BV2" s="203"/>
      <c r="BW2" s="203"/>
      <c r="BX2" s="203"/>
      <c r="BY2" s="203"/>
      <c r="BZ2" s="203"/>
      <c r="CA2" s="203"/>
      <c r="CB2" s="203"/>
      <c r="CC2" s="203"/>
      <c r="CD2" s="203"/>
      <c r="CE2" s="203"/>
      <c r="CF2" s="203"/>
      <c r="CG2" s="203"/>
      <c r="CH2" s="203"/>
      <c r="CI2" s="204"/>
      <c r="CJ2" s="204"/>
      <c r="CK2" s="204"/>
      <c r="CL2" s="204"/>
      <c r="CM2" s="204"/>
      <c r="CN2" s="204"/>
      <c r="CO2" s="204"/>
      <c r="CP2" s="204"/>
      <c r="CQ2" s="205"/>
      <c r="CR2" s="205"/>
      <c r="CS2" s="205"/>
      <c r="CT2" s="205"/>
      <c r="CU2" s="205"/>
      <c r="CV2" s="205"/>
      <c r="CW2" s="205"/>
      <c r="CX2" s="205"/>
      <c r="CY2" s="206"/>
    </row>
    <row r="3" spans="1:103" x14ac:dyDescent="0.2">
      <c r="A3" s="185" t="s">
        <v>171</v>
      </c>
      <c r="B3" s="185" t="s">
        <v>171</v>
      </c>
      <c r="C3" s="186" t="s">
        <v>20</v>
      </c>
      <c r="D3" s="185"/>
      <c r="E3" s="187"/>
      <c r="F3" s="187"/>
      <c r="G3" s="188">
        <v>45174</v>
      </c>
      <c r="H3" s="189">
        <v>2023</v>
      </c>
      <c r="I3" s="190" t="s">
        <v>33</v>
      </c>
      <c r="J3" s="190">
        <v>10</v>
      </c>
      <c r="K3" s="191">
        <v>0.56852485409542486</v>
      </c>
      <c r="L3" s="191"/>
      <c r="M3" s="207">
        <v>0.55535444947209645</v>
      </c>
      <c r="N3" s="192">
        <v>1.4680693815987933</v>
      </c>
      <c r="O3" s="192">
        <v>5.8920412267471081</v>
      </c>
      <c r="P3" s="192">
        <v>4.8552941176470581</v>
      </c>
      <c r="Q3" s="192">
        <v>9.2394067370537964</v>
      </c>
      <c r="R3" s="192">
        <v>8.4134942182001016</v>
      </c>
      <c r="S3" s="192">
        <v>1.8209049773755654</v>
      </c>
      <c r="T3" s="193">
        <v>32.244565108094513</v>
      </c>
      <c r="U3" s="17">
        <f t="shared" si="0"/>
        <v>240.88015495845207</v>
      </c>
      <c r="V3" s="194">
        <f>0.5*0.0251382604323781</f>
        <v>1.2569130216189051E-2</v>
      </c>
      <c r="W3" s="195">
        <v>0.11514735685776428</v>
      </c>
      <c r="X3" s="183">
        <v>5.8818646140047282E-2</v>
      </c>
      <c r="Y3" s="194">
        <v>2.1062693854441143E-2</v>
      </c>
      <c r="Z3" s="183">
        <v>1.7454497522672658E-2</v>
      </c>
      <c r="AA3" s="183">
        <v>1.7526688127611819E-2</v>
      </c>
      <c r="AB3" s="194">
        <v>1.5507586635324781E-2</v>
      </c>
      <c r="AC3" s="194">
        <f>0.5*0.0502765208647562</f>
        <v>2.5138260432378101E-2</v>
      </c>
      <c r="AD3" s="195">
        <v>0.24551746913786199</v>
      </c>
      <c r="AE3" s="152">
        <f t="shared" si="1"/>
        <v>0.24063210183137837</v>
      </c>
      <c r="AF3" s="185"/>
      <c r="AG3" s="185"/>
      <c r="AH3" s="196">
        <v>4.1781765937758726</v>
      </c>
      <c r="AI3" s="197">
        <f t="shared" si="2"/>
        <v>0.2</v>
      </c>
      <c r="AJ3" s="197">
        <f>0.5*0.21</f>
        <v>0.105</v>
      </c>
      <c r="AK3" s="197">
        <f t="shared" si="3"/>
        <v>0.115</v>
      </c>
      <c r="AL3" s="197">
        <f t="shared" si="4"/>
        <v>7.4999999999999997E-2</v>
      </c>
      <c r="AM3" s="197">
        <f t="shared" si="4"/>
        <v>7.4999999999999997E-2</v>
      </c>
      <c r="AN3" s="197">
        <v>0.2692089157291514</v>
      </c>
      <c r="AO3" s="198">
        <v>0.12287537135343107</v>
      </c>
      <c r="AP3" s="198"/>
      <c r="AQ3" s="197">
        <v>0.2948911508303706</v>
      </c>
      <c r="AR3" s="197">
        <f t="shared" si="5"/>
        <v>7.4999999999999997E-2</v>
      </c>
      <c r="AS3" s="197">
        <v>0.39849672884300069</v>
      </c>
      <c r="AT3" s="198">
        <v>0.22703290637835027</v>
      </c>
      <c r="AU3" s="197">
        <f>0.5*0.76</f>
        <v>0.38</v>
      </c>
      <c r="AV3" s="197">
        <f t="shared" si="6"/>
        <v>7.4999999999999997E-2</v>
      </c>
      <c r="AW3" s="197">
        <f t="shared" ref="AW3:AW25" si="8">0.5*0.15</f>
        <v>7.4999999999999997E-2</v>
      </c>
      <c r="AX3" s="197">
        <f t="shared" si="7"/>
        <v>7.4999999999999997E-2</v>
      </c>
      <c r="AY3" s="197">
        <f t="shared" si="7"/>
        <v>7.4999999999999997E-2</v>
      </c>
      <c r="AZ3" s="197">
        <f t="shared" si="7"/>
        <v>7.4999999999999997E-2</v>
      </c>
      <c r="BA3" s="197">
        <f t="shared" si="7"/>
        <v>7.4999999999999997E-2</v>
      </c>
      <c r="BB3" s="197">
        <f t="shared" si="7"/>
        <v>7.4999999999999997E-2</v>
      </c>
      <c r="BC3" s="199"/>
      <c r="BD3" s="199"/>
      <c r="BE3" s="199"/>
      <c r="BF3" s="199"/>
      <c r="BG3" s="199"/>
      <c r="BH3" s="199"/>
      <c r="BI3" s="199"/>
      <c r="BJ3" s="200"/>
      <c r="BK3" s="208"/>
      <c r="BL3" s="185"/>
      <c r="BM3" s="202"/>
      <c r="BN3" s="202">
        <v>38</v>
      </c>
      <c r="BO3" s="203"/>
      <c r="BP3" s="203"/>
      <c r="BQ3" s="203"/>
      <c r="BR3" s="203"/>
      <c r="BS3" s="203"/>
      <c r="BT3" s="203"/>
      <c r="BU3" s="203"/>
      <c r="BV3" s="203"/>
      <c r="BW3" s="203"/>
      <c r="BX3" s="203"/>
      <c r="BY3" s="203"/>
      <c r="BZ3" s="203"/>
      <c r="CA3" s="203"/>
      <c r="CB3" s="203"/>
      <c r="CC3" s="203"/>
      <c r="CD3" s="203"/>
      <c r="CE3" s="203"/>
      <c r="CF3" s="203"/>
      <c r="CG3" s="203"/>
      <c r="CH3" s="203"/>
      <c r="CI3" s="204"/>
      <c r="CJ3" s="204"/>
      <c r="CK3" s="204"/>
      <c r="CL3" s="204"/>
      <c r="CM3" s="204"/>
      <c r="CN3" s="204"/>
      <c r="CO3" s="204"/>
      <c r="CP3" s="204"/>
      <c r="CQ3" s="205"/>
      <c r="CR3" s="205"/>
      <c r="CS3" s="205"/>
      <c r="CT3" s="205"/>
      <c r="CU3" s="205"/>
      <c r="CV3" s="205"/>
      <c r="CW3" s="205"/>
      <c r="CX3" s="205"/>
      <c r="CY3" s="206"/>
    </row>
    <row r="4" spans="1:103" x14ac:dyDescent="0.2">
      <c r="A4" s="185" t="s">
        <v>23</v>
      </c>
      <c r="B4" s="185" t="s">
        <v>23</v>
      </c>
      <c r="C4" s="186" t="s">
        <v>20</v>
      </c>
      <c r="D4" s="185"/>
      <c r="E4" s="187"/>
      <c r="F4" s="187"/>
      <c r="G4" s="188">
        <v>45169</v>
      </c>
      <c r="H4" s="189">
        <v>2023</v>
      </c>
      <c r="I4" s="190" t="s">
        <v>33</v>
      </c>
      <c r="J4" s="190">
        <v>10</v>
      </c>
      <c r="K4" s="191">
        <v>0.56772908366536023</v>
      </c>
      <c r="L4" s="191"/>
      <c r="M4" s="207">
        <v>0.20016655236602329</v>
      </c>
      <c r="N4" s="192">
        <v>1.168085627510532</v>
      </c>
      <c r="O4" s="192">
        <v>4.4648329577740764</v>
      </c>
      <c r="P4" s="192">
        <v>3.3233957088272752</v>
      </c>
      <c r="Q4" s="192">
        <v>8.3775546193788557</v>
      </c>
      <c r="R4" s="192">
        <v>7.7184481238365823</v>
      </c>
      <c r="S4" s="192">
        <v>2.0277358675418826</v>
      </c>
      <c r="T4" s="193">
        <v>27.280219457235223</v>
      </c>
      <c r="U4" s="17">
        <f t="shared" si="0"/>
        <v>210.9881670473743</v>
      </c>
      <c r="V4" s="194">
        <f>0.5*0.024492995003429</f>
        <v>1.22464975017145E-2</v>
      </c>
      <c r="W4" s="183">
        <v>4.1362112151506883E-2</v>
      </c>
      <c r="X4" s="183">
        <v>2.8783740535993703E-2</v>
      </c>
      <c r="Y4" s="183">
        <v>1.7120965943289226E-2</v>
      </c>
      <c r="Z4" s="194">
        <v>2.2125998443970289E-2</v>
      </c>
      <c r="AA4" s="194">
        <f>0.5*0.0391887920054864</f>
        <v>1.9594396002743202E-2</v>
      </c>
      <c r="AB4" s="194">
        <f>0.5*0.024492995003429</f>
        <v>1.22464975017145E-2</v>
      </c>
      <c r="AC4" s="194">
        <f>0.5*0.048985990006858</f>
        <v>2.4492995003429E-2</v>
      </c>
      <c r="AD4" s="195">
        <v>0.1093928170747601</v>
      </c>
      <c r="AE4" s="152">
        <f t="shared" si="1"/>
        <v>0.13135420963696201</v>
      </c>
      <c r="AF4" s="185"/>
      <c r="AG4" s="185"/>
      <c r="AH4" s="209">
        <v>13.485258489713795</v>
      </c>
      <c r="AI4" s="197">
        <f t="shared" si="2"/>
        <v>0.2</v>
      </c>
      <c r="AJ4" s="197">
        <f>0.5*0.21</f>
        <v>0.105</v>
      </c>
      <c r="AK4" s="197">
        <f t="shared" si="3"/>
        <v>0.115</v>
      </c>
      <c r="AL4" s="197">
        <f t="shared" si="4"/>
        <v>7.4999999999999997E-2</v>
      </c>
      <c r="AM4" s="197">
        <f t="shared" si="4"/>
        <v>7.4999999999999997E-2</v>
      </c>
      <c r="AN4" s="196">
        <v>1.0733653622414763</v>
      </c>
      <c r="AO4" s="198">
        <v>0.10807703363035358</v>
      </c>
      <c r="AP4" s="198"/>
      <c r="AQ4" s="197">
        <v>0.78409230895577553</v>
      </c>
      <c r="AR4" s="197">
        <f t="shared" si="5"/>
        <v>7.4999999999999997E-2</v>
      </c>
      <c r="AS4" s="197">
        <v>0.94626260967163534</v>
      </c>
      <c r="AT4" s="197">
        <v>0.4316785064126254</v>
      </c>
      <c r="AU4" s="198">
        <v>0.33018519278938946</v>
      </c>
      <c r="AV4" s="197">
        <f t="shared" si="6"/>
        <v>7.4999999999999997E-2</v>
      </c>
      <c r="AW4" s="197">
        <f t="shared" si="8"/>
        <v>7.4999999999999997E-2</v>
      </c>
      <c r="AX4" s="197">
        <f t="shared" si="7"/>
        <v>7.4999999999999997E-2</v>
      </c>
      <c r="AY4" s="197">
        <f t="shared" si="7"/>
        <v>7.4999999999999997E-2</v>
      </c>
      <c r="AZ4" s="197">
        <f t="shared" si="7"/>
        <v>7.4999999999999997E-2</v>
      </c>
      <c r="BA4" s="197">
        <f t="shared" si="7"/>
        <v>7.4999999999999997E-2</v>
      </c>
      <c r="BB4" s="197">
        <f t="shared" si="7"/>
        <v>7.4999999999999997E-2</v>
      </c>
      <c r="BC4" s="199"/>
      <c r="BD4" s="199"/>
      <c r="BE4" s="199"/>
      <c r="BF4" s="199"/>
      <c r="BG4" s="199"/>
      <c r="BH4" s="199"/>
      <c r="BI4" s="199"/>
      <c r="BJ4" s="200"/>
      <c r="BK4" s="210"/>
      <c r="BL4" s="185"/>
      <c r="BM4" s="202"/>
      <c r="BN4" s="202">
        <v>370</v>
      </c>
      <c r="BO4" s="203"/>
      <c r="BP4" s="203"/>
      <c r="BQ4" s="203"/>
      <c r="BR4" s="203"/>
      <c r="BS4" s="203"/>
      <c r="BT4" s="203"/>
      <c r="BU4" s="203"/>
      <c r="BV4" s="203"/>
      <c r="BW4" s="203"/>
      <c r="BX4" s="203"/>
      <c r="BY4" s="203"/>
      <c r="BZ4" s="203"/>
      <c r="CA4" s="203"/>
      <c r="CB4" s="203"/>
      <c r="CC4" s="203"/>
      <c r="CD4" s="203"/>
      <c r="CE4" s="203"/>
      <c r="CF4" s="203"/>
      <c r="CG4" s="203"/>
      <c r="CH4" s="203"/>
      <c r="CI4" s="204"/>
      <c r="CJ4" s="204"/>
      <c r="CK4" s="204"/>
      <c r="CL4" s="204"/>
      <c r="CM4" s="204"/>
      <c r="CN4" s="204"/>
      <c r="CO4" s="204"/>
      <c r="CP4" s="204"/>
      <c r="CQ4" s="205"/>
      <c r="CR4" s="205"/>
      <c r="CS4" s="205"/>
      <c r="CT4" s="205"/>
      <c r="CU4" s="205"/>
      <c r="CV4" s="205"/>
      <c r="CW4" s="205"/>
      <c r="CX4" s="205"/>
      <c r="CY4" s="206"/>
    </row>
    <row r="5" spans="1:103" x14ac:dyDescent="0.2">
      <c r="A5" s="185" t="s">
        <v>26</v>
      </c>
      <c r="B5" s="185" t="s">
        <v>26</v>
      </c>
      <c r="C5" s="186" t="s">
        <v>20</v>
      </c>
      <c r="D5" s="185"/>
      <c r="E5" s="187"/>
      <c r="F5" s="187"/>
      <c r="G5" s="188">
        <v>45177</v>
      </c>
      <c r="H5" s="189">
        <v>2023</v>
      </c>
      <c r="I5" s="190" t="s">
        <v>33</v>
      </c>
      <c r="J5" s="190">
        <v>10</v>
      </c>
      <c r="K5" s="191">
        <v>0.56687067322166473</v>
      </c>
      <c r="L5" s="191"/>
      <c r="M5" s="182">
        <v>2.3991955756661638E-2</v>
      </c>
      <c r="N5" s="182">
        <v>3.6596279537456006E-2</v>
      </c>
      <c r="O5" s="207">
        <v>0.17120663650075416</v>
      </c>
      <c r="P5" s="207">
        <v>0.19407742584213172</v>
      </c>
      <c r="Q5" s="193">
        <v>15.289762821812285</v>
      </c>
      <c r="R5" s="193">
        <v>15.198155280762213</v>
      </c>
      <c r="S5" s="207">
        <v>0.17447963800904978</v>
      </c>
      <c r="T5" s="193">
        <v>31.088270038220553</v>
      </c>
      <c r="U5" s="17">
        <f t="shared" si="0"/>
        <v>272.49771483854659</v>
      </c>
      <c r="V5" s="194">
        <f>0.5*0.0251382604323781</f>
        <v>1.2569130216189051E-2</v>
      </c>
      <c r="W5" s="194">
        <f>0.5*0.0201106083459025</f>
        <v>1.005530417295125E-2</v>
      </c>
      <c r="X5" s="194">
        <f>0.5*0.0201106083459025</f>
        <v>1.005530417295125E-2</v>
      </c>
      <c r="Y5" s="194">
        <f>0.5*0.0301659125188537</f>
        <v>1.508295625942685E-2</v>
      </c>
      <c r="Z5" s="183">
        <v>1.4011993247602083E-2</v>
      </c>
      <c r="AA5" s="183">
        <f>0.5*0.0402212166918049</f>
        <v>2.0110608345902451E-2</v>
      </c>
      <c r="AB5" s="183">
        <f>0.5*0.0251382604323781</f>
        <v>1.2569130216189051E-2</v>
      </c>
      <c r="AC5" s="194">
        <f>0.5*0.0502765208647562</f>
        <v>2.5138260432378101E-2</v>
      </c>
      <c r="AD5" s="194">
        <v>1.4011993247602083E-2</v>
      </c>
      <c r="AE5" s="152">
        <f t="shared" si="1"/>
        <v>8.0442433383609901E-2</v>
      </c>
      <c r="AF5" s="185"/>
      <c r="AG5" s="185"/>
      <c r="AH5" s="197">
        <v>0.55671061162740421</v>
      </c>
      <c r="AI5" s="197">
        <f t="shared" si="2"/>
        <v>0.2</v>
      </c>
      <c r="AJ5" s="197">
        <f>0.5*0.21</f>
        <v>0.105</v>
      </c>
      <c r="AK5" s="197">
        <f t="shared" si="3"/>
        <v>0.115</v>
      </c>
      <c r="AL5" s="197">
        <f t="shared" si="4"/>
        <v>7.4999999999999997E-2</v>
      </c>
      <c r="AM5" s="197">
        <f t="shared" si="4"/>
        <v>7.4999999999999997E-2</v>
      </c>
      <c r="AN5" s="197">
        <v>6.6032706577335912E-2</v>
      </c>
      <c r="AO5" s="197">
        <f>0.5*0.15</f>
        <v>7.4999999999999997E-2</v>
      </c>
      <c r="AP5" s="197"/>
      <c r="AQ5" s="197">
        <f>0.5*0.18</f>
        <v>0.09</v>
      </c>
      <c r="AR5" s="197">
        <f t="shared" si="5"/>
        <v>7.4999999999999997E-2</v>
      </c>
      <c r="AS5" s="197">
        <f>0.5*0.37</f>
        <v>0.185</v>
      </c>
      <c r="AT5" s="197">
        <f>0.5*0.41</f>
        <v>0.20499999999999999</v>
      </c>
      <c r="AU5" s="197">
        <f t="shared" ref="AU5:AU15" si="9">0.5*0.76</f>
        <v>0.38</v>
      </c>
      <c r="AV5" s="197">
        <f t="shared" si="6"/>
        <v>7.4999999999999997E-2</v>
      </c>
      <c r="AW5" s="197">
        <f t="shared" si="8"/>
        <v>7.4999999999999997E-2</v>
      </c>
      <c r="AX5" s="197">
        <f t="shared" si="7"/>
        <v>7.4999999999999997E-2</v>
      </c>
      <c r="AY5" s="197">
        <f t="shared" si="7"/>
        <v>7.4999999999999997E-2</v>
      </c>
      <c r="AZ5" s="197">
        <f t="shared" si="7"/>
        <v>7.4999999999999997E-2</v>
      </c>
      <c r="BA5" s="197">
        <f t="shared" si="7"/>
        <v>7.4999999999999997E-2</v>
      </c>
      <c r="BB5" s="197">
        <f t="shared" si="7"/>
        <v>7.4999999999999997E-2</v>
      </c>
      <c r="BC5" s="199"/>
      <c r="BD5" s="199"/>
      <c r="BE5" s="199"/>
      <c r="BF5" s="199"/>
      <c r="BG5" s="199"/>
      <c r="BH5" s="199"/>
      <c r="BI5" s="199"/>
      <c r="BJ5" s="200"/>
      <c r="BK5" s="211"/>
      <c r="BL5" s="185"/>
      <c r="BM5" s="202"/>
      <c r="BN5" s="202">
        <v>41</v>
      </c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4"/>
      <c r="CJ5" s="204"/>
      <c r="CK5" s="204"/>
      <c r="CL5" s="204"/>
      <c r="CM5" s="204"/>
      <c r="CN5" s="204"/>
      <c r="CO5" s="204"/>
      <c r="CP5" s="204"/>
      <c r="CQ5" s="205"/>
      <c r="CR5" s="205"/>
      <c r="CS5" s="205"/>
      <c r="CT5" s="205"/>
      <c r="CU5" s="205"/>
      <c r="CV5" s="205"/>
      <c r="CW5" s="205"/>
      <c r="CX5" s="205"/>
      <c r="CY5" s="206"/>
    </row>
    <row r="6" spans="1:103" x14ac:dyDescent="0.2">
      <c r="A6" s="185" t="s">
        <v>79</v>
      </c>
      <c r="B6" s="185" t="s">
        <v>79</v>
      </c>
      <c r="C6" s="186" t="s">
        <v>20</v>
      </c>
      <c r="D6" s="185"/>
      <c r="E6" s="187"/>
      <c r="F6" s="187"/>
      <c r="G6" s="188">
        <v>45169</v>
      </c>
      <c r="H6" s="189">
        <v>2023</v>
      </c>
      <c r="I6" s="190" t="s">
        <v>33</v>
      </c>
      <c r="J6" s="190">
        <v>10</v>
      </c>
      <c r="K6" s="191">
        <v>0.67045916294195507</v>
      </c>
      <c r="L6" s="191"/>
      <c r="M6" s="207">
        <v>0.21301336454980005</v>
      </c>
      <c r="N6" s="207">
        <v>0.43243585991610578</v>
      </c>
      <c r="O6" s="192">
        <v>1.5412740220466299</v>
      </c>
      <c r="P6" s="192">
        <v>1.2459467369037167</v>
      </c>
      <c r="Q6" s="192">
        <v>2.7617647058823529</v>
      </c>
      <c r="R6" s="192">
        <v>2.6039020583357724</v>
      </c>
      <c r="S6" s="207">
        <v>0.70495073651351092</v>
      </c>
      <c r="T6" s="193">
        <v>9.5032874841478883</v>
      </c>
      <c r="U6" s="17">
        <f t="shared" si="0"/>
        <v>61.579744178684976</v>
      </c>
      <c r="V6" s="194">
        <f>0.5*0.0243878645985758</f>
        <v>1.2193932299287899E-2</v>
      </c>
      <c r="W6" s="194">
        <v>1.9419378560423195E-2</v>
      </c>
      <c r="X6" s="194">
        <v>1.9785511744822872E-2</v>
      </c>
      <c r="Y6" s="194">
        <v>1.1963900529724555E-2</v>
      </c>
      <c r="Z6" s="183">
        <v>2.2561808266358847E-2</v>
      </c>
      <c r="AA6" s="183">
        <f>0.5*0.0390205833577212</f>
        <v>1.9510291678860599E-2</v>
      </c>
      <c r="AB6" s="183">
        <f>0.5*0.0243878645985758</f>
        <v>1.2193932299287899E-2</v>
      </c>
      <c r="AC6" s="194">
        <f>0.5*0.0507305194805195</f>
        <v>2.536525974025975E-2</v>
      </c>
      <c r="AD6" s="194">
        <v>7.373059910132948E-2</v>
      </c>
      <c r="AE6" s="152">
        <f t="shared" si="1"/>
        <v>9.5066947112407013E-2</v>
      </c>
      <c r="AF6" s="185"/>
      <c r="AG6" s="185"/>
      <c r="AH6" s="196">
        <v>5.1885249330655947</v>
      </c>
      <c r="AI6" s="197">
        <f t="shared" si="2"/>
        <v>0.2</v>
      </c>
      <c r="AJ6" s="198">
        <v>8.1632083891120019E-2</v>
      </c>
      <c r="AK6" s="197">
        <f t="shared" si="3"/>
        <v>0.115</v>
      </c>
      <c r="AL6" s="197">
        <f t="shared" ref="AL6:AL25" si="10">0.5*0.15</f>
        <v>7.4999999999999997E-2</v>
      </c>
      <c r="AM6" s="198">
        <v>5.7730923694779099E-2</v>
      </c>
      <c r="AN6" s="197">
        <v>0.47986390004462282</v>
      </c>
      <c r="AO6" s="197">
        <f>0.5*0.15</f>
        <v>7.4999999999999997E-2</v>
      </c>
      <c r="AP6" s="197"/>
      <c r="AQ6" s="197">
        <v>0.43946619812583659</v>
      </c>
      <c r="AR6" s="197">
        <f t="shared" si="5"/>
        <v>7.4999999999999997E-2</v>
      </c>
      <c r="AS6" s="197">
        <v>0.6258087907184291</v>
      </c>
      <c r="AT6" s="198">
        <v>0.13289268183846495</v>
      </c>
      <c r="AU6" s="197">
        <f t="shared" si="9"/>
        <v>0.38</v>
      </c>
      <c r="AV6" s="197">
        <f t="shared" si="6"/>
        <v>7.4999999999999997E-2</v>
      </c>
      <c r="AW6" s="197">
        <f t="shared" si="8"/>
        <v>7.4999999999999997E-2</v>
      </c>
      <c r="AX6" s="197">
        <f t="shared" si="7"/>
        <v>7.4999999999999997E-2</v>
      </c>
      <c r="AY6" s="197">
        <f t="shared" si="7"/>
        <v>7.4999999999999997E-2</v>
      </c>
      <c r="AZ6" s="197">
        <f t="shared" si="7"/>
        <v>7.4999999999999997E-2</v>
      </c>
      <c r="BA6" s="197">
        <f t="shared" si="7"/>
        <v>7.4999999999999997E-2</v>
      </c>
      <c r="BB6" s="197">
        <f t="shared" si="7"/>
        <v>7.4999999999999997E-2</v>
      </c>
      <c r="BC6" s="199"/>
      <c r="BD6" s="199"/>
      <c r="BE6" s="199"/>
      <c r="BF6" s="199"/>
      <c r="BG6" s="199"/>
      <c r="BH6" s="199"/>
      <c r="BI6" s="199"/>
      <c r="BJ6" s="200"/>
      <c r="BK6" s="210"/>
      <c r="BL6" s="185"/>
      <c r="BM6" s="202"/>
      <c r="BN6" s="202">
        <v>110</v>
      </c>
      <c r="BO6" s="203"/>
      <c r="BP6" s="203"/>
      <c r="BQ6" s="203"/>
      <c r="BR6" s="203"/>
      <c r="BS6" s="203"/>
      <c r="BT6" s="203"/>
      <c r="BU6" s="203"/>
      <c r="BV6" s="203"/>
      <c r="BW6" s="203"/>
      <c r="BX6" s="203"/>
      <c r="BY6" s="203"/>
      <c r="BZ6" s="203"/>
      <c r="CA6" s="203"/>
      <c r="CB6" s="203"/>
      <c r="CC6" s="203"/>
      <c r="CD6" s="203"/>
      <c r="CE6" s="203"/>
      <c r="CF6" s="203"/>
      <c r="CG6" s="203"/>
      <c r="CH6" s="203"/>
      <c r="CI6" s="204"/>
      <c r="CJ6" s="204"/>
      <c r="CK6" s="204"/>
      <c r="CL6" s="204"/>
      <c r="CM6" s="204"/>
      <c r="CN6" s="204"/>
      <c r="CO6" s="204"/>
      <c r="CP6" s="204"/>
      <c r="CQ6" s="205"/>
      <c r="CR6" s="205"/>
      <c r="CS6" s="205"/>
      <c r="CT6" s="205"/>
      <c r="CU6" s="205"/>
      <c r="CV6" s="205"/>
      <c r="CW6" s="205"/>
      <c r="CX6" s="205"/>
      <c r="CY6" s="206"/>
    </row>
    <row r="7" spans="1:103" x14ac:dyDescent="0.2">
      <c r="A7" s="185" t="s">
        <v>25</v>
      </c>
      <c r="B7" s="185" t="s">
        <v>25</v>
      </c>
      <c r="C7" s="186" t="s">
        <v>20</v>
      </c>
      <c r="D7" s="185"/>
      <c r="E7" s="187"/>
      <c r="F7" s="187"/>
      <c r="G7" s="188">
        <v>45170</v>
      </c>
      <c r="H7" s="189">
        <v>2023</v>
      </c>
      <c r="I7" s="190" t="s">
        <v>33</v>
      </c>
      <c r="J7" s="190">
        <v>10</v>
      </c>
      <c r="K7" s="191">
        <v>0.58063870257286399</v>
      </c>
      <c r="L7" s="191"/>
      <c r="M7" s="212">
        <f>0.5*0.039</f>
        <v>1.95E-2</v>
      </c>
      <c r="N7" s="212">
        <v>6.0789240319243279E-2</v>
      </c>
      <c r="O7" s="207">
        <v>0.69921667159326051</v>
      </c>
      <c r="P7" s="207">
        <v>0.54887181003054497</v>
      </c>
      <c r="Q7" s="192">
        <v>2.5416198640260124</v>
      </c>
      <c r="R7" s="192">
        <v>2.1435412355897134</v>
      </c>
      <c r="S7" s="207">
        <v>0.73793477189870926</v>
      </c>
      <c r="T7" s="192">
        <v>6.731973593457484</v>
      </c>
      <c r="U7" s="17">
        <f t="shared" si="0"/>
        <v>53.411887254006963</v>
      </c>
      <c r="V7" s="213">
        <f>0.5*0.0246329687653956</f>
        <v>1.23164843826978E-2</v>
      </c>
      <c r="W7" s="213">
        <v>5.3543620087528804E-2</v>
      </c>
      <c r="X7" s="213">
        <v>3.4330691037025962E-2</v>
      </c>
      <c r="Y7" s="213">
        <v>4.7884913448240758E-2</v>
      </c>
      <c r="Z7" s="213">
        <v>1.7692556819453274E-2</v>
      </c>
      <c r="AA7" s="213">
        <v>7.726382386593276E-3</v>
      </c>
      <c r="AB7" s="213">
        <f>0.5*0.0246329687653956</f>
        <v>1.23164843826978E-2</v>
      </c>
      <c r="AC7" s="194">
        <f>0.5*0.0492659375307912</f>
        <v>2.4632968765395599E-2</v>
      </c>
      <c r="AD7" s="195">
        <v>0.16117816377884209</v>
      </c>
      <c r="AE7" s="152">
        <f t="shared" si="1"/>
        <v>0.16811857572478442</v>
      </c>
      <c r="AF7" s="185"/>
      <c r="AG7" s="185"/>
      <c r="AH7" s="209">
        <v>12.367993447268216</v>
      </c>
      <c r="AI7" s="197">
        <f t="shared" si="2"/>
        <v>0.2</v>
      </c>
      <c r="AJ7" s="197">
        <f t="shared" ref="AJ7:AJ12" si="11">0.5*0.21</f>
        <v>0.105</v>
      </c>
      <c r="AK7" s="197">
        <f t="shared" si="3"/>
        <v>0.115</v>
      </c>
      <c r="AL7" s="197">
        <f t="shared" si="10"/>
        <v>7.4999999999999997E-2</v>
      </c>
      <c r="AM7" s="197">
        <f>0.5*0.15</f>
        <v>7.4999999999999997E-2</v>
      </c>
      <c r="AN7" s="197">
        <v>0.93556480415596688</v>
      </c>
      <c r="AO7" s="197">
        <v>0.27468343221464619</v>
      </c>
      <c r="AP7" s="197"/>
      <c r="AQ7" s="197">
        <v>0.30191268927654291</v>
      </c>
      <c r="AR7" s="197">
        <f t="shared" si="5"/>
        <v>7.4999999999999997E-2</v>
      </c>
      <c r="AS7" s="197">
        <v>0.16206204433424831</v>
      </c>
      <c r="AT7" s="197">
        <f>0.5*0.41</f>
        <v>0.20499999999999999</v>
      </c>
      <c r="AU7" s="197">
        <f t="shared" si="9"/>
        <v>0.38</v>
      </c>
      <c r="AV7" s="197">
        <f t="shared" si="6"/>
        <v>7.4999999999999997E-2</v>
      </c>
      <c r="AW7" s="197">
        <f t="shared" si="8"/>
        <v>7.4999999999999997E-2</v>
      </c>
      <c r="AX7" s="197">
        <f t="shared" si="7"/>
        <v>7.4999999999999997E-2</v>
      </c>
      <c r="AY7" s="197">
        <f t="shared" si="7"/>
        <v>7.4999999999999997E-2</v>
      </c>
      <c r="AZ7" s="197">
        <f t="shared" si="7"/>
        <v>7.4999999999999997E-2</v>
      </c>
      <c r="BA7" s="197">
        <f t="shared" si="7"/>
        <v>7.4999999999999997E-2</v>
      </c>
      <c r="BB7" s="197">
        <f t="shared" si="7"/>
        <v>7.4999999999999997E-2</v>
      </c>
      <c r="BC7" s="199"/>
      <c r="BD7" s="199"/>
      <c r="BE7" s="199"/>
      <c r="BF7" s="199"/>
      <c r="BG7" s="199"/>
      <c r="BH7" s="199"/>
      <c r="BI7" s="199"/>
      <c r="BJ7" s="200"/>
      <c r="BK7" s="210"/>
      <c r="BL7" s="185"/>
      <c r="BM7" s="202"/>
      <c r="BN7" s="202">
        <v>86</v>
      </c>
      <c r="BO7" s="203"/>
      <c r="BP7" s="203"/>
      <c r="BQ7" s="203"/>
      <c r="BR7" s="203"/>
      <c r="BS7" s="203"/>
      <c r="BT7" s="203"/>
      <c r="BU7" s="203"/>
      <c r="BV7" s="203"/>
      <c r="BW7" s="203"/>
      <c r="BX7" s="203"/>
      <c r="BY7" s="203"/>
      <c r="BZ7" s="203"/>
      <c r="CA7" s="203"/>
      <c r="CB7" s="203"/>
      <c r="CC7" s="203"/>
      <c r="CD7" s="203"/>
      <c r="CE7" s="203"/>
      <c r="CF7" s="203"/>
      <c r="CG7" s="203"/>
      <c r="CH7" s="203"/>
      <c r="CI7" s="204"/>
      <c r="CJ7" s="204"/>
      <c r="CK7" s="204"/>
      <c r="CL7" s="204"/>
      <c r="CM7" s="204"/>
      <c r="CN7" s="204"/>
      <c r="CO7" s="204"/>
      <c r="CP7" s="204"/>
      <c r="CQ7" s="205"/>
      <c r="CR7" s="205"/>
      <c r="CS7" s="205"/>
      <c r="CT7" s="205"/>
      <c r="CU7" s="205"/>
      <c r="CV7" s="205"/>
      <c r="CW7" s="205"/>
      <c r="CX7" s="205"/>
      <c r="CY7" s="206"/>
    </row>
    <row r="8" spans="1:103" x14ac:dyDescent="0.2">
      <c r="A8" s="185" t="s">
        <v>6</v>
      </c>
      <c r="B8" s="185" t="s">
        <v>6</v>
      </c>
      <c r="C8" s="186" t="s">
        <v>20</v>
      </c>
      <c r="D8" s="185"/>
      <c r="E8" s="187"/>
      <c r="F8" s="187"/>
      <c r="G8" s="188">
        <v>45175</v>
      </c>
      <c r="H8" s="189">
        <v>2023</v>
      </c>
      <c r="I8" s="190" t="s">
        <v>33</v>
      </c>
      <c r="J8" s="190">
        <v>10</v>
      </c>
      <c r="K8" s="191">
        <v>0.48081738956230963</v>
      </c>
      <c r="L8" s="191"/>
      <c r="M8" s="182">
        <v>3.5046305617072684E-2</v>
      </c>
      <c r="N8" s="207">
        <v>0.38043587678679291</v>
      </c>
      <c r="O8" s="192">
        <v>2.3064274209784581</v>
      </c>
      <c r="P8" s="192">
        <v>1.8520636198912825</v>
      </c>
      <c r="Q8" s="192">
        <v>5.3342963559492658</v>
      </c>
      <c r="R8" s="192">
        <v>4.2933058184014499</v>
      </c>
      <c r="S8" s="192">
        <v>1.2768773907791424</v>
      </c>
      <c r="T8" s="193">
        <v>15.477300181195895</v>
      </c>
      <c r="U8" s="17">
        <f t="shared" si="0"/>
        <v>141.70025319712695</v>
      </c>
      <c r="V8" s="194">
        <f>0.5*0.025166096235152</f>
        <v>1.2583048117576E-2</v>
      </c>
      <c r="W8" s="194">
        <v>0.12606724087022481</v>
      </c>
      <c r="X8" s="194">
        <v>4.3198189251169403E-2</v>
      </c>
      <c r="Y8" s="194">
        <v>8.5261853004302848E-2</v>
      </c>
      <c r="Z8" s="183">
        <v>2.0523895227499023E-2</v>
      </c>
      <c r="AA8" s="183">
        <v>9.8970240420161535E-3</v>
      </c>
      <c r="AB8" s="183">
        <f>0.5*0.025166096235152</f>
        <v>1.2583048117576E-2</v>
      </c>
      <c r="AC8" s="213">
        <f>0.5*0.050332192470304</f>
        <v>2.5166096235152001E-2</v>
      </c>
      <c r="AD8" s="195">
        <v>0.28494820239521224</v>
      </c>
      <c r="AE8" s="152">
        <f t="shared" si="1"/>
        <v>0.28959040340286518</v>
      </c>
      <c r="AF8" s="185"/>
      <c r="AG8" s="185"/>
      <c r="AH8" s="196">
        <v>4.9399306794433961</v>
      </c>
      <c r="AI8" s="197">
        <f t="shared" si="2"/>
        <v>0.2</v>
      </c>
      <c r="AJ8" s="197">
        <f t="shared" si="11"/>
        <v>0.105</v>
      </c>
      <c r="AK8" s="197">
        <f t="shared" si="3"/>
        <v>0.115</v>
      </c>
      <c r="AL8" s="197">
        <f t="shared" si="10"/>
        <v>7.4999999999999997E-2</v>
      </c>
      <c r="AM8" s="198">
        <v>6.7638513685712817E-2</v>
      </c>
      <c r="AN8" s="197">
        <v>0.66765210595171354</v>
      </c>
      <c r="AO8" s="198">
        <v>9.2716244456904018E-2</v>
      </c>
      <c r="AP8" s="198"/>
      <c r="AQ8" s="197">
        <v>0.27957592130077985</v>
      </c>
      <c r="AR8" s="197">
        <f t="shared" si="5"/>
        <v>7.4999999999999997E-2</v>
      </c>
      <c r="AS8" s="197">
        <v>0.22627724824574819</v>
      </c>
      <c r="AT8" s="197">
        <f>0.5*0.41</f>
        <v>0.20499999999999999</v>
      </c>
      <c r="AU8" s="197">
        <f t="shared" si="9"/>
        <v>0.38</v>
      </c>
      <c r="AV8" s="197">
        <f t="shared" si="6"/>
        <v>7.4999999999999997E-2</v>
      </c>
      <c r="AW8" s="197">
        <f t="shared" si="8"/>
        <v>7.4999999999999997E-2</v>
      </c>
      <c r="AX8" s="197">
        <f t="shared" si="7"/>
        <v>7.4999999999999997E-2</v>
      </c>
      <c r="AY8" s="197">
        <f t="shared" si="7"/>
        <v>7.4999999999999997E-2</v>
      </c>
      <c r="AZ8" s="197">
        <f t="shared" si="7"/>
        <v>7.4999999999999997E-2</v>
      </c>
      <c r="BA8" s="197">
        <f t="shared" si="7"/>
        <v>7.4999999999999997E-2</v>
      </c>
      <c r="BB8" s="197">
        <f t="shared" si="7"/>
        <v>7.4999999999999997E-2</v>
      </c>
      <c r="BC8" s="199"/>
      <c r="BD8" s="199"/>
      <c r="BE8" s="199"/>
      <c r="BF8" s="199"/>
      <c r="BG8" s="199"/>
      <c r="BH8" s="199"/>
      <c r="BI8" s="199"/>
      <c r="BJ8" s="200"/>
      <c r="BK8" s="211"/>
      <c r="BL8" s="185"/>
      <c r="BM8" s="202"/>
      <c r="BN8" s="202">
        <v>54</v>
      </c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4"/>
      <c r="CJ8" s="204"/>
      <c r="CK8" s="204"/>
      <c r="CL8" s="204"/>
      <c r="CM8" s="204"/>
      <c r="CN8" s="204"/>
      <c r="CO8" s="204"/>
      <c r="CP8" s="204"/>
      <c r="CQ8" s="205"/>
      <c r="CR8" s="205"/>
      <c r="CS8" s="205"/>
      <c r="CT8" s="205"/>
      <c r="CU8" s="205"/>
      <c r="CV8" s="205"/>
      <c r="CW8" s="205"/>
      <c r="CX8" s="205"/>
      <c r="CY8" s="206"/>
    </row>
    <row r="9" spans="1:103" x14ac:dyDescent="0.2">
      <c r="A9" s="185" t="s">
        <v>203</v>
      </c>
      <c r="B9" s="185" t="s">
        <v>203</v>
      </c>
      <c r="C9" s="186" t="s">
        <v>20</v>
      </c>
      <c r="D9" s="185"/>
      <c r="E9" s="187"/>
      <c r="F9" s="187"/>
      <c r="G9" s="188">
        <v>45170</v>
      </c>
      <c r="H9" s="189">
        <v>2023</v>
      </c>
      <c r="I9" s="190" t="s">
        <v>33</v>
      </c>
      <c r="J9" s="190">
        <v>10</v>
      </c>
      <c r="K9" s="191">
        <v>0.56471764117944345</v>
      </c>
      <c r="L9" s="191"/>
      <c r="M9" s="207">
        <v>0.44432182985553775</v>
      </c>
      <c r="N9" s="192">
        <v>1.2042987560192617</v>
      </c>
      <c r="O9" s="192">
        <v>5.4840339085072225</v>
      </c>
      <c r="P9" s="192">
        <v>4.5118479133226321</v>
      </c>
      <c r="Q9" s="193">
        <v>11.613563402889245</v>
      </c>
      <c r="R9" s="193">
        <v>10.423725922953452</v>
      </c>
      <c r="S9" s="192">
        <v>3.0970204654895666</v>
      </c>
      <c r="T9" s="193">
        <v>36.778812199036913</v>
      </c>
      <c r="U9" s="17">
        <f t="shared" si="0"/>
        <v>285.69113068898446</v>
      </c>
      <c r="V9" s="194">
        <f>0.5*0.0250802568218299</f>
        <v>1.2540128410914951E-2</v>
      </c>
      <c r="W9" s="194">
        <v>9.5966778310588155E-2</v>
      </c>
      <c r="X9" s="194">
        <v>4.469765995413684E-2</v>
      </c>
      <c r="Y9" s="194">
        <v>5.2282195514730533E-2</v>
      </c>
      <c r="Z9" s="183">
        <v>1.7389299563974406E-2</v>
      </c>
      <c r="AA9" s="183">
        <v>8.5136817328390797E-3</v>
      </c>
      <c r="AB9" s="194">
        <f>0.5*0.0250802568218299</f>
        <v>1.2540128410914951E-2</v>
      </c>
      <c r="AC9" s="194">
        <f>0.5*0.0501605136436597</f>
        <v>2.5080256821829849E-2</v>
      </c>
      <c r="AD9" s="195">
        <v>0.21884961507626902</v>
      </c>
      <c r="AE9" s="152">
        <f t="shared" si="1"/>
        <v>0.22654057233412453</v>
      </c>
      <c r="AF9" s="185"/>
      <c r="AG9" s="185"/>
      <c r="AH9" s="196">
        <v>3.4018073966648927</v>
      </c>
      <c r="AI9" s="197">
        <f t="shared" si="2"/>
        <v>0.2</v>
      </c>
      <c r="AJ9" s="197">
        <f t="shared" si="11"/>
        <v>0.105</v>
      </c>
      <c r="AK9" s="197">
        <f t="shared" si="3"/>
        <v>0.115</v>
      </c>
      <c r="AL9" s="197">
        <f t="shared" si="10"/>
        <v>7.4999999999999997E-2</v>
      </c>
      <c r="AM9" s="198">
        <v>6.5113156885308804E-2</v>
      </c>
      <c r="AN9" s="197">
        <v>0.13369411946446694</v>
      </c>
      <c r="AO9" s="197">
        <f>0.5*0.15</f>
        <v>7.4999999999999997E-2</v>
      </c>
      <c r="AP9" s="197"/>
      <c r="AQ9" s="197">
        <v>0.30418616150648736</v>
      </c>
      <c r="AR9" s="197">
        <f t="shared" si="5"/>
        <v>7.4999999999999997E-2</v>
      </c>
      <c r="AS9" s="197">
        <v>0.60276413774135995</v>
      </c>
      <c r="AT9" s="198">
        <v>0.34287851233353711</v>
      </c>
      <c r="AU9" s="197">
        <f t="shared" si="9"/>
        <v>0.38</v>
      </c>
      <c r="AV9" s="197">
        <f t="shared" si="6"/>
        <v>7.4999999999999997E-2</v>
      </c>
      <c r="AW9" s="197">
        <f t="shared" si="8"/>
        <v>7.4999999999999997E-2</v>
      </c>
      <c r="AX9" s="197">
        <f t="shared" si="7"/>
        <v>7.4999999999999997E-2</v>
      </c>
      <c r="AY9" s="197">
        <f t="shared" si="7"/>
        <v>7.4999999999999997E-2</v>
      </c>
      <c r="AZ9" s="197">
        <f t="shared" si="7"/>
        <v>7.4999999999999997E-2</v>
      </c>
      <c r="BA9" s="197">
        <f t="shared" si="7"/>
        <v>7.4999999999999997E-2</v>
      </c>
      <c r="BB9" s="197">
        <f t="shared" si="7"/>
        <v>7.4999999999999997E-2</v>
      </c>
      <c r="BC9" s="199"/>
      <c r="BD9" s="199"/>
      <c r="BE9" s="199"/>
      <c r="BF9" s="199"/>
      <c r="BG9" s="199"/>
      <c r="BH9" s="199"/>
      <c r="BI9" s="199"/>
      <c r="BJ9" s="200"/>
      <c r="BK9" s="211"/>
      <c r="BL9" s="185"/>
      <c r="BM9" s="202"/>
      <c r="BN9" s="202">
        <v>240</v>
      </c>
      <c r="BO9" s="203"/>
      <c r="BP9" s="203"/>
      <c r="BQ9" s="203"/>
      <c r="BR9" s="203"/>
      <c r="BS9" s="203"/>
      <c r="BT9" s="203"/>
      <c r="BU9" s="203"/>
      <c r="BV9" s="203"/>
      <c r="BW9" s="203"/>
      <c r="BX9" s="203"/>
      <c r="BY9" s="203"/>
      <c r="BZ9" s="203"/>
      <c r="CA9" s="203"/>
      <c r="CB9" s="203"/>
      <c r="CC9" s="203"/>
      <c r="CD9" s="203"/>
      <c r="CE9" s="203"/>
      <c r="CF9" s="203"/>
      <c r="CG9" s="203"/>
      <c r="CH9" s="203"/>
      <c r="CI9" s="204"/>
      <c r="CJ9" s="204"/>
      <c r="CK9" s="204"/>
      <c r="CL9" s="204"/>
      <c r="CM9" s="204"/>
      <c r="CN9" s="204"/>
      <c r="CO9" s="204"/>
      <c r="CP9" s="204"/>
      <c r="CQ9" s="205"/>
      <c r="CR9" s="205"/>
      <c r="CS9" s="205"/>
      <c r="CT9" s="205"/>
      <c r="CU9" s="205"/>
      <c r="CV9" s="205"/>
      <c r="CW9" s="205"/>
      <c r="CX9" s="205"/>
      <c r="CY9" s="206"/>
    </row>
    <row r="10" spans="1:103" s="181" customFormat="1" x14ac:dyDescent="0.2">
      <c r="A10" s="185" t="s">
        <v>204</v>
      </c>
      <c r="B10" s="185" t="s">
        <v>204</v>
      </c>
      <c r="C10" s="186" t="s">
        <v>20</v>
      </c>
      <c r="D10" s="185"/>
      <c r="E10" s="187"/>
      <c r="F10" s="187"/>
      <c r="G10" s="208"/>
      <c r="H10" s="189">
        <v>2021</v>
      </c>
      <c r="I10" s="190" t="s">
        <v>33</v>
      </c>
      <c r="J10" s="190">
        <v>10</v>
      </c>
      <c r="K10" s="191">
        <v>0.56402137344157643</v>
      </c>
      <c r="L10" s="191"/>
      <c r="M10" s="182">
        <v>1.522167487684729E-2</v>
      </c>
      <c r="N10" s="212">
        <v>5.7571428571428572E-2</v>
      </c>
      <c r="O10" s="207">
        <v>0.64161083743842362</v>
      </c>
      <c r="P10" s="207">
        <v>0.53382266009852219</v>
      </c>
      <c r="Q10" s="192">
        <v>2.5490443349753695</v>
      </c>
      <c r="R10" s="192">
        <v>2.1790344827586208</v>
      </c>
      <c r="S10" s="207">
        <v>0.7492512315270935</v>
      </c>
      <c r="T10" s="192">
        <v>6.7255566502463058</v>
      </c>
      <c r="U10" s="17">
        <f t="shared" si="0"/>
        <v>54.889178688094056</v>
      </c>
      <c r="V10" s="194">
        <f>0.5*0.0246305418719212</f>
        <v>1.23152709359606E-2</v>
      </c>
      <c r="W10" s="183">
        <v>5.6462309847059529E-2</v>
      </c>
      <c r="X10" s="183">
        <v>3.7733985775730408E-2</v>
      </c>
      <c r="Y10" s="183">
        <v>5.2100561497443978E-2</v>
      </c>
      <c r="Z10" s="194">
        <v>2.1777794955048644E-2</v>
      </c>
      <c r="AA10" s="194">
        <v>8.4081721315387731E-3</v>
      </c>
      <c r="AB10" s="194">
        <v>7.6434139470555936E-3</v>
      </c>
      <c r="AC10" s="194">
        <f>0.5*0.0492610837438424</f>
        <v>2.4630541871921201E-2</v>
      </c>
      <c r="AD10" s="195">
        <v>0.18412623815387694</v>
      </c>
      <c r="AE10" s="152">
        <f t="shared" si="1"/>
        <v>0.17466371413478887</v>
      </c>
      <c r="AF10" s="185"/>
      <c r="AG10" s="214"/>
      <c r="AH10" s="209">
        <v>24.76489720336167</v>
      </c>
      <c r="AI10" s="197">
        <f t="shared" si="2"/>
        <v>0.2</v>
      </c>
      <c r="AJ10" s="197">
        <f t="shared" si="11"/>
        <v>0.105</v>
      </c>
      <c r="AK10" s="197">
        <f t="shared" si="3"/>
        <v>0.115</v>
      </c>
      <c r="AL10" s="197">
        <f t="shared" si="10"/>
        <v>7.4999999999999997E-2</v>
      </c>
      <c r="AM10" s="198">
        <v>0.14590950097336311</v>
      </c>
      <c r="AN10" s="196">
        <v>1.2500672649288578</v>
      </c>
      <c r="AO10" s="197">
        <v>0.28968235126537206</v>
      </c>
      <c r="AP10" s="197"/>
      <c r="AQ10" s="197">
        <v>0.53829352832249189</v>
      </c>
      <c r="AR10" s="197">
        <f t="shared" si="5"/>
        <v>7.4999999999999997E-2</v>
      </c>
      <c r="AS10" s="197">
        <v>0.38504027982210415</v>
      </c>
      <c r="AT10" s="198">
        <v>0.2182549103398066</v>
      </c>
      <c r="AU10" s="197">
        <f t="shared" si="9"/>
        <v>0.38</v>
      </c>
      <c r="AV10" s="197">
        <f t="shared" si="6"/>
        <v>7.4999999999999997E-2</v>
      </c>
      <c r="AW10" s="197">
        <f t="shared" si="8"/>
        <v>7.4999999999999997E-2</v>
      </c>
      <c r="AX10" s="198">
        <v>7.969707041451024E-2</v>
      </c>
      <c r="AY10" s="197">
        <f t="shared" ref="AY10:BB25" si="12">0.5*0.15</f>
        <v>7.4999999999999997E-2</v>
      </c>
      <c r="AZ10" s="197">
        <f t="shared" si="12"/>
        <v>7.4999999999999997E-2</v>
      </c>
      <c r="BA10" s="197">
        <f t="shared" si="12"/>
        <v>7.4999999999999997E-2</v>
      </c>
      <c r="BB10" s="197">
        <f t="shared" si="12"/>
        <v>7.4999999999999997E-2</v>
      </c>
      <c r="BC10" s="199"/>
      <c r="BD10" s="199"/>
      <c r="BE10" s="199"/>
      <c r="BF10" s="199"/>
      <c r="BG10" s="199"/>
      <c r="BH10" s="199"/>
      <c r="BI10" s="199"/>
      <c r="BJ10" s="200"/>
      <c r="BK10" s="215"/>
      <c r="BL10" s="185"/>
      <c r="BM10" s="202"/>
      <c r="BN10" s="202">
        <v>120</v>
      </c>
      <c r="BO10" s="203"/>
      <c r="BP10" s="203"/>
      <c r="BQ10" s="203"/>
      <c r="BR10" s="203"/>
      <c r="BS10" s="203"/>
      <c r="BT10" s="203"/>
      <c r="BU10" s="203"/>
      <c r="BV10" s="203"/>
      <c r="BW10" s="203"/>
      <c r="BX10" s="203"/>
      <c r="BY10" s="203"/>
      <c r="BZ10" s="203"/>
      <c r="CA10" s="203"/>
      <c r="CB10" s="203"/>
      <c r="CC10" s="203"/>
      <c r="CD10" s="203"/>
      <c r="CE10" s="203"/>
      <c r="CF10" s="203"/>
      <c r="CG10" s="203"/>
      <c r="CH10" s="203"/>
      <c r="CI10" s="204"/>
      <c r="CJ10" s="204"/>
      <c r="CK10" s="204"/>
      <c r="CL10" s="204"/>
      <c r="CM10" s="204"/>
      <c r="CN10" s="204"/>
      <c r="CO10" s="204"/>
      <c r="CP10" s="204"/>
      <c r="CQ10" s="205"/>
      <c r="CR10" s="205"/>
      <c r="CS10" s="205"/>
      <c r="CT10" s="205"/>
      <c r="CU10" s="205"/>
      <c r="CV10" s="205"/>
      <c r="CW10" s="205"/>
      <c r="CX10" s="205"/>
      <c r="CY10" s="206"/>
    </row>
    <row r="11" spans="1:103" s="181" customFormat="1" x14ac:dyDescent="0.2">
      <c r="A11" s="185" t="s">
        <v>205</v>
      </c>
      <c r="B11" s="185" t="s">
        <v>205</v>
      </c>
      <c r="C11" s="186" t="s">
        <v>20</v>
      </c>
      <c r="D11" s="185"/>
      <c r="E11" s="187"/>
      <c r="F11" s="187"/>
      <c r="G11" s="208"/>
      <c r="H11" s="189">
        <v>2020</v>
      </c>
      <c r="I11" s="190" t="s">
        <v>33</v>
      </c>
      <c r="J11" s="190">
        <v>10</v>
      </c>
      <c r="K11" s="191">
        <v>0.66626287098730563</v>
      </c>
      <c r="L11" s="191"/>
      <c r="M11" s="182">
        <v>2.7262835097437928E-2</v>
      </c>
      <c r="N11" s="212">
        <v>5.9644870907112471E-2</v>
      </c>
      <c r="O11" s="207">
        <v>0.66828073993471171</v>
      </c>
      <c r="P11" s="207">
        <v>0.59709170046493221</v>
      </c>
      <c r="Q11" s="192">
        <v>2.8534375309130477</v>
      </c>
      <c r="R11" s="192">
        <v>2.4126026313186268</v>
      </c>
      <c r="S11" s="207">
        <v>0.98198634879810065</v>
      </c>
      <c r="T11" s="192">
        <v>7.6003066574339702</v>
      </c>
      <c r="U11" s="17">
        <f t="shared" si="0"/>
        <v>52.555944972524742</v>
      </c>
      <c r="V11" s="194">
        <f>0.5*0.0247304382233653</f>
        <v>1.2365219111682649E-2</v>
      </c>
      <c r="W11" s="194">
        <v>8.3172326779904299E-2</v>
      </c>
      <c r="X11" s="194">
        <v>4.2777718250608179E-2</v>
      </c>
      <c r="Y11" s="183">
        <v>4.4173612214956463E-2</v>
      </c>
      <c r="Z11" s="194">
        <f>0.5*0.0247304382233653</f>
        <v>1.2365219111682649E-2</v>
      </c>
      <c r="AA11" s="183">
        <v>1.4470331642116025E-2</v>
      </c>
      <c r="AB11" s="194">
        <v>8.9426372098588003E-3</v>
      </c>
      <c r="AC11" s="194">
        <f>0.5*0.0494608764467306</f>
        <v>2.4730438223365299E-2</v>
      </c>
      <c r="AD11" s="195">
        <v>0.19353662609744379</v>
      </c>
      <c r="AE11" s="152">
        <f t="shared" si="1"/>
        <v>0.20590184520912644</v>
      </c>
      <c r="AF11" s="185"/>
      <c r="AG11" s="216"/>
      <c r="AH11" s="209">
        <v>28.013422651658537</v>
      </c>
      <c r="AI11" s="197">
        <f t="shared" si="2"/>
        <v>0.2</v>
      </c>
      <c r="AJ11" s="197">
        <f t="shared" si="11"/>
        <v>0.105</v>
      </c>
      <c r="AK11" s="197">
        <f t="shared" si="3"/>
        <v>0.115</v>
      </c>
      <c r="AL11" s="197">
        <f t="shared" si="10"/>
        <v>7.4999999999999997E-2</v>
      </c>
      <c r="AM11" s="197">
        <f t="shared" ref="AM11:AM16" si="13">0.5*0.15</f>
        <v>7.4999999999999997E-2</v>
      </c>
      <c r="AN11" s="196">
        <v>1.8722316299764259</v>
      </c>
      <c r="AO11" s="197">
        <v>0.43769299731048922</v>
      </c>
      <c r="AP11" s="197"/>
      <c r="AQ11" s="197">
        <v>0.50199223030182305</v>
      </c>
      <c r="AR11" s="197">
        <f t="shared" si="5"/>
        <v>7.4999999999999997E-2</v>
      </c>
      <c r="AS11" s="197">
        <v>0.39318325198392939</v>
      </c>
      <c r="AT11" s="198">
        <v>0.17016967161403862</v>
      </c>
      <c r="AU11" s="197">
        <f t="shared" si="9"/>
        <v>0.38</v>
      </c>
      <c r="AV11" s="197">
        <f t="shared" si="6"/>
        <v>7.4999999999999997E-2</v>
      </c>
      <c r="AW11" s="197">
        <f t="shared" si="8"/>
        <v>7.4999999999999997E-2</v>
      </c>
      <c r="AX11" s="197">
        <v>7.3488395258491906E-2</v>
      </c>
      <c r="AY11" s="197">
        <f t="shared" si="12"/>
        <v>7.4999999999999997E-2</v>
      </c>
      <c r="AZ11" s="197">
        <f t="shared" si="12"/>
        <v>7.4999999999999997E-2</v>
      </c>
      <c r="BA11" s="197">
        <f t="shared" si="12"/>
        <v>7.4999999999999997E-2</v>
      </c>
      <c r="BB11" s="197">
        <f t="shared" si="12"/>
        <v>7.4999999999999997E-2</v>
      </c>
      <c r="BC11" s="199"/>
      <c r="BD11" s="199"/>
      <c r="BE11" s="199"/>
      <c r="BF11" s="199"/>
      <c r="BG11" s="199"/>
      <c r="BH11" s="199"/>
      <c r="BI11" s="199"/>
      <c r="BJ11" s="200"/>
      <c r="BK11" s="215"/>
      <c r="BL11" s="185"/>
      <c r="BM11" s="202"/>
      <c r="BN11" s="202">
        <v>90</v>
      </c>
      <c r="BO11" s="203"/>
      <c r="BP11" s="203"/>
      <c r="BQ11" s="203"/>
      <c r="BR11" s="203"/>
      <c r="BS11" s="203"/>
      <c r="BT11" s="203"/>
      <c r="BU11" s="203"/>
      <c r="BV11" s="203"/>
      <c r="BW11" s="203"/>
      <c r="BX11" s="203"/>
      <c r="BY11" s="203"/>
      <c r="BZ11" s="203"/>
      <c r="CA11" s="203"/>
      <c r="CB11" s="203"/>
      <c r="CC11" s="203"/>
      <c r="CD11" s="203"/>
      <c r="CE11" s="203"/>
      <c r="CF11" s="203"/>
      <c r="CG11" s="203"/>
      <c r="CH11" s="203"/>
      <c r="CI11" s="204"/>
      <c r="CJ11" s="204"/>
      <c r="CK11" s="204"/>
      <c r="CL11" s="204"/>
      <c r="CM11" s="204"/>
      <c r="CN11" s="204"/>
      <c r="CO11" s="204"/>
      <c r="CP11" s="204"/>
      <c r="CQ11" s="205"/>
      <c r="CR11" s="205"/>
      <c r="CS11" s="205"/>
      <c r="CT11" s="205"/>
      <c r="CU11" s="205"/>
      <c r="CV11" s="205"/>
      <c r="CW11" s="205"/>
      <c r="CX11" s="205"/>
      <c r="CY11" s="206"/>
    </row>
    <row r="12" spans="1:103" s="181" customFormat="1" x14ac:dyDescent="0.2">
      <c r="A12" s="185" t="s">
        <v>206</v>
      </c>
      <c r="B12" s="185" t="s">
        <v>206</v>
      </c>
      <c r="C12" s="186" t="s">
        <v>20</v>
      </c>
      <c r="D12" s="185"/>
      <c r="E12" s="187"/>
      <c r="F12" s="187"/>
      <c r="G12" s="208"/>
      <c r="H12" s="189">
        <v>2020</v>
      </c>
      <c r="I12" s="190" t="s">
        <v>33</v>
      </c>
      <c r="J12" s="190">
        <v>10</v>
      </c>
      <c r="K12" s="191">
        <v>0.48802129547473011</v>
      </c>
      <c r="L12" s="191"/>
      <c r="M12" s="207">
        <v>0.42442576483237221</v>
      </c>
      <c r="N12" s="192">
        <v>1.181971459290392</v>
      </c>
      <c r="O12" s="192">
        <v>4.3999462418140949</v>
      </c>
      <c r="P12" s="192">
        <v>3.5200469162349717</v>
      </c>
      <c r="Q12" s="193">
        <v>10.142293030984263</v>
      </c>
      <c r="R12" s="192">
        <v>9.274254716059037</v>
      </c>
      <c r="S12" s="192">
        <v>3.0173883295865505</v>
      </c>
      <c r="T12" s="193">
        <v>31.960326458801681</v>
      </c>
      <c r="U12" s="17">
        <f t="shared" si="0"/>
        <v>291.38359131337694</v>
      </c>
      <c r="V12" s="194">
        <f>0.5*0.0244355390479914</f>
        <v>1.2217769523995701E-2</v>
      </c>
      <c r="W12" s="195">
        <v>0.10411514286560092</v>
      </c>
      <c r="X12" s="194">
        <v>4.1398770456570887E-2</v>
      </c>
      <c r="Y12" s="194">
        <v>4.1745149915739507E-2</v>
      </c>
      <c r="Z12" s="194">
        <f>0.5*0.0244355390479914</f>
        <v>1.2217769523995701E-2</v>
      </c>
      <c r="AA12" s="194">
        <f>0.5*0.0390968624767862</f>
        <v>1.9548431238393098E-2</v>
      </c>
      <c r="AB12" s="194">
        <f>0.5*0.0244355390479914</f>
        <v>1.2217769523995701E-2</v>
      </c>
      <c r="AC12" s="194">
        <f>0.5*0.0488710780959828</f>
        <v>2.4435539047991402E-2</v>
      </c>
      <c r="AD12" s="195">
        <v>0.18725906323791131</v>
      </c>
      <c r="AE12" s="152">
        <f t="shared" si="1"/>
        <v>0.23124303352429579</v>
      </c>
      <c r="AF12" s="185"/>
      <c r="AG12" s="214"/>
      <c r="AH12" s="196">
        <v>7.5599953938277311</v>
      </c>
      <c r="AI12" s="197">
        <f t="shared" si="2"/>
        <v>0.2</v>
      </c>
      <c r="AJ12" s="197">
        <f t="shared" si="11"/>
        <v>0.105</v>
      </c>
      <c r="AK12" s="197">
        <f t="shared" si="3"/>
        <v>0.115</v>
      </c>
      <c r="AL12" s="197">
        <f t="shared" si="10"/>
        <v>7.4999999999999997E-2</v>
      </c>
      <c r="AM12" s="197">
        <f t="shared" si="13"/>
        <v>7.4999999999999997E-2</v>
      </c>
      <c r="AN12" s="197">
        <v>0.7406571472439738</v>
      </c>
      <c r="AO12" s="197">
        <v>0.21303546752648556</v>
      </c>
      <c r="AP12" s="197"/>
      <c r="AQ12" s="197">
        <v>0.65882081989866437</v>
      </c>
      <c r="AR12" s="197">
        <f t="shared" si="5"/>
        <v>7.4999999999999997E-2</v>
      </c>
      <c r="AS12" s="196">
        <v>1.2259941655151239</v>
      </c>
      <c r="AT12" s="197">
        <v>0.73485337018271168</v>
      </c>
      <c r="AU12" s="197">
        <f t="shared" si="9"/>
        <v>0.38</v>
      </c>
      <c r="AV12" s="197">
        <f t="shared" si="6"/>
        <v>7.4999999999999997E-2</v>
      </c>
      <c r="AW12" s="197">
        <f t="shared" si="8"/>
        <v>7.4999999999999997E-2</v>
      </c>
      <c r="AX12" s="197">
        <f t="shared" ref="AX12:AX25" si="14">0.5*0.15</f>
        <v>7.4999999999999997E-2</v>
      </c>
      <c r="AY12" s="197">
        <f t="shared" si="12"/>
        <v>7.4999999999999997E-2</v>
      </c>
      <c r="AZ12" s="197">
        <f t="shared" si="12"/>
        <v>7.4999999999999997E-2</v>
      </c>
      <c r="BA12" s="197">
        <f t="shared" si="12"/>
        <v>7.4999999999999997E-2</v>
      </c>
      <c r="BB12" s="197">
        <f t="shared" si="12"/>
        <v>7.4999999999999997E-2</v>
      </c>
      <c r="BC12" s="199"/>
      <c r="BD12" s="199"/>
      <c r="BE12" s="199"/>
      <c r="BF12" s="199"/>
      <c r="BG12" s="199"/>
      <c r="BH12" s="199"/>
      <c r="BI12" s="199"/>
      <c r="BJ12" s="200"/>
      <c r="BK12" s="208"/>
      <c r="BL12" s="185"/>
      <c r="BM12" s="202"/>
      <c r="BN12" s="202">
        <v>200</v>
      </c>
      <c r="BO12" s="203"/>
      <c r="BP12" s="203"/>
      <c r="BQ12" s="203"/>
      <c r="BR12" s="203"/>
      <c r="BS12" s="203"/>
      <c r="BT12" s="203"/>
      <c r="BU12" s="203"/>
      <c r="BV12" s="203"/>
      <c r="BW12" s="203"/>
      <c r="BX12" s="203"/>
      <c r="BY12" s="203"/>
      <c r="BZ12" s="203"/>
      <c r="CA12" s="203"/>
      <c r="CB12" s="203"/>
      <c r="CC12" s="203"/>
      <c r="CD12" s="203"/>
      <c r="CE12" s="203"/>
      <c r="CF12" s="203"/>
      <c r="CG12" s="203"/>
      <c r="CH12" s="203"/>
      <c r="CI12" s="204"/>
      <c r="CJ12" s="204"/>
      <c r="CK12" s="204"/>
      <c r="CL12" s="204"/>
      <c r="CM12" s="204"/>
      <c r="CN12" s="204"/>
      <c r="CO12" s="204"/>
      <c r="CP12" s="204"/>
      <c r="CQ12" s="205"/>
      <c r="CR12" s="205"/>
      <c r="CS12" s="205"/>
      <c r="CT12" s="205"/>
      <c r="CU12" s="205"/>
      <c r="CV12" s="205"/>
      <c r="CW12" s="205"/>
      <c r="CX12" s="205"/>
      <c r="CY12" s="206"/>
    </row>
    <row r="13" spans="1:103" s="181" customFormat="1" x14ac:dyDescent="0.2">
      <c r="A13" s="185" t="s">
        <v>207</v>
      </c>
      <c r="B13" s="185" t="s">
        <v>207</v>
      </c>
      <c r="C13" s="186" t="s">
        <v>20</v>
      </c>
      <c r="D13" s="185"/>
      <c r="E13" s="187"/>
      <c r="F13" s="187"/>
      <c r="G13" s="208"/>
      <c r="H13" s="189">
        <v>2022</v>
      </c>
      <c r="I13" s="190" t="s">
        <v>33</v>
      </c>
      <c r="J13" s="190">
        <v>10</v>
      </c>
      <c r="K13" s="191">
        <v>0.65298118245927905</v>
      </c>
      <c r="L13" s="191"/>
      <c r="M13" s="207">
        <v>0.50920195439739413</v>
      </c>
      <c r="N13" s="192">
        <v>1.6076496335504886</v>
      </c>
      <c r="O13" s="192">
        <v>8.7354896172638448</v>
      </c>
      <c r="P13" s="192">
        <v>7.0583978013029318</v>
      </c>
      <c r="Q13" s="193">
        <v>18.717385993485344</v>
      </c>
      <c r="R13" s="193">
        <v>16.367324918566776</v>
      </c>
      <c r="S13" s="192">
        <v>4.8859527687296422</v>
      </c>
      <c r="T13" s="193">
        <v>57.881402687296422</v>
      </c>
      <c r="U13" s="17">
        <f t="shared" si="0"/>
        <v>389.16132846724793</v>
      </c>
      <c r="V13" s="194">
        <f>0.5*0.0254478827361564</f>
        <v>1.2723941368078201E-2</v>
      </c>
      <c r="W13" s="195">
        <v>0.16128667309218528</v>
      </c>
      <c r="X13" s="194">
        <v>4.9141992010761013E-2</v>
      </c>
      <c r="Y13" s="194">
        <v>5.7576874943663855E-2</v>
      </c>
      <c r="Z13" s="194">
        <v>2.0729818529981577E-2</v>
      </c>
      <c r="AA13" s="194">
        <v>1.3734975764403247E-2</v>
      </c>
      <c r="AB13" s="194">
        <v>3.8724312005625157E-2</v>
      </c>
      <c r="AC13" s="194">
        <f>0.5*0.0508957654723127</f>
        <v>2.5447882736156349E-2</v>
      </c>
      <c r="AD13" s="195">
        <v>0.34119464634662011</v>
      </c>
      <c r="AE13" s="152">
        <f t="shared" si="1"/>
        <v>0.33318876918471674</v>
      </c>
      <c r="AF13" s="185"/>
      <c r="AG13" s="214"/>
      <c r="AH13" s="196">
        <v>3.6754012645914393</v>
      </c>
      <c r="AI13" s="197">
        <f t="shared" si="2"/>
        <v>0.2</v>
      </c>
      <c r="AJ13" s="198">
        <v>8.2941526156506698E-2</v>
      </c>
      <c r="AK13" s="197">
        <f t="shared" si="3"/>
        <v>0.115</v>
      </c>
      <c r="AL13" s="197">
        <f t="shared" si="10"/>
        <v>7.4999999999999997E-2</v>
      </c>
      <c r="AM13" s="197">
        <f t="shared" si="13"/>
        <v>7.4999999999999997E-2</v>
      </c>
      <c r="AN13" s="197">
        <v>0.53792423259835709</v>
      </c>
      <c r="AO13" s="198">
        <v>8.5400453955901429E-2</v>
      </c>
      <c r="AP13" s="198"/>
      <c r="AQ13" s="197">
        <v>0.24189364461738003</v>
      </c>
      <c r="AR13" s="197">
        <f t="shared" si="5"/>
        <v>7.4999999999999997E-2</v>
      </c>
      <c r="AS13" s="197">
        <v>0.40881701253782965</v>
      </c>
      <c r="AT13" s="198">
        <v>0.33461683960224814</v>
      </c>
      <c r="AU13" s="197">
        <f t="shared" si="9"/>
        <v>0.38</v>
      </c>
      <c r="AV13" s="197">
        <f t="shared" si="6"/>
        <v>7.4999999999999997E-2</v>
      </c>
      <c r="AW13" s="197">
        <f t="shared" si="8"/>
        <v>7.4999999999999997E-2</v>
      </c>
      <c r="AX13" s="197">
        <f t="shared" si="14"/>
        <v>7.4999999999999997E-2</v>
      </c>
      <c r="AY13" s="197">
        <f t="shared" si="12"/>
        <v>7.4999999999999997E-2</v>
      </c>
      <c r="AZ13" s="197">
        <f t="shared" si="12"/>
        <v>7.4999999999999997E-2</v>
      </c>
      <c r="BA13" s="197">
        <f t="shared" si="12"/>
        <v>7.4999999999999997E-2</v>
      </c>
      <c r="BB13" s="197">
        <f t="shared" si="12"/>
        <v>7.4999999999999997E-2</v>
      </c>
      <c r="BC13" s="199"/>
      <c r="BD13" s="199"/>
      <c r="BE13" s="199"/>
      <c r="BF13" s="199"/>
      <c r="BG13" s="199"/>
      <c r="BH13" s="199"/>
      <c r="BI13" s="199"/>
      <c r="BJ13" s="200"/>
      <c r="BK13" s="208"/>
      <c r="BL13" s="185"/>
      <c r="BM13" s="202"/>
      <c r="BN13" s="202">
        <v>260</v>
      </c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4"/>
      <c r="CJ13" s="204"/>
      <c r="CK13" s="204"/>
      <c r="CL13" s="204"/>
      <c r="CM13" s="204"/>
      <c r="CN13" s="204"/>
      <c r="CO13" s="204"/>
      <c r="CP13" s="204"/>
      <c r="CQ13" s="205"/>
      <c r="CR13" s="205"/>
      <c r="CS13" s="205"/>
      <c r="CT13" s="205"/>
      <c r="CU13" s="205"/>
      <c r="CV13" s="205"/>
      <c r="CW13" s="205"/>
      <c r="CX13" s="205"/>
      <c r="CY13" s="206"/>
    </row>
    <row r="14" spans="1:103" s="181" customFormat="1" x14ac:dyDescent="0.2">
      <c r="A14" s="185" t="s">
        <v>208</v>
      </c>
      <c r="B14" s="185" t="s">
        <v>208</v>
      </c>
      <c r="C14" s="186" t="s">
        <v>20</v>
      </c>
      <c r="D14" s="185"/>
      <c r="E14" s="217"/>
      <c r="F14" s="217"/>
      <c r="G14" s="208"/>
      <c r="H14" s="189">
        <v>2022</v>
      </c>
      <c r="I14" s="190" t="s">
        <v>33</v>
      </c>
      <c r="J14" s="190">
        <v>10</v>
      </c>
      <c r="K14" s="191">
        <v>0.73058563278617705</v>
      </c>
      <c r="L14" s="191"/>
      <c r="M14" s="182">
        <v>1.6602198697068405E-2</v>
      </c>
      <c r="N14" s="212">
        <v>6.4296620521172645E-2</v>
      </c>
      <c r="O14" s="207">
        <v>0.6523259364820847</v>
      </c>
      <c r="P14" s="207">
        <v>0.52186482084690555</v>
      </c>
      <c r="Q14" s="192">
        <v>2.4447068403908796</v>
      </c>
      <c r="R14" s="192">
        <v>1.9870724755700326</v>
      </c>
      <c r="S14" s="207">
        <v>0.77715798045602613</v>
      </c>
      <c r="T14" s="192">
        <v>6.4640268729641699</v>
      </c>
      <c r="U14" s="17">
        <f t="shared" si="0"/>
        <v>40.667115430781934</v>
      </c>
      <c r="V14" s="218">
        <f>0.5*0.0249476100189602</f>
        <v>1.24738050094801E-2</v>
      </c>
      <c r="W14" s="218">
        <v>5.9307689370571882E-2</v>
      </c>
      <c r="X14" s="218">
        <v>2.3686840116865653E-2</v>
      </c>
      <c r="Y14" s="218">
        <v>2.6736920990871979E-2</v>
      </c>
      <c r="Z14" s="218">
        <f>0.5*0.0249476100189602</f>
        <v>1.24738050094801E-2</v>
      </c>
      <c r="AA14" s="218">
        <f>0.5*0.0399161760303363</f>
        <v>1.995808801516815E-2</v>
      </c>
      <c r="AB14" s="218">
        <f>0.5*0.0249476100189602</f>
        <v>1.24738050094801E-2</v>
      </c>
      <c r="AC14" s="194">
        <f>0.5*0.0498952200379204</f>
        <v>2.49476100189602E-2</v>
      </c>
      <c r="AD14" s="195">
        <v>0.10973145047830951</v>
      </c>
      <c r="AE14" s="152">
        <f t="shared" si="1"/>
        <v>0.15463714851243787</v>
      </c>
      <c r="AF14" s="185"/>
      <c r="AG14" s="219"/>
      <c r="AH14" s="209">
        <v>25.227138223410918</v>
      </c>
      <c r="AI14" s="197">
        <f t="shared" si="2"/>
        <v>0.2</v>
      </c>
      <c r="AJ14" s="198">
        <v>7.8662341850186848E-2</v>
      </c>
      <c r="AK14" s="197">
        <f t="shared" si="3"/>
        <v>0.115</v>
      </c>
      <c r="AL14" s="197">
        <f t="shared" si="10"/>
        <v>7.4999999999999997E-2</v>
      </c>
      <c r="AM14" s="197">
        <f t="shared" si="13"/>
        <v>7.4999999999999997E-2</v>
      </c>
      <c r="AN14" s="196">
        <v>1.3403327073730535</v>
      </c>
      <c r="AO14" s="197">
        <v>0.41603596426335859</v>
      </c>
      <c r="AP14" s="197"/>
      <c r="AQ14" s="197">
        <v>0.62425311557502994</v>
      </c>
      <c r="AR14" s="197">
        <f t="shared" si="5"/>
        <v>7.4999999999999997E-2</v>
      </c>
      <c r="AS14" s="197">
        <v>0.52332176255240048</v>
      </c>
      <c r="AT14" s="198">
        <v>0.18372882641931751</v>
      </c>
      <c r="AU14" s="197">
        <f t="shared" si="9"/>
        <v>0.38</v>
      </c>
      <c r="AV14" s="197">
        <f t="shared" si="6"/>
        <v>7.4999999999999997E-2</v>
      </c>
      <c r="AW14" s="197">
        <f t="shared" si="8"/>
        <v>7.4999999999999997E-2</v>
      </c>
      <c r="AX14" s="197">
        <f t="shared" si="14"/>
        <v>7.4999999999999997E-2</v>
      </c>
      <c r="AY14" s="197">
        <f t="shared" si="12"/>
        <v>7.4999999999999997E-2</v>
      </c>
      <c r="AZ14" s="197">
        <f t="shared" si="12"/>
        <v>7.4999999999999997E-2</v>
      </c>
      <c r="BA14" s="197">
        <f t="shared" si="12"/>
        <v>7.4999999999999997E-2</v>
      </c>
      <c r="BB14" s="197">
        <f t="shared" si="12"/>
        <v>7.4999999999999997E-2</v>
      </c>
      <c r="BC14" s="199"/>
      <c r="BD14" s="199"/>
      <c r="BE14" s="199"/>
      <c r="BF14" s="199"/>
      <c r="BG14" s="199"/>
      <c r="BH14" s="199"/>
      <c r="BI14" s="199"/>
      <c r="BJ14" s="200"/>
      <c r="BK14" s="208"/>
      <c r="BL14" s="185"/>
      <c r="BM14" s="202"/>
      <c r="BN14" s="202">
        <v>140</v>
      </c>
      <c r="BO14" s="203"/>
      <c r="BP14" s="203"/>
      <c r="BQ14" s="203"/>
      <c r="BR14" s="203"/>
      <c r="BS14" s="203"/>
      <c r="BT14" s="203"/>
      <c r="BU14" s="203"/>
      <c r="BV14" s="203"/>
      <c r="BW14" s="203"/>
      <c r="BX14" s="203"/>
      <c r="BY14" s="203"/>
      <c r="BZ14" s="203"/>
      <c r="CA14" s="203"/>
      <c r="CB14" s="203"/>
      <c r="CC14" s="203"/>
      <c r="CD14" s="203"/>
      <c r="CE14" s="203"/>
      <c r="CF14" s="203"/>
      <c r="CG14" s="203"/>
      <c r="CH14" s="203"/>
      <c r="CI14" s="204"/>
      <c r="CJ14" s="204"/>
      <c r="CK14" s="204"/>
      <c r="CL14" s="204"/>
      <c r="CM14" s="204"/>
      <c r="CN14" s="204"/>
      <c r="CO14" s="204"/>
      <c r="CP14" s="204"/>
      <c r="CQ14" s="205"/>
      <c r="CR14" s="205"/>
      <c r="CS14" s="205"/>
      <c r="CT14" s="205"/>
      <c r="CU14" s="205"/>
      <c r="CV14" s="205"/>
      <c r="CW14" s="205"/>
      <c r="CX14" s="205"/>
      <c r="CY14" s="206"/>
    </row>
    <row r="15" spans="1:103" x14ac:dyDescent="0.2">
      <c r="A15" s="185" t="s">
        <v>27</v>
      </c>
      <c r="B15" s="185" t="s">
        <v>27</v>
      </c>
      <c r="C15" s="186" t="s">
        <v>20</v>
      </c>
      <c r="D15" s="185"/>
      <c r="E15" s="217"/>
      <c r="F15" s="217"/>
      <c r="G15" s="188">
        <v>45201</v>
      </c>
      <c r="H15" s="189">
        <v>2023</v>
      </c>
      <c r="I15" s="190" t="s">
        <v>33</v>
      </c>
      <c r="J15" s="190">
        <v>10</v>
      </c>
      <c r="K15" s="191">
        <v>0.61740590733972145</v>
      </c>
      <c r="L15" s="191"/>
      <c r="M15" s="212">
        <v>7.8784552439876254E-2</v>
      </c>
      <c r="N15" s="207">
        <v>0.20930046901506835</v>
      </c>
      <c r="O15" s="207">
        <v>0.27039217642949803</v>
      </c>
      <c r="P15" s="207">
        <v>0.34141303263147388</v>
      </c>
      <c r="Q15" s="207">
        <v>0.60452549645743936</v>
      </c>
      <c r="R15" s="207">
        <v>0.5178425306855603</v>
      </c>
      <c r="S15" s="207">
        <v>0.11912483784053486</v>
      </c>
      <c r="T15" s="192">
        <v>2.1413830954994513</v>
      </c>
      <c r="U15" s="17">
        <f t="shared" si="0"/>
        <v>14.576877557130027</v>
      </c>
      <c r="V15" s="218">
        <f>0.5*0.0249505461028524</f>
        <v>1.24752730514262E-2</v>
      </c>
      <c r="W15" s="220">
        <v>2.6367171829684042E-2</v>
      </c>
      <c r="X15" s="221">
        <v>6.808038361600416E-3</v>
      </c>
      <c r="Y15" s="218">
        <v>1.377765595311382E-2</v>
      </c>
      <c r="Z15" s="220">
        <f>0.5*0.0249505461028524</f>
        <v>1.24752730514262E-2</v>
      </c>
      <c r="AA15" s="220">
        <f>0.5*0.0399208737645639</f>
        <v>1.996043688228195E-2</v>
      </c>
      <c r="AB15" s="220">
        <f>0.5*0.0249505461028524</f>
        <v>1.24752730514262E-2</v>
      </c>
      <c r="AC15" s="194">
        <f>0.5*0.0503119339907426</f>
        <v>2.5155966995371301E-2</v>
      </c>
      <c r="AD15" s="194">
        <v>4.6952866144398281E-2</v>
      </c>
      <c r="AE15" s="152">
        <f t="shared" si="1"/>
        <v>9.1863849129532646E-2</v>
      </c>
      <c r="AF15" s="185"/>
      <c r="AG15" s="219"/>
      <c r="AH15" s="196">
        <v>5.3173383187924124</v>
      </c>
      <c r="AI15" s="197">
        <f t="shared" si="2"/>
        <v>0.2</v>
      </c>
      <c r="AJ15" s="197">
        <f>0.5*0.21</f>
        <v>0.105</v>
      </c>
      <c r="AK15" s="197">
        <f t="shared" si="3"/>
        <v>0.115</v>
      </c>
      <c r="AL15" s="197">
        <f t="shared" si="10"/>
        <v>7.4999999999999997E-2</v>
      </c>
      <c r="AM15" s="197">
        <f t="shared" si="13"/>
        <v>7.4999999999999997E-2</v>
      </c>
      <c r="AN15" s="197">
        <v>0.2398867500653957</v>
      </c>
      <c r="AO15" s="197">
        <f>0.5*0.15</f>
        <v>7.4999999999999997E-2</v>
      </c>
      <c r="AP15" s="197"/>
      <c r="AQ15" s="197">
        <v>0.15851913400729359</v>
      </c>
      <c r="AR15" s="197">
        <f t="shared" si="5"/>
        <v>7.4999999999999997E-2</v>
      </c>
      <c r="AS15" s="197">
        <f>0.5*0.37</f>
        <v>0.185</v>
      </c>
      <c r="AT15" s="197">
        <f>0.5*0.41</f>
        <v>0.20499999999999999</v>
      </c>
      <c r="AU15" s="197">
        <f t="shared" si="9"/>
        <v>0.38</v>
      </c>
      <c r="AV15" s="197">
        <f t="shared" si="6"/>
        <v>7.4999999999999997E-2</v>
      </c>
      <c r="AW15" s="197">
        <f t="shared" si="8"/>
        <v>7.4999999999999997E-2</v>
      </c>
      <c r="AX15" s="197">
        <f t="shared" si="14"/>
        <v>7.4999999999999997E-2</v>
      </c>
      <c r="AY15" s="197">
        <f t="shared" si="12"/>
        <v>7.4999999999999997E-2</v>
      </c>
      <c r="AZ15" s="197">
        <f t="shared" si="12"/>
        <v>7.4999999999999997E-2</v>
      </c>
      <c r="BA15" s="197">
        <f t="shared" si="12"/>
        <v>7.4999999999999997E-2</v>
      </c>
      <c r="BB15" s="197">
        <f t="shared" si="12"/>
        <v>7.4999999999999997E-2</v>
      </c>
      <c r="BC15" s="199"/>
      <c r="BD15" s="199"/>
      <c r="BE15" s="199"/>
      <c r="BF15" s="199"/>
      <c r="BG15" s="199"/>
      <c r="BH15" s="199"/>
      <c r="BI15" s="199"/>
      <c r="BJ15" s="200"/>
      <c r="BK15" s="208"/>
      <c r="BL15" s="185"/>
      <c r="BM15" s="202"/>
      <c r="BN15" s="202">
        <v>55</v>
      </c>
      <c r="BO15" s="203"/>
      <c r="BP15" s="203"/>
      <c r="BQ15" s="203"/>
      <c r="BR15" s="203"/>
      <c r="BS15" s="203"/>
      <c r="BT15" s="203"/>
      <c r="BU15" s="203"/>
      <c r="BV15" s="203"/>
      <c r="BW15" s="203"/>
      <c r="BX15" s="203"/>
      <c r="BY15" s="203"/>
      <c r="BZ15" s="203"/>
      <c r="CA15" s="203"/>
      <c r="CB15" s="203"/>
      <c r="CC15" s="203"/>
      <c r="CD15" s="203"/>
      <c r="CE15" s="203"/>
      <c r="CF15" s="203"/>
      <c r="CG15" s="203"/>
      <c r="CH15" s="203"/>
      <c r="CI15" s="204"/>
      <c r="CJ15" s="204"/>
      <c r="CK15" s="204"/>
      <c r="CL15" s="204"/>
      <c r="CM15" s="204"/>
      <c r="CN15" s="204"/>
      <c r="CO15" s="204"/>
      <c r="CP15" s="204"/>
      <c r="CQ15" s="205"/>
      <c r="CR15" s="205"/>
      <c r="CS15" s="205"/>
      <c r="CT15" s="205"/>
      <c r="CU15" s="205"/>
      <c r="CV15" s="205"/>
      <c r="CW15" s="205"/>
      <c r="CX15" s="205"/>
      <c r="CY15" s="206"/>
    </row>
    <row r="16" spans="1:103" x14ac:dyDescent="0.2">
      <c r="A16" s="185" t="s">
        <v>9</v>
      </c>
      <c r="B16" s="185" t="s">
        <v>9</v>
      </c>
      <c r="C16" s="186" t="s">
        <v>20</v>
      </c>
      <c r="D16" s="185"/>
      <c r="E16" s="217"/>
      <c r="F16" s="217"/>
      <c r="G16" s="208"/>
      <c r="H16" s="189">
        <v>2023</v>
      </c>
      <c r="I16" s="190" t="s">
        <v>33</v>
      </c>
      <c r="J16" s="190">
        <v>10</v>
      </c>
      <c r="K16" s="191">
        <v>0.44437736861528004</v>
      </c>
      <c r="L16" s="191"/>
      <c r="M16" s="182">
        <v>1.8747478822105687E-2</v>
      </c>
      <c r="N16" s="212">
        <v>4.3944130697862037E-2</v>
      </c>
      <c r="O16" s="207">
        <v>0.50328257361839446</v>
      </c>
      <c r="P16" s="207">
        <v>0.3623537716821299</v>
      </c>
      <c r="Q16" s="192">
        <v>1.7941306978620413</v>
      </c>
      <c r="R16" s="192">
        <v>1.4217123840258168</v>
      </c>
      <c r="S16" s="207">
        <v>0.55446752722872128</v>
      </c>
      <c r="T16" s="192">
        <v>4.6986385639370711</v>
      </c>
      <c r="U16" s="17">
        <f t="shared" si="0"/>
        <v>48.790567415338863</v>
      </c>
      <c r="V16" s="194">
        <f>0.5*0.0252117789431222</f>
        <v>1.26058894715611E-2</v>
      </c>
      <c r="W16" s="194">
        <v>3.5733829420005081E-2</v>
      </c>
      <c r="X16" s="194">
        <v>1.3955212647096787E-2</v>
      </c>
      <c r="Y16" s="194">
        <v>1.6885135579140641E-2</v>
      </c>
      <c r="Z16" s="194">
        <f>0.5*0.0252117789431222</f>
        <v>1.26058894715611E-2</v>
      </c>
      <c r="AA16" s="194">
        <f>0.5*0.0403388463089956</f>
        <v>2.0169423154497799E-2</v>
      </c>
      <c r="AB16" s="194">
        <f>0.5*0.0252117789431222</f>
        <v>1.26058894715611E-2</v>
      </c>
      <c r="AC16" s="194">
        <f>0.5*0.0504235578862445</f>
        <v>2.5211778943122251E-2</v>
      </c>
      <c r="AD16" s="194">
        <v>6.6574177646242516E-2</v>
      </c>
      <c r="AE16" s="152">
        <f t="shared" si="1"/>
        <v>0.11195537974386251</v>
      </c>
      <c r="AF16" s="185"/>
      <c r="AG16" s="219"/>
      <c r="AH16" s="196">
        <v>2.1739130434782612</v>
      </c>
      <c r="AI16" s="197">
        <f>0.5*0.33</f>
        <v>0.16500000000000001</v>
      </c>
      <c r="AJ16" s="197">
        <v>0.22068885921089512</v>
      </c>
      <c r="AK16" s="197">
        <f>0.5*0.15</f>
        <v>7.4999999999999997E-2</v>
      </c>
      <c r="AL16" s="197">
        <f t="shared" si="10"/>
        <v>7.4999999999999997E-2</v>
      </c>
      <c r="AM16" s="197">
        <f t="shared" si="13"/>
        <v>7.4999999999999997E-2</v>
      </c>
      <c r="AN16" s="197">
        <v>0.48414700499579566</v>
      </c>
      <c r="AO16" s="197">
        <f>0.5*0.15</f>
        <v>7.4999999999999997E-2</v>
      </c>
      <c r="AP16" s="197"/>
      <c r="AQ16" s="198">
        <v>0.23869350876325207</v>
      </c>
      <c r="AR16" s="197">
        <f t="shared" si="5"/>
        <v>7.4999999999999997E-2</v>
      </c>
      <c r="AS16" s="198">
        <v>0.10443356251339632</v>
      </c>
      <c r="AT16" s="197">
        <f>0.5*0.48</f>
        <v>0.24</v>
      </c>
      <c r="AU16" s="197">
        <f>0.5*0.52</f>
        <v>0.26</v>
      </c>
      <c r="AV16" s="197">
        <f t="shared" si="6"/>
        <v>7.4999999999999997E-2</v>
      </c>
      <c r="AW16" s="197">
        <f t="shared" si="8"/>
        <v>7.4999999999999997E-2</v>
      </c>
      <c r="AX16" s="197">
        <f t="shared" si="14"/>
        <v>7.4999999999999997E-2</v>
      </c>
      <c r="AY16" s="197">
        <f t="shared" si="12"/>
        <v>7.4999999999999997E-2</v>
      </c>
      <c r="AZ16" s="197">
        <f t="shared" si="12"/>
        <v>7.4999999999999997E-2</v>
      </c>
      <c r="BA16" s="197">
        <f t="shared" si="12"/>
        <v>7.4999999999999997E-2</v>
      </c>
      <c r="BB16" s="197">
        <f t="shared" si="12"/>
        <v>7.4999999999999997E-2</v>
      </c>
      <c r="BC16" s="199"/>
      <c r="BD16" s="199"/>
      <c r="BE16" s="199"/>
      <c r="BF16" s="199"/>
      <c r="BG16" s="199"/>
      <c r="BH16" s="199"/>
      <c r="BI16" s="199"/>
      <c r="BJ16" s="200"/>
      <c r="BK16" s="208"/>
      <c r="BL16" s="185"/>
      <c r="BM16" s="202"/>
      <c r="BN16" s="202">
        <v>31</v>
      </c>
      <c r="BO16" s="203"/>
      <c r="BP16" s="203"/>
      <c r="BQ16" s="203"/>
      <c r="BR16" s="203"/>
      <c r="BS16" s="203"/>
      <c r="BT16" s="203"/>
      <c r="BU16" s="203"/>
      <c r="BV16" s="203"/>
      <c r="BW16" s="203"/>
      <c r="BX16" s="203"/>
      <c r="BY16" s="203"/>
      <c r="BZ16" s="203"/>
      <c r="CA16" s="203"/>
      <c r="CB16" s="203"/>
      <c r="CC16" s="203"/>
      <c r="CD16" s="203"/>
      <c r="CE16" s="203"/>
      <c r="CF16" s="203"/>
      <c r="CG16" s="203"/>
      <c r="CH16" s="203"/>
      <c r="CI16" s="204"/>
      <c r="CJ16" s="204"/>
      <c r="CK16" s="204"/>
      <c r="CL16" s="204"/>
      <c r="CM16" s="204"/>
      <c r="CN16" s="204"/>
      <c r="CO16" s="204"/>
      <c r="CP16" s="204"/>
      <c r="CQ16" s="205"/>
      <c r="CR16" s="205"/>
      <c r="CS16" s="205"/>
      <c r="CT16" s="205"/>
      <c r="CU16" s="205"/>
      <c r="CV16" s="205"/>
      <c r="CW16" s="205"/>
      <c r="CX16" s="205"/>
      <c r="CY16" s="206"/>
    </row>
    <row r="17" spans="1:112" s="181" customFormat="1" x14ac:dyDescent="0.2">
      <c r="A17" s="185" t="s">
        <v>209</v>
      </c>
      <c r="B17" s="185" t="s">
        <v>209</v>
      </c>
      <c r="C17" s="186" t="s">
        <v>20</v>
      </c>
      <c r="D17" s="214"/>
      <c r="E17" s="208"/>
      <c r="F17" s="208"/>
      <c r="G17" s="208"/>
      <c r="H17" s="189">
        <v>2021</v>
      </c>
      <c r="I17" s="190" t="s">
        <v>33</v>
      </c>
      <c r="J17" s="190">
        <v>10</v>
      </c>
      <c r="K17" s="191">
        <v>0.61660316823744066</v>
      </c>
      <c r="L17" s="191"/>
      <c r="M17" s="207">
        <v>0.474017489194894</v>
      </c>
      <c r="N17" s="192">
        <v>1.2912704794451704</v>
      </c>
      <c r="O17" s="192">
        <v>4.0869082319831138</v>
      </c>
      <c r="P17" s="192">
        <v>2.9437832948034979</v>
      </c>
      <c r="Q17" s="192">
        <v>6.3638456126243845</v>
      </c>
      <c r="R17" s="192">
        <v>6.0521660468388783</v>
      </c>
      <c r="S17" s="192">
        <v>1.619429088350588</v>
      </c>
      <c r="T17" s="193">
        <v>22.831420243240526</v>
      </c>
      <c r="U17" s="17">
        <f t="shared" si="0"/>
        <v>161.26771619813289</v>
      </c>
      <c r="V17" s="218">
        <f>0.5*0.0251281535832747</f>
        <v>1.256407679163735E-2</v>
      </c>
      <c r="W17" s="218">
        <v>6.662265647338611E-2</v>
      </c>
      <c r="X17" s="218">
        <v>2.914336205561709E-2</v>
      </c>
      <c r="Y17" s="218">
        <v>4.5438680411655073E-2</v>
      </c>
      <c r="Z17" s="218">
        <f>0.5*0.0251281535832747</f>
        <v>1.256407679163735E-2</v>
      </c>
      <c r="AA17" s="218">
        <f>0.5*0.0402050457332395</f>
        <v>2.0102522866619749E-2</v>
      </c>
      <c r="AB17" s="218">
        <f>0.5*0.0251281535832747</f>
        <v>1.256407679163735E-2</v>
      </c>
      <c r="AC17" s="213">
        <f>0.5*0.0502563071665494</f>
        <v>2.51281535832747E-2</v>
      </c>
      <c r="AD17" s="222">
        <v>0.14120469894065826</v>
      </c>
      <c r="AE17" s="152">
        <f t="shared" si="1"/>
        <v>0.18643537539055274</v>
      </c>
      <c r="AF17" s="214"/>
      <c r="AG17" s="216"/>
      <c r="AH17" s="196">
        <v>5.2617859003299197</v>
      </c>
      <c r="AI17" s="197">
        <f>0.5*0.4</f>
        <v>0.2</v>
      </c>
      <c r="AJ17" s="197">
        <f>0.5*0.21</f>
        <v>0.105</v>
      </c>
      <c r="AK17" s="197">
        <f>0.5*0.23</f>
        <v>0.115</v>
      </c>
      <c r="AL17" s="197">
        <f t="shared" si="10"/>
        <v>7.4999999999999997E-2</v>
      </c>
      <c r="AM17" s="198">
        <v>5.248306997742664E-2</v>
      </c>
      <c r="AN17" s="197">
        <v>0.78228280372749925</v>
      </c>
      <c r="AO17" s="198">
        <v>0.12988366035770102</v>
      </c>
      <c r="AP17" s="198"/>
      <c r="AQ17" s="197">
        <v>0.41326619204723053</v>
      </c>
      <c r="AR17" s="197">
        <f t="shared" si="5"/>
        <v>7.4999999999999997E-2</v>
      </c>
      <c r="AS17" s="197">
        <v>0.84139318168663557</v>
      </c>
      <c r="AT17" s="198">
        <v>0.36389419459396899</v>
      </c>
      <c r="AU17" s="197">
        <f>0.5*0.76</f>
        <v>0.38</v>
      </c>
      <c r="AV17" s="197">
        <f t="shared" si="6"/>
        <v>7.4999999999999997E-2</v>
      </c>
      <c r="AW17" s="197">
        <f t="shared" si="8"/>
        <v>7.4999999999999997E-2</v>
      </c>
      <c r="AX17" s="197">
        <f t="shared" si="14"/>
        <v>7.4999999999999997E-2</v>
      </c>
      <c r="AY17" s="197">
        <f t="shared" si="12"/>
        <v>7.4999999999999997E-2</v>
      </c>
      <c r="AZ17" s="197">
        <f t="shared" si="12"/>
        <v>7.4999999999999997E-2</v>
      </c>
      <c r="BA17" s="197">
        <f t="shared" si="12"/>
        <v>7.4999999999999997E-2</v>
      </c>
      <c r="BB17" s="197">
        <f t="shared" si="12"/>
        <v>7.4999999999999997E-2</v>
      </c>
      <c r="BC17" s="199"/>
      <c r="BD17" s="199"/>
      <c r="BE17" s="199"/>
      <c r="BF17" s="199"/>
      <c r="BG17" s="199"/>
      <c r="BH17" s="199"/>
      <c r="BI17" s="199"/>
      <c r="BJ17" s="200"/>
      <c r="BK17" s="215"/>
      <c r="BL17" s="214"/>
      <c r="BM17" s="202"/>
      <c r="BN17" s="202">
        <v>200</v>
      </c>
      <c r="BO17" s="203"/>
      <c r="BP17" s="203"/>
      <c r="BQ17" s="203"/>
      <c r="BR17" s="203"/>
      <c r="BS17" s="203"/>
      <c r="BT17" s="203"/>
      <c r="BU17" s="203"/>
      <c r="BV17" s="203"/>
      <c r="BW17" s="203"/>
      <c r="BX17" s="203"/>
      <c r="BY17" s="203"/>
      <c r="BZ17" s="203"/>
      <c r="CA17" s="203"/>
      <c r="CB17" s="203"/>
      <c r="CC17" s="203"/>
      <c r="CD17" s="203"/>
      <c r="CE17" s="203"/>
      <c r="CF17" s="203"/>
      <c r="CG17" s="203"/>
      <c r="CH17" s="203"/>
      <c r="CI17" s="204"/>
      <c r="CJ17" s="204"/>
      <c r="CK17" s="204"/>
      <c r="CL17" s="204"/>
      <c r="CM17" s="204"/>
      <c r="CN17" s="204"/>
      <c r="CO17" s="204"/>
      <c r="CP17" s="204"/>
      <c r="CQ17" s="205"/>
      <c r="CR17" s="205"/>
      <c r="CS17" s="205"/>
      <c r="CT17" s="205"/>
      <c r="CU17" s="205"/>
      <c r="CV17" s="205"/>
      <c r="CW17" s="205"/>
      <c r="CX17" s="205"/>
      <c r="CY17" s="206"/>
    </row>
    <row r="18" spans="1:112" x14ac:dyDescent="0.2">
      <c r="A18" s="214" t="s">
        <v>4</v>
      </c>
      <c r="B18" s="214" t="s">
        <v>4</v>
      </c>
      <c r="C18" s="186" t="s">
        <v>20</v>
      </c>
      <c r="D18" s="214"/>
      <c r="E18" s="208"/>
      <c r="F18" s="208"/>
      <c r="G18" s="208"/>
      <c r="H18" s="189">
        <v>2023</v>
      </c>
      <c r="I18" s="190" t="s">
        <v>33</v>
      </c>
      <c r="J18" s="190">
        <v>10</v>
      </c>
      <c r="K18" s="191">
        <v>0.58601509733811841</v>
      </c>
      <c r="L18" s="191"/>
      <c r="M18" s="207">
        <v>0.58841197462331485</v>
      </c>
      <c r="N18" s="192">
        <v>1.3981017049960351</v>
      </c>
      <c r="O18" s="192">
        <v>4.3969518239492462</v>
      </c>
      <c r="P18" s="192">
        <v>3.7151070578905636</v>
      </c>
      <c r="Q18" s="192">
        <v>9.6532414750198257</v>
      </c>
      <c r="R18" s="192">
        <v>9.3263778747026187</v>
      </c>
      <c r="S18" s="192">
        <v>2.3216494845360827</v>
      </c>
      <c r="T18" s="193">
        <v>31.399841395717683</v>
      </c>
      <c r="U18" s="17">
        <f t="shared" si="0"/>
        <v>236.21178416375858</v>
      </c>
      <c r="V18" s="218">
        <f>0.5*0.024781919111816</f>
        <v>1.2390959555908E-2</v>
      </c>
      <c r="W18" s="220">
        <v>0.12186451116148768</v>
      </c>
      <c r="X18" s="218">
        <v>6.0208463498658847E-2</v>
      </c>
      <c r="Y18" s="220">
        <v>0.15515227409827095</v>
      </c>
      <c r="Z18" s="218">
        <f>0.5*0.024781919111816</f>
        <v>1.2390959555908E-2</v>
      </c>
      <c r="AA18" s="218">
        <v>3.0925645922536729E-2</v>
      </c>
      <c r="AB18" s="218">
        <v>3.5719134341939456E-2</v>
      </c>
      <c r="AC18" s="213">
        <f>0.5*0.049563838223632</f>
        <v>2.4781919111816E-2</v>
      </c>
      <c r="AD18" s="222">
        <v>0.40387002902289365</v>
      </c>
      <c r="AE18" s="152">
        <f t="shared" si="1"/>
        <v>0.41626098857880167</v>
      </c>
      <c r="AF18" s="214"/>
      <c r="AG18" s="219"/>
      <c r="AH18" s="196">
        <v>7.9481619052821308</v>
      </c>
      <c r="AI18" s="197">
        <f t="shared" ref="AI18:AI25" si="15">0.5*0.33</f>
        <v>0.16500000000000001</v>
      </c>
      <c r="AJ18" s="198">
        <v>9.906957265891006E-2</v>
      </c>
      <c r="AK18" s="197">
        <f t="shared" ref="AK18:AK25" si="16">0.5*0.15</f>
        <v>7.4999999999999997E-2</v>
      </c>
      <c r="AL18" s="197">
        <f t="shared" si="10"/>
        <v>7.4999999999999997E-2</v>
      </c>
      <c r="AM18" s="197">
        <f>0.5*0.15</f>
        <v>7.4999999999999997E-2</v>
      </c>
      <c r="AN18" s="197">
        <v>0.43540722128147702</v>
      </c>
      <c r="AO18" s="197">
        <f>0.5*0.15</f>
        <v>7.4999999999999997E-2</v>
      </c>
      <c r="AP18" s="197"/>
      <c r="AQ18" s="198">
        <v>0.25556708727080713</v>
      </c>
      <c r="AR18" s="197">
        <f t="shared" si="5"/>
        <v>7.4999999999999997E-2</v>
      </c>
      <c r="AS18" s="197">
        <v>0.72657089273684017</v>
      </c>
      <c r="AT18" s="197">
        <v>0.48748201962819315</v>
      </c>
      <c r="AU18" s="198">
        <v>0.23016696709819556</v>
      </c>
      <c r="AV18" s="197">
        <f t="shared" si="6"/>
        <v>7.4999999999999997E-2</v>
      </c>
      <c r="AW18" s="197">
        <f t="shared" si="8"/>
        <v>7.4999999999999997E-2</v>
      </c>
      <c r="AX18" s="197">
        <f t="shared" si="14"/>
        <v>7.4999999999999997E-2</v>
      </c>
      <c r="AY18" s="197">
        <f t="shared" si="12"/>
        <v>7.4999999999999997E-2</v>
      </c>
      <c r="AZ18" s="197">
        <f t="shared" si="12"/>
        <v>7.4999999999999997E-2</v>
      </c>
      <c r="BA18" s="197">
        <f t="shared" si="12"/>
        <v>7.4999999999999997E-2</v>
      </c>
      <c r="BB18" s="197">
        <f t="shared" si="12"/>
        <v>7.4999999999999997E-2</v>
      </c>
      <c r="BC18" s="199"/>
      <c r="BD18" s="199"/>
      <c r="BE18" s="199"/>
      <c r="BF18" s="199"/>
      <c r="BG18" s="199"/>
      <c r="BH18" s="199"/>
      <c r="BI18" s="199"/>
      <c r="BJ18" s="200"/>
      <c r="BK18" s="208"/>
      <c r="BL18" s="214"/>
      <c r="BM18" s="202"/>
      <c r="BN18" s="202">
        <v>26</v>
      </c>
      <c r="BO18" s="203"/>
      <c r="BP18" s="203"/>
      <c r="BQ18" s="203"/>
      <c r="BR18" s="203"/>
      <c r="BS18" s="203"/>
      <c r="BT18" s="203"/>
      <c r="BU18" s="203"/>
      <c r="BV18" s="203"/>
      <c r="BW18" s="203"/>
      <c r="BX18" s="203"/>
      <c r="BY18" s="203"/>
      <c r="BZ18" s="203"/>
      <c r="CA18" s="203"/>
      <c r="CB18" s="203"/>
      <c r="CC18" s="203"/>
      <c r="CD18" s="203"/>
      <c r="CE18" s="203"/>
      <c r="CF18" s="203"/>
      <c r="CG18" s="203"/>
      <c r="CH18" s="203"/>
      <c r="CI18" s="204"/>
      <c r="CJ18" s="204"/>
      <c r="CK18" s="204"/>
      <c r="CL18" s="204"/>
      <c r="CM18" s="204"/>
      <c r="CN18" s="204"/>
      <c r="CO18" s="204"/>
      <c r="CP18" s="204"/>
      <c r="CQ18" s="205"/>
      <c r="CR18" s="205"/>
      <c r="CS18" s="205"/>
      <c r="CT18" s="205"/>
      <c r="CU18" s="205"/>
      <c r="CV18" s="205"/>
      <c r="CW18" s="205"/>
      <c r="CX18" s="205"/>
      <c r="CY18" s="206"/>
    </row>
    <row r="19" spans="1:112" x14ac:dyDescent="0.2">
      <c r="A19" s="216" t="s">
        <v>28</v>
      </c>
      <c r="B19" s="216" t="s">
        <v>28</v>
      </c>
      <c r="C19" s="186" t="s">
        <v>20</v>
      </c>
      <c r="D19" s="216"/>
      <c r="E19" s="208"/>
      <c r="F19" s="208"/>
      <c r="G19" s="208"/>
      <c r="H19" s="189">
        <v>2023</v>
      </c>
      <c r="I19" s="190" t="s">
        <v>33</v>
      </c>
      <c r="J19" s="190">
        <v>10</v>
      </c>
      <c r="K19" s="191">
        <v>0.49582021863469222</v>
      </c>
      <c r="L19" s="191"/>
      <c r="M19" s="207">
        <v>0.14100828450191957</v>
      </c>
      <c r="N19" s="207">
        <v>0.36782683370377856</v>
      </c>
      <c r="O19" s="192">
        <v>1.6967316629622149</v>
      </c>
      <c r="P19" s="192">
        <v>1.7767023641139623</v>
      </c>
      <c r="Q19" s="192">
        <v>4.7879268539098812</v>
      </c>
      <c r="R19" s="192">
        <v>3.9360577894524149</v>
      </c>
      <c r="S19" s="192">
        <v>1.1728227924833299</v>
      </c>
      <c r="T19" s="193">
        <v>13.879076581127501</v>
      </c>
      <c r="U19" s="17">
        <f t="shared" si="0"/>
        <v>122.04397644713902</v>
      </c>
      <c r="V19" s="218">
        <f>0.5*0.0252576278035967</f>
        <v>1.262881390179835E-2</v>
      </c>
      <c r="W19" s="218">
        <v>6.0478701419786174E-2</v>
      </c>
      <c r="X19" s="218">
        <v>4.3923421137664176E-2</v>
      </c>
      <c r="Y19" s="184">
        <v>6.635884412198248E-2</v>
      </c>
      <c r="Z19" s="218">
        <v>1.6452219108257584E-2</v>
      </c>
      <c r="AA19" s="218">
        <v>2.1858461904596269E-2</v>
      </c>
      <c r="AB19" s="218">
        <v>2.0486490962501221E-2</v>
      </c>
      <c r="AC19" s="213">
        <f>0.5*0.0505152556071934</f>
        <v>2.5257627803596701E-2</v>
      </c>
      <c r="AD19" s="222">
        <v>0.22955813865478791</v>
      </c>
      <c r="AE19" s="152">
        <f t="shared" si="1"/>
        <v>0.22573473344832867</v>
      </c>
      <c r="AF19" s="216"/>
      <c r="AG19" s="219"/>
      <c r="AH19" s="196">
        <v>6.2683171476770161</v>
      </c>
      <c r="AI19" s="197">
        <f t="shared" si="15"/>
        <v>0.16500000000000001</v>
      </c>
      <c r="AJ19" s="197">
        <f>0.5*0.21</f>
        <v>0.105</v>
      </c>
      <c r="AK19" s="197">
        <f t="shared" si="16"/>
        <v>7.4999999999999997E-2</v>
      </c>
      <c r="AL19" s="197">
        <f t="shared" si="10"/>
        <v>7.4999999999999997E-2</v>
      </c>
      <c r="AM19" s="198">
        <v>5.6338242222526182E-2</v>
      </c>
      <c r="AN19" s="197">
        <v>0.27059681758081433</v>
      </c>
      <c r="AO19" s="197">
        <f>0.5*0.15</f>
        <v>7.4999999999999997E-2</v>
      </c>
      <c r="AP19" s="197"/>
      <c r="AQ19" s="198">
        <v>0.17834617547379142</v>
      </c>
      <c r="AR19" s="197">
        <f t="shared" si="5"/>
        <v>7.4999999999999997E-2</v>
      </c>
      <c r="AS19" s="198">
        <v>0.1305946898889041</v>
      </c>
      <c r="AT19" s="197">
        <f>0.5*0.48</f>
        <v>0.24</v>
      </c>
      <c r="AU19" s="197">
        <f t="shared" ref="AU19:AU24" si="17">0.5*0.52</f>
        <v>0.26</v>
      </c>
      <c r="AV19" s="197">
        <f t="shared" si="6"/>
        <v>7.4999999999999997E-2</v>
      </c>
      <c r="AW19" s="197">
        <f t="shared" si="8"/>
        <v>7.4999999999999997E-2</v>
      </c>
      <c r="AX19" s="197">
        <f t="shared" si="14"/>
        <v>7.4999999999999997E-2</v>
      </c>
      <c r="AY19" s="197">
        <f t="shared" si="12"/>
        <v>7.4999999999999997E-2</v>
      </c>
      <c r="AZ19" s="197">
        <f t="shared" si="12"/>
        <v>7.4999999999999997E-2</v>
      </c>
      <c r="BA19" s="197">
        <f t="shared" si="12"/>
        <v>7.4999999999999997E-2</v>
      </c>
      <c r="BB19" s="197">
        <f t="shared" si="12"/>
        <v>7.4999999999999997E-2</v>
      </c>
      <c r="BC19" s="199"/>
      <c r="BD19" s="199"/>
      <c r="BE19" s="199"/>
      <c r="BF19" s="199"/>
      <c r="BG19" s="199"/>
      <c r="BH19" s="199"/>
      <c r="BI19" s="199"/>
      <c r="BJ19" s="200"/>
      <c r="BK19" s="208"/>
      <c r="BL19" s="216"/>
      <c r="BM19" s="202"/>
      <c r="BN19" s="202">
        <v>60</v>
      </c>
      <c r="BO19" s="203"/>
      <c r="BP19" s="203"/>
      <c r="BQ19" s="203"/>
      <c r="BR19" s="203"/>
      <c r="BS19" s="203"/>
      <c r="BT19" s="203"/>
      <c r="BU19" s="203"/>
      <c r="BV19" s="203"/>
      <c r="BW19" s="203"/>
      <c r="BX19" s="203"/>
      <c r="BY19" s="203"/>
      <c r="BZ19" s="203"/>
      <c r="CA19" s="203"/>
      <c r="CB19" s="203"/>
      <c r="CC19" s="203"/>
      <c r="CD19" s="203"/>
      <c r="CE19" s="203"/>
      <c r="CF19" s="203"/>
      <c r="CG19" s="203"/>
      <c r="CH19" s="203"/>
      <c r="CI19" s="204"/>
      <c r="CJ19" s="204"/>
      <c r="CK19" s="204"/>
      <c r="CL19" s="204"/>
      <c r="CM19" s="204"/>
      <c r="CN19" s="204"/>
      <c r="CO19" s="204"/>
      <c r="CP19" s="204"/>
      <c r="CQ19" s="205"/>
      <c r="CR19" s="205"/>
      <c r="CS19" s="205"/>
      <c r="CT19" s="205"/>
      <c r="CU19" s="205"/>
      <c r="CV19" s="205"/>
      <c r="CW19" s="205"/>
      <c r="CX19" s="205"/>
      <c r="CY19" s="206"/>
    </row>
    <row r="20" spans="1:112" x14ac:dyDescent="0.2">
      <c r="A20" s="216" t="s">
        <v>170</v>
      </c>
      <c r="B20" s="216" t="s">
        <v>170</v>
      </c>
      <c r="C20" s="186" t="s">
        <v>20</v>
      </c>
      <c r="D20" s="216"/>
      <c r="E20" s="208"/>
      <c r="F20" s="208"/>
      <c r="G20" s="208"/>
      <c r="H20" s="189">
        <v>2023</v>
      </c>
      <c r="I20" s="190" t="s">
        <v>33</v>
      </c>
      <c r="J20" s="190">
        <v>10</v>
      </c>
      <c r="K20" s="191">
        <v>0.44128997617375354</v>
      </c>
      <c r="L20" s="191"/>
      <c r="M20" s="182">
        <v>3.2157842157842197E-2</v>
      </c>
      <c r="N20" s="207">
        <v>0.40673826173826177</v>
      </c>
      <c r="O20" s="192">
        <v>2.5939310689310693</v>
      </c>
      <c r="P20" s="192">
        <v>2.4604145854145854</v>
      </c>
      <c r="Q20" s="192">
        <v>5.9498501498501497</v>
      </c>
      <c r="R20" s="192">
        <v>5.1003696303696309</v>
      </c>
      <c r="S20" s="192">
        <v>1.5844605394605393</v>
      </c>
      <c r="T20" s="193">
        <v>18.127922077922079</v>
      </c>
      <c r="U20" s="17">
        <f t="shared" si="0"/>
        <v>177.519412839989</v>
      </c>
      <c r="V20" s="218">
        <f>0.5*0.024975024975025</f>
        <v>1.24875124875125E-2</v>
      </c>
      <c r="W20" s="218">
        <v>3.1750337063829286E-2</v>
      </c>
      <c r="X20" s="218">
        <v>2.6677600545741555E-2</v>
      </c>
      <c r="Y20" s="218">
        <v>1.8364535212560058E-2</v>
      </c>
      <c r="Z20" s="218">
        <v>1.3535739471882186E-2</v>
      </c>
      <c r="AA20" s="218">
        <f>0.5*0.03996003996004</f>
        <v>1.9980019980020001E-2</v>
      </c>
      <c r="AB20" s="218">
        <f>0.5*0.024975024975025</f>
        <v>1.24875124875125E-2</v>
      </c>
      <c r="AC20" s="213">
        <f>0.5*0.04995004995005</f>
        <v>2.4975024975025E-2</v>
      </c>
      <c r="AD20" s="213">
        <v>9.0328212294013083E-2</v>
      </c>
      <c r="AE20" s="152">
        <f t="shared" si="1"/>
        <v>0.12174751777717589</v>
      </c>
      <c r="AF20" s="216"/>
      <c r="AG20" s="219"/>
      <c r="AH20" s="196">
        <v>5.2129577464788737</v>
      </c>
      <c r="AI20" s="197">
        <f t="shared" si="15"/>
        <v>0.16500000000000001</v>
      </c>
      <c r="AJ20" s="198">
        <v>0.17085446009389677</v>
      </c>
      <c r="AK20" s="197">
        <f t="shared" si="16"/>
        <v>7.4999999999999997E-2</v>
      </c>
      <c r="AL20" s="197">
        <f t="shared" si="10"/>
        <v>7.4999999999999997E-2</v>
      </c>
      <c r="AM20" s="197">
        <f>0.5*0.15</f>
        <v>7.4999999999999997E-2</v>
      </c>
      <c r="AN20" s="197">
        <v>0.67988732394366225</v>
      </c>
      <c r="AO20" s="198">
        <v>6.1690140845070442E-2</v>
      </c>
      <c r="AP20" s="198"/>
      <c r="AQ20" s="197">
        <v>0.37710798122065736</v>
      </c>
      <c r="AR20" s="197">
        <f t="shared" si="5"/>
        <v>7.4999999999999997E-2</v>
      </c>
      <c r="AS20" s="197">
        <v>0.41348356807511749</v>
      </c>
      <c r="AT20" s="198">
        <v>0.18627230046948362</v>
      </c>
      <c r="AU20" s="197">
        <f t="shared" si="17"/>
        <v>0.26</v>
      </c>
      <c r="AV20" s="197">
        <f t="shared" si="6"/>
        <v>7.4999999999999997E-2</v>
      </c>
      <c r="AW20" s="197">
        <f t="shared" si="8"/>
        <v>7.4999999999999997E-2</v>
      </c>
      <c r="AX20" s="197">
        <f t="shared" si="14"/>
        <v>7.4999999999999997E-2</v>
      </c>
      <c r="AY20" s="197">
        <f t="shared" si="12"/>
        <v>7.4999999999999997E-2</v>
      </c>
      <c r="AZ20" s="197">
        <f t="shared" si="12"/>
        <v>7.4999999999999997E-2</v>
      </c>
      <c r="BA20" s="197">
        <f t="shared" si="12"/>
        <v>7.4999999999999997E-2</v>
      </c>
      <c r="BB20" s="197">
        <f t="shared" si="12"/>
        <v>7.4999999999999997E-2</v>
      </c>
      <c r="BC20" s="199"/>
      <c r="BD20" s="199"/>
      <c r="BE20" s="199"/>
      <c r="BF20" s="199"/>
      <c r="BG20" s="199"/>
      <c r="BH20" s="199"/>
      <c r="BI20" s="199"/>
      <c r="BJ20" s="200"/>
      <c r="BK20" s="208"/>
      <c r="BL20" s="216"/>
      <c r="BM20" s="202"/>
      <c r="BN20" s="202">
        <v>79</v>
      </c>
      <c r="BO20" s="203"/>
      <c r="BP20" s="203"/>
      <c r="BQ20" s="203"/>
      <c r="BR20" s="203"/>
      <c r="BS20" s="203"/>
      <c r="BT20" s="203"/>
      <c r="BU20" s="203"/>
      <c r="BV20" s="203"/>
      <c r="BW20" s="203"/>
      <c r="BX20" s="203"/>
      <c r="BY20" s="203"/>
      <c r="BZ20" s="203"/>
      <c r="CA20" s="203"/>
      <c r="CB20" s="203"/>
      <c r="CC20" s="203"/>
      <c r="CD20" s="203"/>
      <c r="CE20" s="203"/>
      <c r="CF20" s="203"/>
      <c r="CG20" s="203"/>
      <c r="CH20" s="203"/>
      <c r="CI20" s="204"/>
      <c r="CJ20" s="204"/>
      <c r="CK20" s="204"/>
      <c r="CL20" s="204"/>
      <c r="CM20" s="204"/>
      <c r="CN20" s="204"/>
      <c r="CO20" s="204"/>
      <c r="CP20" s="204"/>
      <c r="CQ20" s="205"/>
      <c r="CR20" s="205"/>
      <c r="CS20" s="205"/>
      <c r="CT20" s="205"/>
      <c r="CU20" s="205"/>
      <c r="CV20" s="205"/>
      <c r="CW20" s="205"/>
      <c r="CX20" s="205"/>
      <c r="CY20" s="206"/>
    </row>
    <row r="21" spans="1:112" x14ac:dyDescent="0.2">
      <c r="A21" s="214" t="s">
        <v>7</v>
      </c>
      <c r="B21" s="214" t="s">
        <v>7</v>
      </c>
      <c r="C21" s="186" t="s">
        <v>20</v>
      </c>
      <c r="D21" s="214"/>
      <c r="E21" s="208"/>
      <c r="F21" s="208"/>
      <c r="G21" s="208"/>
      <c r="H21" s="189">
        <v>2023</v>
      </c>
      <c r="I21" s="190" t="s">
        <v>33</v>
      </c>
      <c r="J21" s="190">
        <v>10</v>
      </c>
      <c r="K21" s="191">
        <v>0.52812820767527036</v>
      </c>
      <c r="L21" s="191"/>
      <c r="M21" s="212">
        <f>0.5*0.04</f>
        <v>0.02</v>
      </c>
      <c r="N21" s="207">
        <v>0.1671370568429392</v>
      </c>
      <c r="O21" s="207">
        <v>0.75572885719944538</v>
      </c>
      <c r="P21" s="207">
        <v>0.84384036442859967</v>
      </c>
      <c r="Q21" s="192">
        <v>2.0887799564270151</v>
      </c>
      <c r="R21" s="192">
        <v>1.7742424242424242</v>
      </c>
      <c r="S21" s="207">
        <v>0.61489403842345014</v>
      </c>
      <c r="T21" s="192">
        <v>6.244622697563873</v>
      </c>
      <c r="U21" s="17">
        <f t="shared" si="0"/>
        <v>51.320704464893353</v>
      </c>
      <c r="V21" s="218">
        <f>0.5*0.0247573776985542</f>
        <v>1.2378688849277101E-2</v>
      </c>
      <c r="W21" s="218">
        <v>4.6994580917299945E-2</v>
      </c>
      <c r="X21" s="218">
        <v>3.6402669525009E-2</v>
      </c>
      <c r="Y21" s="218">
        <v>3.7186949837162302E-2</v>
      </c>
      <c r="Z21" s="218">
        <v>1.4516155372622517E-2</v>
      </c>
      <c r="AA21" s="218">
        <f>0.5*0.0396118043176867</f>
        <v>1.9805902158843348E-2</v>
      </c>
      <c r="AB21" s="184">
        <f>0.5*0.0247573776985542</f>
        <v>1.2378688849277101E-2</v>
      </c>
      <c r="AC21" s="213">
        <f>0.5*0.0495147553971083</f>
        <v>2.4757377698554149E-2</v>
      </c>
      <c r="AD21" s="222">
        <v>0.13510035565209377</v>
      </c>
      <c r="AE21" s="152">
        <f t="shared" si="1"/>
        <v>0.16514748013686878</v>
      </c>
      <c r="AF21" s="214"/>
      <c r="AG21" s="219"/>
      <c r="AH21" s="196">
        <v>4.5638737073880398</v>
      </c>
      <c r="AI21" s="197">
        <f t="shared" si="15"/>
        <v>0.16500000000000001</v>
      </c>
      <c r="AJ21" s="198">
        <v>0.10091875384998494</v>
      </c>
      <c r="AK21" s="197">
        <f t="shared" si="16"/>
        <v>7.4999999999999997E-2</v>
      </c>
      <c r="AL21" s="197">
        <f t="shared" si="10"/>
        <v>7.4999999999999997E-2</v>
      </c>
      <c r="AM21" s="198">
        <v>0.11810115466782005</v>
      </c>
      <c r="AN21" s="196">
        <v>1.467896040577203</v>
      </c>
      <c r="AO21" s="197">
        <v>0.40710887429717307</v>
      </c>
      <c r="AP21" s="197"/>
      <c r="AQ21" s="196">
        <v>1.2227290003800837</v>
      </c>
      <c r="AR21" s="197">
        <f t="shared" si="5"/>
        <v>7.4999999999999997E-2</v>
      </c>
      <c r="AS21" s="196">
        <v>1.5006618697492762</v>
      </c>
      <c r="AT21" s="198">
        <v>0.26864048021599235</v>
      </c>
      <c r="AU21" s="197">
        <f t="shared" si="17"/>
        <v>0.26</v>
      </c>
      <c r="AV21" s="197">
        <f t="shared" si="6"/>
        <v>7.4999999999999997E-2</v>
      </c>
      <c r="AW21" s="197">
        <f t="shared" si="8"/>
        <v>7.4999999999999997E-2</v>
      </c>
      <c r="AX21" s="197">
        <f t="shared" si="14"/>
        <v>7.4999999999999997E-2</v>
      </c>
      <c r="AY21" s="197">
        <f t="shared" si="12"/>
        <v>7.4999999999999997E-2</v>
      </c>
      <c r="AZ21" s="197">
        <f t="shared" si="12"/>
        <v>7.4999999999999997E-2</v>
      </c>
      <c r="BA21" s="197">
        <f t="shared" si="12"/>
        <v>7.4999999999999997E-2</v>
      </c>
      <c r="BB21" s="197">
        <f t="shared" si="12"/>
        <v>7.4999999999999997E-2</v>
      </c>
      <c r="BC21" s="199"/>
      <c r="BD21" s="199"/>
      <c r="BE21" s="199"/>
      <c r="BF21" s="199"/>
      <c r="BG21" s="199"/>
      <c r="BH21" s="199"/>
      <c r="BI21" s="199"/>
      <c r="BJ21" s="200"/>
      <c r="BK21" s="208"/>
      <c r="BL21" s="214"/>
      <c r="BM21" s="202"/>
      <c r="BN21" s="202">
        <v>94</v>
      </c>
      <c r="BO21" s="203"/>
      <c r="BP21" s="203"/>
      <c r="BQ21" s="203"/>
      <c r="BR21" s="203"/>
      <c r="BS21" s="203"/>
      <c r="BT21" s="203"/>
      <c r="BU21" s="203"/>
      <c r="BV21" s="203"/>
      <c r="BW21" s="203"/>
      <c r="BX21" s="203"/>
      <c r="BY21" s="203"/>
      <c r="BZ21" s="203"/>
      <c r="CA21" s="203"/>
      <c r="CB21" s="203"/>
      <c r="CC21" s="203"/>
      <c r="CD21" s="203"/>
      <c r="CE21" s="203"/>
      <c r="CF21" s="203"/>
      <c r="CG21" s="203"/>
      <c r="CH21" s="203"/>
      <c r="CI21" s="204"/>
      <c r="CJ21" s="204"/>
      <c r="CK21" s="204"/>
      <c r="CL21" s="204"/>
      <c r="CM21" s="204"/>
      <c r="CN21" s="204"/>
      <c r="CO21" s="204"/>
      <c r="CP21" s="204"/>
      <c r="CQ21" s="205"/>
      <c r="CR21" s="205"/>
      <c r="CS21" s="205"/>
      <c r="CT21" s="205"/>
      <c r="CU21" s="205"/>
      <c r="CV21" s="205"/>
      <c r="CW21" s="205"/>
      <c r="CX21" s="205"/>
      <c r="CY21" s="206"/>
    </row>
    <row r="22" spans="1:112" x14ac:dyDescent="0.2">
      <c r="A22" s="214" t="s">
        <v>30</v>
      </c>
      <c r="B22" s="214" t="s">
        <v>30</v>
      </c>
      <c r="C22" s="186" t="s">
        <v>20</v>
      </c>
      <c r="D22" s="214"/>
      <c r="E22" s="208"/>
      <c r="F22" s="208"/>
      <c r="G22" s="208"/>
      <c r="H22" s="189">
        <v>2023</v>
      </c>
      <c r="I22" s="190" t="s">
        <v>33</v>
      </c>
      <c r="J22" s="190">
        <v>10</v>
      </c>
      <c r="K22" s="191">
        <v>0.47031455446547749</v>
      </c>
      <c r="L22" s="191"/>
      <c r="M22" s="182">
        <v>2.536487166582788E-2</v>
      </c>
      <c r="N22" s="207">
        <v>0.30374937091092097</v>
      </c>
      <c r="O22" s="192">
        <v>2.583558127830901</v>
      </c>
      <c r="P22" s="207">
        <v>2.2323603422244589</v>
      </c>
      <c r="Q22" s="192">
        <v>5.6638147961751386</v>
      </c>
      <c r="R22" s="192">
        <v>5.5147760442878706</v>
      </c>
      <c r="S22" s="207">
        <v>1.4661399094111727</v>
      </c>
      <c r="T22" s="193">
        <v>17.78976346250629</v>
      </c>
      <c r="U22" s="17">
        <f t="shared" si="0"/>
        <v>165.39359639808671</v>
      </c>
      <c r="V22" s="218">
        <f>0.5*0.0251635631605435</f>
        <v>1.2581781580271749E-2</v>
      </c>
      <c r="W22" s="218">
        <v>2.0786767107938153E-2</v>
      </c>
      <c r="X22" s="218">
        <v>2.4148781325745345E-2</v>
      </c>
      <c r="Y22" s="218">
        <v>2.1735955546429046E-2</v>
      </c>
      <c r="Z22" s="218">
        <f>0.5*0.0251635631605435</f>
        <v>1.2581781580271749E-2</v>
      </c>
      <c r="AA22" s="218">
        <f>0.5*0.0402617010568697</f>
        <v>2.013085052843485E-2</v>
      </c>
      <c r="AB22" s="218">
        <f>0.5*0.0251635631605435</f>
        <v>1.2581781580271749E-2</v>
      </c>
      <c r="AC22" s="213">
        <f>0.5*0.0503271263210871</f>
        <v>2.5163563160543551E-2</v>
      </c>
      <c r="AD22" s="213">
        <v>6.667150398011254E-2</v>
      </c>
      <c r="AE22" s="152">
        <f t="shared" si="1"/>
        <v>0.11196591766909089</v>
      </c>
      <c r="AF22" s="214"/>
      <c r="AG22" s="219"/>
      <c r="AH22" s="196">
        <v>5.7285741848350371</v>
      </c>
      <c r="AI22" s="197">
        <f t="shared" si="15"/>
        <v>0.16500000000000001</v>
      </c>
      <c r="AJ22" s="198">
        <v>9.7459643706990798E-2</v>
      </c>
      <c r="AK22" s="197">
        <f t="shared" si="16"/>
        <v>7.4999999999999997E-2</v>
      </c>
      <c r="AL22" s="197">
        <f t="shared" si="10"/>
        <v>7.4999999999999997E-2</v>
      </c>
      <c r="AM22" s="198">
        <v>5.3199562672840699E-2</v>
      </c>
      <c r="AN22" s="197">
        <v>0.73876133513409226</v>
      </c>
      <c r="AO22" s="197">
        <v>0.17499517653868418</v>
      </c>
      <c r="AP22" s="197"/>
      <c r="AQ22" s="197">
        <v>0.57401762171200721</v>
      </c>
      <c r="AR22" s="197">
        <f t="shared" si="5"/>
        <v>7.4999999999999997E-2</v>
      </c>
      <c r="AS22" s="197">
        <v>0.75417068621776329</v>
      </c>
      <c r="AT22" s="197">
        <f>0.5*0.48</f>
        <v>0.24</v>
      </c>
      <c r="AU22" s="197">
        <f t="shared" si="17"/>
        <v>0.26</v>
      </c>
      <c r="AV22" s="197">
        <f t="shared" si="6"/>
        <v>7.4999999999999997E-2</v>
      </c>
      <c r="AW22" s="197">
        <f t="shared" si="8"/>
        <v>7.4999999999999997E-2</v>
      </c>
      <c r="AX22" s="197">
        <f t="shared" si="14"/>
        <v>7.4999999999999997E-2</v>
      </c>
      <c r="AY22" s="197">
        <f t="shared" si="12"/>
        <v>7.4999999999999997E-2</v>
      </c>
      <c r="AZ22" s="197">
        <f t="shared" si="12"/>
        <v>7.4999999999999997E-2</v>
      </c>
      <c r="BA22" s="197">
        <f t="shared" si="12"/>
        <v>7.4999999999999997E-2</v>
      </c>
      <c r="BB22" s="197">
        <f t="shared" si="12"/>
        <v>7.4999999999999997E-2</v>
      </c>
      <c r="BC22" s="199"/>
      <c r="BD22" s="199"/>
      <c r="BE22" s="199"/>
      <c r="BF22" s="199"/>
      <c r="BG22" s="199"/>
      <c r="BH22" s="199"/>
      <c r="BI22" s="199"/>
      <c r="BJ22" s="200"/>
      <c r="BK22" s="208"/>
      <c r="BL22" s="214"/>
      <c r="BM22" s="202"/>
      <c r="BN22" s="202">
        <v>78</v>
      </c>
      <c r="BO22" s="203"/>
      <c r="BP22" s="203"/>
      <c r="BQ22" s="203"/>
      <c r="BR22" s="203"/>
      <c r="BS22" s="203"/>
      <c r="BT22" s="203"/>
      <c r="BU22" s="203"/>
      <c r="BV22" s="203"/>
      <c r="BW22" s="203"/>
      <c r="BX22" s="203"/>
      <c r="BY22" s="203"/>
      <c r="BZ22" s="203"/>
      <c r="CA22" s="203"/>
      <c r="CB22" s="203"/>
      <c r="CC22" s="203"/>
      <c r="CD22" s="203"/>
      <c r="CE22" s="203"/>
      <c r="CF22" s="203"/>
      <c r="CG22" s="203"/>
      <c r="CH22" s="203"/>
      <c r="CI22" s="204"/>
      <c r="CJ22" s="204"/>
      <c r="CK22" s="204"/>
      <c r="CL22" s="204"/>
      <c r="CM22" s="204"/>
      <c r="CN22" s="204"/>
      <c r="CO22" s="204"/>
      <c r="CP22" s="204"/>
      <c r="CQ22" s="205"/>
      <c r="CR22" s="205"/>
      <c r="CS22" s="205"/>
      <c r="CT22" s="205"/>
      <c r="CU22" s="205"/>
      <c r="CV22" s="205"/>
      <c r="CW22" s="205"/>
      <c r="CX22" s="205"/>
      <c r="CY22" s="206"/>
    </row>
    <row r="23" spans="1:112" x14ac:dyDescent="0.2">
      <c r="A23" s="219" t="s">
        <v>8</v>
      </c>
      <c r="B23" s="219" t="s">
        <v>8</v>
      </c>
      <c r="C23" s="186" t="s">
        <v>20</v>
      </c>
      <c r="D23" s="219"/>
      <c r="E23" s="208"/>
      <c r="F23" s="208"/>
      <c r="G23" s="208"/>
      <c r="H23" s="189">
        <v>2023</v>
      </c>
      <c r="I23" s="190" t="s">
        <v>33</v>
      </c>
      <c r="J23" s="190">
        <v>10</v>
      </c>
      <c r="K23" s="191">
        <v>0.49073427155073501</v>
      </c>
      <c r="L23" s="191"/>
      <c r="M23" s="212">
        <f>0.5*0.039</f>
        <v>1.95E-2</v>
      </c>
      <c r="N23" s="182">
        <v>3.6500049198071434E-2</v>
      </c>
      <c r="O23" s="207">
        <v>0.35328643117189806</v>
      </c>
      <c r="P23" s="207">
        <v>0.35817179966545309</v>
      </c>
      <c r="Q23" s="192">
        <v>1.810075765030011</v>
      </c>
      <c r="R23" s="192">
        <v>1.3076847387582407</v>
      </c>
      <c r="S23" s="207">
        <v>0.59681196497097311</v>
      </c>
      <c r="T23" s="192">
        <v>4.4625307487946468</v>
      </c>
      <c r="U23" s="17">
        <f t="shared" si="0"/>
        <v>42.017229977617788</v>
      </c>
      <c r="V23" s="218">
        <f>0.5*0.0245990357177999</f>
        <v>1.2299517858899951E-2</v>
      </c>
      <c r="W23" s="218">
        <v>2.2334521406286688E-2</v>
      </c>
      <c r="X23" s="218">
        <v>2.2893643044079089E-2</v>
      </c>
      <c r="Y23" s="218">
        <v>1.3704410630372151E-2</v>
      </c>
      <c r="Z23" s="218">
        <v>1.4148897910877397E-2</v>
      </c>
      <c r="AA23" s="184">
        <f>0.5*0.0393584571484798</f>
        <v>1.9679228574239899E-2</v>
      </c>
      <c r="AB23" s="218">
        <f>0.5*0.0245990357177999</f>
        <v>1.2299517858899951E-2</v>
      </c>
      <c r="AC23" s="213">
        <f>0.5*0.0491980714355997</f>
        <v>2.4599035717799849E-2</v>
      </c>
      <c r="AD23" s="213">
        <v>7.3081472991615326E-2</v>
      </c>
      <c r="AE23" s="152">
        <f t="shared" si="1"/>
        <v>0.10321083937277772</v>
      </c>
      <c r="AF23" s="219"/>
      <c r="AG23" s="219"/>
      <c r="AH23" s="196">
        <v>4.7247870351132342</v>
      </c>
      <c r="AI23" s="197">
        <f t="shared" si="15"/>
        <v>0.16500000000000001</v>
      </c>
      <c r="AJ23" s="197">
        <f>0.5*0.21</f>
        <v>0.105</v>
      </c>
      <c r="AK23" s="197">
        <f t="shared" si="16"/>
        <v>7.4999999999999997E-2</v>
      </c>
      <c r="AL23" s="197">
        <f t="shared" si="10"/>
        <v>7.4999999999999997E-2</v>
      </c>
      <c r="AM23" s="197">
        <f>0.5*0.15</f>
        <v>7.4999999999999997E-2</v>
      </c>
      <c r="AN23" s="197">
        <v>0.84695616039891941</v>
      </c>
      <c r="AO23" s="198">
        <v>0.10326199875337626</v>
      </c>
      <c r="AP23" s="198"/>
      <c r="AQ23" s="197">
        <v>0.36719994459450095</v>
      </c>
      <c r="AR23" s="197">
        <f t="shared" si="5"/>
        <v>7.4999999999999997E-2</v>
      </c>
      <c r="AS23" s="197">
        <v>0.26733153265461596</v>
      </c>
      <c r="AT23" s="197">
        <f>0.5*0.48</f>
        <v>0.24</v>
      </c>
      <c r="AU23" s="197">
        <f t="shared" si="17"/>
        <v>0.26</v>
      </c>
      <c r="AV23" s="197">
        <f t="shared" si="6"/>
        <v>7.4999999999999997E-2</v>
      </c>
      <c r="AW23" s="197">
        <f t="shared" si="8"/>
        <v>7.4999999999999997E-2</v>
      </c>
      <c r="AX23" s="197">
        <f t="shared" si="14"/>
        <v>7.4999999999999997E-2</v>
      </c>
      <c r="AY23" s="197">
        <f t="shared" si="12"/>
        <v>7.4999999999999997E-2</v>
      </c>
      <c r="AZ23" s="197">
        <f t="shared" si="12"/>
        <v>7.4999999999999997E-2</v>
      </c>
      <c r="BA23" s="197">
        <f t="shared" si="12"/>
        <v>7.4999999999999997E-2</v>
      </c>
      <c r="BB23" s="197">
        <f t="shared" si="12"/>
        <v>7.4999999999999997E-2</v>
      </c>
      <c r="BC23" s="199"/>
      <c r="BD23" s="199"/>
      <c r="BE23" s="199"/>
      <c r="BF23" s="199"/>
      <c r="BG23" s="199"/>
      <c r="BH23" s="199"/>
      <c r="BI23" s="199"/>
      <c r="BJ23" s="200"/>
      <c r="BK23" s="208"/>
      <c r="BL23" s="219"/>
      <c r="BM23" s="202"/>
      <c r="BN23" s="202">
        <v>88</v>
      </c>
      <c r="BO23" s="203"/>
      <c r="BP23" s="203"/>
      <c r="BQ23" s="203"/>
      <c r="BR23" s="203"/>
      <c r="BS23" s="203"/>
      <c r="BT23" s="203"/>
      <c r="BU23" s="203"/>
      <c r="BV23" s="203"/>
      <c r="BW23" s="203"/>
      <c r="BX23" s="203"/>
      <c r="BY23" s="203"/>
      <c r="BZ23" s="203"/>
      <c r="CA23" s="203"/>
      <c r="CB23" s="203"/>
      <c r="CC23" s="203"/>
      <c r="CD23" s="203"/>
      <c r="CE23" s="203"/>
      <c r="CF23" s="203"/>
      <c r="CG23" s="203"/>
      <c r="CH23" s="203"/>
      <c r="CI23" s="204"/>
      <c r="CJ23" s="204"/>
      <c r="CK23" s="204"/>
      <c r="CL23" s="204"/>
      <c r="CM23" s="204"/>
      <c r="CN23" s="204"/>
      <c r="CO23" s="204"/>
      <c r="CP23" s="204"/>
      <c r="CQ23" s="205"/>
      <c r="CR23" s="205"/>
      <c r="CS23" s="205"/>
      <c r="CT23" s="205"/>
      <c r="CU23" s="205"/>
      <c r="CV23" s="205"/>
      <c r="CW23" s="205"/>
      <c r="CX23" s="205"/>
      <c r="CY23" s="206"/>
    </row>
    <row r="24" spans="1:112" x14ac:dyDescent="0.2">
      <c r="A24" s="219" t="s">
        <v>21</v>
      </c>
      <c r="B24" s="219" t="s">
        <v>21</v>
      </c>
      <c r="C24" s="186" t="s">
        <v>20</v>
      </c>
      <c r="D24" s="219"/>
      <c r="E24" s="208"/>
      <c r="F24" s="208"/>
      <c r="G24" s="208"/>
      <c r="H24" s="189">
        <v>2023</v>
      </c>
      <c r="I24" s="190" t="s">
        <v>33</v>
      </c>
      <c r="J24" s="190">
        <v>10</v>
      </c>
      <c r="K24" s="191">
        <v>0.49688394812196196</v>
      </c>
      <c r="L24" s="191"/>
      <c r="M24" s="212">
        <f>0.5*0.04</f>
        <v>0.02</v>
      </c>
      <c r="N24" s="212">
        <v>5.659572332095171E-2</v>
      </c>
      <c r="O24" s="207">
        <v>0.98138239132617211</v>
      </c>
      <c r="P24" s="207">
        <v>0.79734966368838467</v>
      </c>
      <c r="Q24" s="192">
        <v>4.6509085433189439</v>
      </c>
      <c r="R24" s="192">
        <v>3.8155004517618711</v>
      </c>
      <c r="S24" s="192">
        <v>1.5738078506174078</v>
      </c>
      <c r="T24" s="193">
        <v>11.875544624033731</v>
      </c>
      <c r="U24" s="17">
        <f t="shared" si="0"/>
        <v>111.67793810096332</v>
      </c>
      <c r="V24" s="218">
        <f>0.5*0.0250978817387812</f>
        <v>1.2548940869390599E-2</v>
      </c>
      <c r="W24" s="218">
        <v>7.0297747817661238E-2</v>
      </c>
      <c r="X24" s="218">
        <v>3.5220648851170627E-2</v>
      </c>
      <c r="Y24" s="218">
        <v>2.4850217981654446E-2</v>
      </c>
      <c r="Z24" s="218">
        <v>1.4382840428653456E-2</v>
      </c>
      <c r="AA24" s="218">
        <v>1.6653400402930407E-2</v>
      </c>
      <c r="AB24" s="218">
        <f>0.5*0.0250978817387812</f>
        <v>1.2548940869390599E-2</v>
      </c>
      <c r="AC24" s="213">
        <f>0.5*0.0501957634775625</f>
        <v>2.509788173878125E-2</v>
      </c>
      <c r="AD24" s="222">
        <v>0.16140485548207018</v>
      </c>
      <c r="AE24" s="152">
        <f t="shared" si="1"/>
        <v>0.17211989679219789</v>
      </c>
      <c r="AF24" s="219"/>
      <c r="AG24" s="219"/>
      <c r="AH24" s="209">
        <v>19.138014723727856</v>
      </c>
      <c r="AI24" s="197">
        <f t="shared" si="15"/>
        <v>0.16500000000000001</v>
      </c>
      <c r="AJ24" s="197">
        <f>0.5*0.21</f>
        <v>0.105</v>
      </c>
      <c r="AK24" s="197">
        <f t="shared" si="16"/>
        <v>7.4999999999999997E-2</v>
      </c>
      <c r="AL24" s="197">
        <f t="shared" si="10"/>
        <v>7.4999999999999997E-2</v>
      </c>
      <c r="AM24" s="198">
        <v>5.0144270959738967E-2</v>
      </c>
      <c r="AN24" s="196">
        <v>1.4337836744599952</v>
      </c>
      <c r="AO24" s="197">
        <v>0.49959550198204034</v>
      </c>
      <c r="AP24" s="197"/>
      <c r="AQ24" s="197">
        <v>0.66514305746568514</v>
      </c>
      <c r="AR24" s="197">
        <f t="shared" si="5"/>
        <v>7.4999999999999997E-2</v>
      </c>
      <c r="AS24" s="197">
        <v>0.54766334978291942</v>
      </c>
      <c r="AT24" s="197">
        <f>0.5*0.48</f>
        <v>0.24</v>
      </c>
      <c r="AU24" s="197">
        <f t="shared" si="17"/>
        <v>0.26</v>
      </c>
      <c r="AV24" s="197">
        <f t="shared" si="6"/>
        <v>7.4999999999999997E-2</v>
      </c>
      <c r="AW24" s="197">
        <f t="shared" si="8"/>
        <v>7.4999999999999997E-2</v>
      </c>
      <c r="AX24" s="197">
        <f t="shared" si="14"/>
        <v>7.4999999999999997E-2</v>
      </c>
      <c r="AY24" s="197">
        <f t="shared" si="12"/>
        <v>7.4999999999999997E-2</v>
      </c>
      <c r="AZ24" s="197">
        <f t="shared" si="12"/>
        <v>7.4999999999999997E-2</v>
      </c>
      <c r="BA24" s="197">
        <f t="shared" si="12"/>
        <v>7.4999999999999997E-2</v>
      </c>
      <c r="BB24" s="197">
        <f t="shared" si="12"/>
        <v>7.4999999999999997E-2</v>
      </c>
      <c r="BC24" s="199"/>
      <c r="BD24" s="199"/>
      <c r="BE24" s="199"/>
      <c r="BF24" s="199"/>
      <c r="BG24" s="199"/>
      <c r="BH24" s="199"/>
      <c r="BI24" s="199"/>
      <c r="BJ24" s="200"/>
      <c r="BK24" s="208"/>
      <c r="BL24" s="219"/>
      <c r="BM24" s="202"/>
      <c r="BN24" s="202">
        <v>69</v>
      </c>
      <c r="BO24" s="203"/>
      <c r="BP24" s="203"/>
      <c r="BQ24" s="203"/>
      <c r="BR24" s="203"/>
      <c r="BS24" s="203"/>
      <c r="BT24" s="203"/>
      <c r="BU24" s="203"/>
      <c r="BV24" s="203"/>
      <c r="BW24" s="203"/>
      <c r="BX24" s="203"/>
      <c r="BY24" s="203"/>
      <c r="BZ24" s="203"/>
      <c r="CA24" s="203"/>
      <c r="CB24" s="203"/>
      <c r="CC24" s="203"/>
      <c r="CD24" s="203"/>
      <c r="CE24" s="203"/>
      <c r="CF24" s="203"/>
      <c r="CG24" s="203"/>
      <c r="CH24" s="203"/>
      <c r="CI24" s="204"/>
      <c r="CJ24" s="204"/>
      <c r="CK24" s="204"/>
      <c r="CL24" s="204"/>
      <c r="CM24" s="204"/>
      <c r="CN24" s="204"/>
      <c r="CO24" s="204"/>
      <c r="CP24" s="204"/>
      <c r="CQ24" s="205"/>
      <c r="CR24" s="205"/>
      <c r="CS24" s="205"/>
      <c r="CT24" s="205"/>
      <c r="CU24" s="205"/>
      <c r="CV24" s="205"/>
      <c r="CW24" s="205"/>
      <c r="CX24" s="205"/>
      <c r="CY24" s="206"/>
    </row>
    <row r="25" spans="1:112" x14ac:dyDescent="0.2">
      <c r="A25" s="219" t="s">
        <v>22</v>
      </c>
      <c r="B25" s="219" t="s">
        <v>22</v>
      </c>
      <c r="C25" s="186" t="s">
        <v>20</v>
      </c>
      <c r="D25" s="219"/>
      <c r="E25" s="208"/>
      <c r="F25" s="208"/>
      <c r="G25" s="188">
        <v>45202</v>
      </c>
      <c r="H25" s="189">
        <v>2023</v>
      </c>
      <c r="I25" s="190" t="s">
        <v>33</v>
      </c>
      <c r="J25" s="190">
        <v>10</v>
      </c>
      <c r="K25" s="191">
        <v>0.54957826924355802</v>
      </c>
      <c r="L25" s="191"/>
      <c r="M25" s="207">
        <v>0.72300858152448266</v>
      </c>
      <c r="N25" s="192">
        <v>1.6222766279656742</v>
      </c>
      <c r="O25" s="192">
        <v>6.1812670368500759</v>
      </c>
      <c r="P25" s="192">
        <v>5.5446138313982845</v>
      </c>
      <c r="Q25" s="193">
        <v>13.578566380615852</v>
      </c>
      <c r="R25" s="193">
        <v>11.905350832912671</v>
      </c>
      <c r="S25" s="192">
        <v>2.9672488642099952</v>
      </c>
      <c r="T25" s="193">
        <v>42.522332155477031</v>
      </c>
      <c r="U25" s="17">
        <f t="shared" si="0"/>
        <v>336.41903613633639</v>
      </c>
      <c r="V25" s="218">
        <f>0.5*0.0252397778899546</f>
        <v>1.2619888944977301E-2</v>
      </c>
      <c r="W25" s="220">
        <v>0.20335794646501792</v>
      </c>
      <c r="X25" s="218">
        <v>8.2162996702411478E-2</v>
      </c>
      <c r="Y25" s="220">
        <v>0.17063134613776623</v>
      </c>
      <c r="Z25" s="218">
        <v>1.4524230176377072E-2</v>
      </c>
      <c r="AA25" s="218">
        <v>1.9537240636599222E-2</v>
      </c>
      <c r="AB25" s="218">
        <v>1.8040714007108938E-2</v>
      </c>
      <c r="AC25" s="213">
        <f>0.5*0.0504795557799091</f>
        <v>2.5239777889954549E-2</v>
      </c>
      <c r="AD25" s="222">
        <v>0.5082544741252808</v>
      </c>
      <c r="AE25" s="152">
        <f t="shared" si="1"/>
        <v>0.50635013289388109</v>
      </c>
      <c r="AF25" s="219"/>
      <c r="AG25" s="219"/>
      <c r="AH25" s="196">
        <v>4.8773646711980998</v>
      </c>
      <c r="AI25" s="197">
        <f t="shared" si="15"/>
        <v>0.16500000000000001</v>
      </c>
      <c r="AJ25" s="198">
        <v>9.1297464035159565E-2</v>
      </c>
      <c r="AK25" s="197">
        <f t="shared" si="16"/>
        <v>7.4999999999999997E-2</v>
      </c>
      <c r="AL25" s="197">
        <f t="shared" si="10"/>
        <v>7.4999999999999997E-2</v>
      </c>
      <c r="AM25" s="198">
        <v>8.912728960227119E-2</v>
      </c>
      <c r="AN25" s="197">
        <v>0.27225452460895921</v>
      </c>
      <c r="AO25" s="198">
        <v>0.12799934485300141</v>
      </c>
      <c r="AP25" s="198"/>
      <c r="AQ25" s="197">
        <v>0.33308765320885547</v>
      </c>
      <c r="AR25" s="197">
        <f t="shared" si="5"/>
        <v>7.4999999999999997E-2</v>
      </c>
      <c r="AS25" s="197">
        <v>0.70859607457756679</v>
      </c>
      <c r="AT25" s="197">
        <v>0.4833892938061311</v>
      </c>
      <c r="AU25" s="198">
        <v>0.35380667703982754</v>
      </c>
      <c r="AV25" s="197">
        <f t="shared" si="6"/>
        <v>7.4999999999999997E-2</v>
      </c>
      <c r="AW25" s="197">
        <f t="shared" si="8"/>
        <v>7.4999999999999997E-2</v>
      </c>
      <c r="AX25" s="197">
        <f t="shared" si="14"/>
        <v>7.4999999999999997E-2</v>
      </c>
      <c r="AY25" s="197">
        <f t="shared" si="12"/>
        <v>7.4999999999999997E-2</v>
      </c>
      <c r="AZ25" s="197">
        <f t="shared" si="12"/>
        <v>7.4999999999999997E-2</v>
      </c>
      <c r="BA25" s="197">
        <f t="shared" si="12"/>
        <v>7.4999999999999997E-2</v>
      </c>
      <c r="BB25" s="197">
        <f t="shared" si="12"/>
        <v>7.4999999999999997E-2</v>
      </c>
      <c r="BC25" s="199"/>
      <c r="BD25" s="199"/>
      <c r="BE25" s="199"/>
      <c r="BF25" s="199"/>
      <c r="BG25" s="199"/>
      <c r="BH25" s="199"/>
      <c r="BI25" s="199"/>
      <c r="BJ25" s="200"/>
      <c r="BK25" s="208"/>
      <c r="BL25" s="219"/>
      <c r="BM25" s="202"/>
      <c r="BN25" s="202">
        <v>120</v>
      </c>
      <c r="BO25" s="203"/>
      <c r="BP25" s="203"/>
      <c r="BQ25" s="203"/>
      <c r="BR25" s="203"/>
      <c r="BS25" s="203"/>
      <c r="BT25" s="203"/>
      <c r="BU25" s="203"/>
      <c r="BV25" s="203"/>
      <c r="BW25" s="203"/>
      <c r="BX25" s="203"/>
      <c r="BY25" s="203"/>
      <c r="BZ25" s="203"/>
      <c r="CA25" s="203"/>
      <c r="CB25" s="203"/>
      <c r="CC25" s="203"/>
      <c r="CD25" s="203"/>
      <c r="CE25" s="203"/>
      <c r="CF25" s="203"/>
      <c r="CG25" s="203"/>
      <c r="CH25" s="203"/>
      <c r="CI25" s="204"/>
      <c r="CJ25" s="204"/>
      <c r="CK25" s="204"/>
      <c r="CL25" s="204"/>
      <c r="CM25" s="204"/>
      <c r="CN25" s="204"/>
      <c r="CO25" s="204"/>
      <c r="CP25" s="204"/>
      <c r="CQ25" s="205"/>
      <c r="CR25" s="205"/>
      <c r="CS25" s="205"/>
      <c r="CT25" s="205"/>
      <c r="CU25" s="205"/>
      <c r="CV25" s="205"/>
      <c r="CW25" s="205"/>
      <c r="CX25" s="205"/>
      <c r="CY25" s="206"/>
    </row>
    <row r="26" spans="1:112" x14ac:dyDescent="0.2">
      <c r="A26" s="111" t="s">
        <v>4</v>
      </c>
      <c r="B26" s="111" t="s">
        <v>4</v>
      </c>
      <c r="C26" s="148" t="s">
        <v>20</v>
      </c>
      <c r="D26" s="148"/>
      <c r="E26" s="111"/>
      <c r="F26" s="111"/>
      <c r="G26" s="149">
        <v>44830</v>
      </c>
      <c r="H26" s="133" t="s">
        <v>172</v>
      </c>
      <c r="I26" s="138" t="s">
        <v>33</v>
      </c>
      <c r="J26" s="138" t="s">
        <v>173</v>
      </c>
      <c r="K26" s="140">
        <v>0.59</v>
      </c>
      <c r="L26" s="30" t="s">
        <v>159</v>
      </c>
      <c r="M26" s="30">
        <v>0.49717382738418098</v>
      </c>
      <c r="N26" s="150">
        <v>0.92191002897719065</v>
      </c>
      <c r="O26" s="65">
        <v>2.4129192104836594</v>
      </c>
      <c r="P26" s="65">
        <v>2.4023906092323575</v>
      </c>
      <c r="Q26" s="65">
        <v>5.4948357185078232</v>
      </c>
      <c r="R26" s="65">
        <v>5.2109328724898374</v>
      </c>
      <c r="S26" s="65">
        <v>1.3429902562633833</v>
      </c>
      <c r="T26" s="151">
        <v>18.283152523338433</v>
      </c>
      <c r="U26" s="152">
        <f t="shared" si="0"/>
        <v>134.58272808564473</v>
      </c>
      <c r="V26" s="112">
        <f>0.5*0.026</f>
        <v>1.2999999999999999E-2</v>
      </c>
      <c r="W26" s="112">
        <v>8.1000000000000003E-2</v>
      </c>
      <c r="X26" s="112">
        <v>0.03</v>
      </c>
      <c r="Y26" s="112">
        <v>7.8E-2</v>
      </c>
      <c r="Z26" s="112">
        <f>0.5*0.026</f>
        <v>1.2999999999999999E-2</v>
      </c>
      <c r="AA26" s="153">
        <v>1.4999999999999999E-2</v>
      </c>
      <c r="AB26" s="112">
        <f>0.5*0.026</f>
        <v>1.2999999999999999E-2</v>
      </c>
      <c r="AC26" s="113">
        <f>0.5*0.10275380189067</f>
        <v>5.1376900945335001E-2</v>
      </c>
      <c r="AD26" s="113">
        <v>0.20400000000000001</v>
      </c>
      <c r="AE26" s="152">
        <f t="shared" si="1"/>
        <v>0.22999999999999998</v>
      </c>
      <c r="AF26" s="81">
        <f t="shared" ref="AF26:AF35" si="18">0.5*0.001</f>
        <v>5.0000000000000001E-4</v>
      </c>
      <c r="AG26" s="154" t="s">
        <v>158</v>
      </c>
      <c r="AH26" s="77">
        <v>6.3683631708944031</v>
      </c>
      <c r="AI26" s="82">
        <f t="shared" ref="AI26:AI33" si="19">0.5*0.15</f>
        <v>7.4999999999999997E-2</v>
      </c>
      <c r="AJ26" s="82" t="s">
        <v>158</v>
      </c>
      <c r="AK26" s="155">
        <v>3.771611949447419E-2</v>
      </c>
      <c r="AL26" s="82">
        <f t="shared" ref="AL26:AL33" si="20">0.5*0.2</f>
        <v>0.1</v>
      </c>
      <c r="AM26" s="155">
        <v>0.13227684929778064</v>
      </c>
      <c r="AN26" s="150">
        <v>0.45006941064056094</v>
      </c>
      <c r="AO26" s="155">
        <v>5.9873438260587358E-2</v>
      </c>
      <c r="AP26" s="155" t="s">
        <v>158</v>
      </c>
      <c r="AQ26" s="150">
        <v>0.42066453927560521</v>
      </c>
      <c r="AR26" s="82">
        <f t="shared" ref="AR26:AR44" si="21">0.5*0.1</f>
        <v>0.05</v>
      </c>
      <c r="AS26" s="150">
        <v>0.71437070690680926</v>
      </c>
      <c r="AT26" s="150">
        <v>0.31413272756774291</v>
      </c>
      <c r="AU26" s="150">
        <v>0.28703553464221959</v>
      </c>
      <c r="AV26" s="65">
        <f t="shared" ref="AV26:AW35" si="22">0.5*0.1</f>
        <v>0.05</v>
      </c>
      <c r="AW26" s="65">
        <f t="shared" si="22"/>
        <v>0.05</v>
      </c>
      <c r="AX26" s="65"/>
      <c r="AY26" s="65"/>
      <c r="AZ26" s="65"/>
      <c r="BA26" s="65"/>
      <c r="BB26" s="65"/>
      <c r="BC26" s="30" t="s">
        <v>158</v>
      </c>
      <c r="BD26" s="30" t="s">
        <v>158</v>
      </c>
      <c r="BE26" s="30" t="s">
        <v>158</v>
      </c>
      <c r="BF26" s="30" t="s">
        <v>158</v>
      </c>
      <c r="BG26" s="30" t="s">
        <v>158</v>
      </c>
      <c r="BH26" s="30" t="s">
        <v>158</v>
      </c>
      <c r="BI26" s="30" t="s">
        <v>158</v>
      </c>
      <c r="BJ26" s="30" t="s">
        <v>158</v>
      </c>
      <c r="BK26" s="30" t="s">
        <v>158</v>
      </c>
      <c r="BL26" s="30" t="s">
        <v>158</v>
      </c>
      <c r="BM26" s="30" t="s">
        <v>158</v>
      </c>
      <c r="BN26" s="61">
        <v>130</v>
      </c>
      <c r="BO26" s="156" t="s">
        <v>158</v>
      </c>
      <c r="BP26" s="156" t="s">
        <v>158</v>
      </c>
      <c r="BQ26" s="156" t="s">
        <v>158</v>
      </c>
      <c r="BR26" s="156" t="s">
        <v>158</v>
      </c>
      <c r="BS26" s="156" t="s">
        <v>158</v>
      </c>
      <c r="BT26" s="156" t="s">
        <v>158</v>
      </c>
      <c r="BU26" s="156" t="s">
        <v>158</v>
      </c>
      <c r="BV26" s="156" t="s">
        <v>158</v>
      </c>
      <c r="BW26" s="156" t="s">
        <v>158</v>
      </c>
      <c r="BX26" s="156" t="s">
        <v>158</v>
      </c>
      <c r="BY26" s="156" t="s">
        <v>158</v>
      </c>
      <c r="BZ26" s="156" t="s">
        <v>158</v>
      </c>
      <c r="CA26" s="156" t="s">
        <v>158</v>
      </c>
      <c r="CB26" s="156" t="s">
        <v>158</v>
      </c>
      <c r="CC26" s="156" t="s">
        <v>158</v>
      </c>
      <c r="CD26" s="156" t="s">
        <v>158</v>
      </c>
      <c r="CE26" s="156" t="s">
        <v>158</v>
      </c>
      <c r="CF26" s="156" t="s">
        <v>158</v>
      </c>
      <c r="CG26" s="156" t="s">
        <v>158</v>
      </c>
      <c r="CH26" s="156" t="s">
        <v>158</v>
      </c>
      <c r="CI26" s="156" t="s">
        <v>158</v>
      </c>
      <c r="CJ26" s="156" t="s">
        <v>158</v>
      </c>
      <c r="CK26" s="156" t="s">
        <v>158</v>
      </c>
      <c r="CL26" s="156" t="s">
        <v>158</v>
      </c>
      <c r="CM26" s="156" t="s">
        <v>158</v>
      </c>
      <c r="CN26" s="156" t="s">
        <v>158</v>
      </c>
      <c r="CO26" s="156" t="s">
        <v>158</v>
      </c>
      <c r="CP26" s="156" t="s">
        <v>158</v>
      </c>
      <c r="CQ26" s="156" t="s">
        <v>158</v>
      </c>
      <c r="CR26" s="156" t="s">
        <v>158</v>
      </c>
      <c r="CS26" s="156" t="s">
        <v>158</v>
      </c>
      <c r="CT26" s="156" t="s">
        <v>158</v>
      </c>
      <c r="CU26" s="156" t="s">
        <v>158</v>
      </c>
      <c r="CV26" s="156" t="s">
        <v>158</v>
      </c>
      <c r="CW26" s="156" t="s">
        <v>158</v>
      </c>
      <c r="CX26" s="156" t="s">
        <v>158</v>
      </c>
      <c r="CY26" s="157" t="s">
        <v>158</v>
      </c>
      <c r="CZ26" s="156"/>
      <c r="DA26" s="64"/>
      <c r="DB26" s="64"/>
      <c r="DC26" s="64"/>
      <c r="DD26" s="64"/>
      <c r="DE26" s="64"/>
      <c r="DF26" s="64"/>
      <c r="DG26" s="64"/>
      <c r="DH26" s="66"/>
    </row>
    <row r="27" spans="1:112" x14ac:dyDescent="0.2">
      <c r="A27" s="111" t="s">
        <v>30</v>
      </c>
      <c r="B27" s="111" t="s">
        <v>30</v>
      </c>
      <c r="C27" s="148" t="s">
        <v>20</v>
      </c>
      <c r="D27" s="148"/>
      <c r="E27" s="111"/>
      <c r="F27" s="111"/>
      <c r="G27" s="149">
        <v>44816</v>
      </c>
      <c r="H27" s="133" t="s">
        <v>172</v>
      </c>
      <c r="I27" s="138" t="s">
        <v>33</v>
      </c>
      <c r="J27" s="138" t="s">
        <v>173</v>
      </c>
      <c r="K27" s="140">
        <v>0.45</v>
      </c>
      <c r="L27" s="30" t="s">
        <v>159</v>
      </c>
      <c r="M27" s="158">
        <v>5.9579637576055222E-2</v>
      </c>
      <c r="N27" s="150">
        <v>0.65090235661125906</v>
      </c>
      <c r="O27" s="65">
        <v>4.0602601347602025</v>
      </c>
      <c r="P27" s="65">
        <v>3.6162215386167516</v>
      </c>
      <c r="Q27" s="65">
        <v>8.4312165565681987</v>
      </c>
      <c r="R27" s="65">
        <v>7.3147901366171375</v>
      </c>
      <c r="S27" s="65">
        <v>1.9493858338379573</v>
      </c>
      <c r="T27" s="151">
        <v>26.082356194587565</v>
      </c>
      <c r="U27" s="152">
        <f t="shared" si="0"/>
        <v>249.62371839967568</v>
      </c>
      <c r="V27" s="112">
        <f>0.5*0.026</f>
        <v>1.2999999999999999E-2</v>
      </c>
      <c r="W27" s="112">
        <v>5.6000000000000001E-2</v>
      </c>
      <c r="X27" s="153">
        <v>2.1000000000000001E-2</v>
      </c>
      <c r="Y27" s="112">
        <v>1.2999999999999999E-2</v>
      </c>
      <c r="Z27" s="153">
        <v>8.0000000000000002E-3</v>
      </c>
      <c r="AA27" s="153">
        <v>1.2E-2</v>
      </c>
      <c r="AB27" s="112">
        <f>0.5*0.026</f>
        <v>1.2999999999999999E-2</v>
      </c>
      <c r="AC27" s="113">
        <f>0.5*0.104942806170637</f>
        <v>5.2471403085318502E-2</v>
      </c>
      <c r="AD27" s="113">
        <v>0.11</v>
      </c>
      <c r="AE27" s="152">
        <f t="shared" si="1"/>
        <v>0.128</v>
      </c>
      <c r="AF27" s="81">
        <f t="shared" si="18"/>
        <v>5.0000000000000001E-4</v>
      </c>
      <c r="AG27" s="154" t="s">
        <v>158</v>
      </c>
      <c r="AH27" s="115">
        <v>8.4308072170501429</v>
      </c>
      <c r="AI27" s="82">
        <f t="shared" si="19"/>
        <v>7.4999999999999997E-2</v>
      </c>
      <c r="AJ27" s="82" t="s">
        <v>158</v>
      </c>
      <c r="AK27" s="150">
        <f t="shared" ref="AK27:AK44" si="23">0.5*0.1</f>
        <v>0.05</v>
      </c>
      <c r="AL27" s="82">
        <f t="shared" si="20"/>
        <v>0.1</v>
      </c>
      <c r="AM27" s="82">
        <f t="shared" ref="AM27:AM33" si="24">0.5*0.2</f>
        <v>0.1</v>
      </c>
      <c r="AN27" s="115">
        <v>1.0937364521108552</v>
      </c>
      <c r="AO27" s="150">
        <v>0.19568695955150472</v>
      </c>
      <c r="AP27" s="155" t="s">
        <v>158</v>
      </c>
      <c r="AQ27" s="150">
        <v>0.57593979995901001</v>
      </c>
      <c r="AR27" s="82">
        <f t="shared" si="21"/>
        <v>0.05</v>
      </c>
      <c r="AS27" s="150">
        <v>0.53362130229226701</v>
      </c>
      <c r="AT27" s="155">
        <v>0.19847370964895994</v>
      </c>
      <c r="AU27" s="155">
        <v>7.1636862328218337E-2</v>
      </c>
      <c r="AV27" s="150">
        <f t="shared" si="22"/>
        <v>0.05</v>
      </c>
      <c r="AW27" s="150">
        <f t="shared" si="22"/>
        <v>0.05</v>
      </c>
      <c r="AX27" s="150"/>
      <c r="AY27" s="150"/>
      <c r="AZ27" s="150"/>
      <c r="BA27" s="150"/>
      <c r="BB27" s="150"/>
      <c r="BC27" s="30" t="s">
        <v>158</v>
      </c>
      <c r="BD27" s="30" t="s">
        <v>158</v>
      </c>
      <c r="BE27" s="30" t="s">
        <v>158</v>
      </c>
      <c r="BF27" s="30" t="s">
        <v>158</v>
      </c>
      <c r="BG27" s="30" t="s">
        <v>158</v>
      </c>
      <c r="BH27" s="30" t="s">
        <v>158</v>
      </c>
      <c r="BI27" s="30" t="s">
        <v>158</v>
      </c>
      <c r="BJ27" s="30" t="s">
        <v>158</v>
      </c>
      <c r="BK27" s="30" t="s">
        <v>158</v>
      </c>
      <c r="BL27" s="30" t="s">
        <v>158</v>
      </c>
      <c r="BM27" s="30" t="s">
        <v>158</v>
      </c>
      <c r="BN27" s="61">
        <v>130</v>
      </c>
      <c r="BO27" s="156" t="s">
        <v>158</v>
      </c>
      <c r="BP27" s="156" t="s">
        <v>158</v>
      </c>
      <c r="BQ27" s="156" t="s">
        <v>158</v>
      </c>
      <c r="BR27" s="156" t="s">
        <v>158</v>
      </c>
      <c r="BS27" s="156" t="s">
        <v>158</v>
      </c>
      <c r="BT27" s="156" t="s">
        <v>158</v>
      </c>
      <c r="BU27" s="156" t="s">
        <v>158</v>
      </c>
      <c r="BV27" s="156" t="s">
        <v>158</v>
      </c>
      <c r="BW27" s="156" t="s">
        <v>158</v>
      </c>
      <c r="BX27" s="156" t="s">
        <v>158</v>
      </c>
      <c r="BY27" s="156" t="s">
        <v>158</v>
      </c>
      <c r="BZ27" s="156" t="s">
        <v>158</v>
      </c>
      <c r="CA27" s="156" t="s">
        <v>158</v>
      </c>
      <c r="CB27" s="156" t="s">
        <v>158</v>
      </c>
      <c r="CC27" s="156" t="s">
        <v>158</v>
      </c>
      <c r="CD27" s="156" t="s">
        <v>158</v>
      </c>
      <c r="CE27" s="156" t="s">
        <v>158</v>
      </c>
      <c r="CF27" s="156" t="s">
        <v>158</v>
      </c>
      <c r="CG27" s="156" t="s">
        <v>158</v>
      </c>
      <c r="CH27" s="156" t="s">
        <v>158</v>
      </c>
      <c r="CI27" s="156" t="s">
        <v>158</v>
      </c>
      <c r="CJ27" s="156" t="s">
        <v>158</v>
      </c>
      <c r="CK27" s="156" t="s">
        <v>158</v>
      </c>
      <c r="CL27" s="156" t="s">
        <v>158</v>
      </c>
      <c r="CM27" s="156" t="s">
        <v>158</v>
      </c>
      <c r="CN27" s="156" t="s">
        <v>158</v>
      </c>
      <c r="CO27" s="156" t="s">
        <v>158</v>
      </c>
      <c r="CP27" s="156" t="s">
        <v>158</v>
      </c>
      <c r="CQ27" s="156" t="s">
        <v>158</v>
      </c>
      <c r="CR27" s="156" t="s">
        <v>158</v>
      </c>
      <c r="CS27" s="156" t="s">
        <v>158</v>
      </c>
      <c r="CT27" s="156" t="s">
        <v>158</v>
      </c>
      <c r="CU27" s="156" t="s">
        <v>158</v>
      </c>
      <c r="CV27" s="156" t="s">
        <v>158</v>
      </c>
      <c r="CW27" s="156" t="s">
        <v>158</v>
      </c>
      <c r="CX27" s="156" t="s">
        <v>158</v>
      </c>
      <c r="CY27" s="157" t="s">
        <v>158</v>
      </c>
      <c r="CZ27" s="156"/>
      <c r="DA27" s="64"/>
      <c r="DB27" s="64"/>
      <c r="DC27" s="64"/>
      <c r="DD27" s="64"/>
      <c r="DE27" s="64"/>
      <c r="DF27" s="64"/>
      <c r="DG27" s="64"/>
      <c r="DH27" s="66"/>
    </row>
    <row r="28" spans="1:112" x14ac:dyDescent="0.2">
      <c r="A28" s="111" t="s">
        <v>9</v>
      </c>
      <c r="B28" s="111" t="s">
        <v>9</v>
      </c>
      <c r="C28" s="148" t="s">
        <v>20</v>
      </c>
      <c r="D28" s="148"/>
      <c r="E28" s="111"/>
      <c r="F28" s="111"/>
      <c r="G28" s="149">
        <v>44812</v>
      </c>
      <c r="H28" s="133" t="s">
        <v>172</v>
      </c>
      <c r="I28" s="138" t="s">
        <v>33</v>
      </c>
      <c r="J28" s="138" t="s">
        <v>173</v>
      </c>
      <c r="K28" s="141">
        <v>0.40654538062810402</v>
      </c>
      <c r="L28" s="30" t="s">
        <v>159</v>
      </c>
      <c r="M28" s="159">
        <v>2.6827180721628111E-2</v>
      </c>
      <c r="N28" s="160">
        <v>6.9193928383241163E-2</v>
      </c>
      <c r="O28" s="150">
        <v>0.39471482019011173</v>
      </c>
      <c r="P28" s="150">
        <v>0.31205216077475051</v>
      </c>
      <c r="Q28" s="65">
        <v>1.4172840050351898</v>
      </c>
      <c r="R28" s="65">
        <v>1.1314538780510361</v>
      </c>
      <c r="S28" s="150">
        <v>0.38045819689115884</v>
      </c>
      <c r="T28" s="115">
        <v>3.7319841700471161</v>
      </c>
      <c r="U28" s="152">
        <f>SUM(M28,N28,O28,Q28,R28,S28)*(5/K28)</f>
        <v>42.060888799039397</v>
      </c>
      <c r="V28" s="112">
        <f>0.5*0.025</f>
        <v>1.2500000000000001E-2</v>
      </c>
      <c r="W28" s="153">
        <v>1.9E-2</v>
      </c>
      <c r="X28" s="153">
        <v>0.01</v>
      </c>
      <c r="Y28" s="153">
        <v>1.4999999999999999E-2</v>
      </c>
      <c r="Z28" s="112">
        <f>0.5*0.025</f>
        <v>1.2500000000000001E-2</v>
      </c>
      <c r="AA28" s="112">
        <f>0.5*0.025</f>
        <v>1.2500000000000001E-2</v>
      </c>
      <c r="AB28" s="112">
        <f>0.5*0.025</f>
        <v>1.2500000000000001E-2</v>
      </c>
      <c r="AC28" s="113">
        <f>0.5*0.102480016396803</f>
        <v>5.12400081984015E-2</v>
      </c>
      <c r="AD28" s="112">
        <v>4.3999999999999997E-2</v>
      </c>
      <c r="AE28" s="152">
        <f t="shared" si="1"/>
        <v>8.1500000000000003E-2</v>
      </c>
      <c r="AF28" s="81">
        <f t="shared" si="18"/>
        <v>5.0000000000000001E-4</v>
      </c>
      <c r="AG28" s="154" t="s">
        <v>158</v>
      </c>
      <c r="AH28" s="115">
        <v>2.1819997068952879</v>
      </c>
      <c r="AI28" s="82">
        <f t="shared" si="19"/>
        <v>7.4999999999999997E-2</v>
      </c>
      <c r="AJ28" s="82" t="s">
        <v>158</v>
      </c>
      <c r="AK28" s="150">
        <f t="shared" si="23"/>
        <v>0.05</v>
      </c>
      <c r="AL28" s="82">
        <f t="shared" si="20"/>
        <v>0.1</v>
      </c>
      <c r="AM28" s="82">
        <f t="shared" si="24"/>
        <v>0.1</v>
      </c>
      <c r="AN28" s="150">
        <v>0.40241445006228466</v>
      </c>
      <c r="AO28" s="155">
        <v>8.479885689162453E-2</v>
      </c>
      <c r="AP28" s="155" t="s">
        <v>158</v>
      </c>
      <c r="AQ28" s="150">
        <v>0.18029603575877476</v>
      </c>
      <c r="AR28" s="82">
        <f t="shared" si="21"/>
        <v>0.05</v>
      </c>
      <c r="AS28" s="150">
        <v>0.44965926577269716</v>
      </c>
      <c r="AT28" s="150">
        <v>0.39008573312815997</v>
      </c>
      <c r="AU28" s="150">
        <v>0.32325785887008124</v>
      </c>
      <c r="AV28" s="150">
        <f t="shared" si="22"/>
        <v>0.05</v>
      </c>
      <c r="AW28" s="150">
        <f t="shared" si="22"/>
        <v>0.05</v>
      </c>
      <c r="AX28" s="150"/>
      <c r="AY28" s="150"/>
      <c r="AZ28" s="150"/>
      <c r="BA28" s="150"/>
      <c r="BB28" s="150"/>
      <c r="BC28" s="30" t="s">
        <v>158</v>
      </c>
      <c r="BD28" s="30" t="s">
        <v>158</v>
      </c>
      <c r="BE28" s="30" t="s">
        <v>158</v>
      </c>
      <c r="BF28" s="30" t="s">
        <v>158</v>
      </c>
      <c r="BG28" s="30" t="s">
        <v>158</v>
      </c>
      <c r="BH28" s="30" t="s">
        <v>158</v>
      </c>
      <c r="BI28" s="30" t="s">
        <v>158</v>
      </c>
      <c r="BJ28" s="30" t="s">
        <v>158</v>
      </c>
      <c r="BK28" s="30" t="s">
        <v>158</v>
      </c>
      <c r="BL28" s="30" t="s">
        <v>158</v>
      </c>
      <c r="BM28" s="30" t="s">
        <v>158</v>
      </c>
      <c r="BN28" s="61">
        <v>23</v>
      </c>
      <c r="BO28" s="156" t="s">
        <v>158</v>
      </c>
      <c r="BP28" s="156" t="s">
        <v>158</v>
      </c>
      <c r="BQ28" s="156" t="s">
        <v>158</v>
      </c>
      <c r="BR28" s="156" t="s">
        <v>158</v>
      </c>
      <c r="BS28" s="156" t="s">
        <v>158</v>
      </c>
      <c r="BT28" s="156" t="s">
        <v>158</v>
      </c>
      <c r="BU28" s="156" t="s">
        <v>158</v>
      </c>
      <c r="BV28" s="156" t="s">
        <v>158</v>
      </c>
      <c r="BW28" s="156" t="s">
        <v>158</v>
      </c>
      <c r="BX28" s="156" t="s">
        <v>158</v>
      </c>
      <c r="BY28" s="156" t="s">
        <v>158</v>
      </c>
      <c r="BZ28" s="156" t="s">
        <v>158</v>
      </c>
      <c r="CA28" s="156" t="s">
        <v>158</v>
      </c>
      <c r="CB28" s="156" t="s">
        <v>158</v>
      </c>
      <c r="CC28" s="156" t="s">
        <v>158</v>
      </c>
      <c r="CD28" s="156" t="s">
        <v>158</v>
      </c>
      <c r="CE28" s="156" t="s">
        <v>158</v>
      </c>
      <c r="CF28" s="156" t="s">
        <v>158</v>
      </c>
      <c r="CG28" s="156" t="s">
        <v>158</v>
      </c>
      <c r="CH28" s="156" t="s">
        <v>158</v>
      </c>
      <c r="CI28" s="156" t="s">
        <v>158</v>
      </c>
      <c r="CJ28" s="156" t="s">
        <v>158</v>
      </c>
      <c r="CK28" s="156" t="s">
        <v>158</v>
      </c>
      <c r="CL28" s="156" t="s">
        <v>158</v>
      </c>
      <c r="CM28" s="156" t="s">
        <v>158</v>
      </c>
      <c r="CN28" s="156" t="s">
        <v>158</v>
      </c>
      <c r="CO28" s="156" t="s">
        <v>158</v>
      </c>
      <c r="CP28" s="156" t="s">
        <v>158</v>
      </c>
      <c r="CQ28" s="156" t="s">
        <v>158</v>
      </c>
      <c r="CR28" s="156" t="s">
        <v>158</v>
      </c>
      <c r="CS28" s="156" t="s">
        <v>158</v>
      </c>
      <c r="CT28" s="156" t="s">
        <v>158</v>
      </c>
      <c r="CU28" s="156" t="s">
        <v>158</v>
      </c>
      <c r="CV28" s="156" t="s">
        <v>158</v>
      </c>
      <c r="CW28" s="156" t="s">
        <v>158</v>
      </c>
      <c r="CX28" s="156" t="s">
        <v>158</v>
      </c>
      <c r="CY28" s="157" t="s">
        <v>158</v>
      </c>
      <c r="CZ28" s="156"/>
      <c r="DA28" s="64"/>
      <c r="DB28" s="64"/>
      <c r="DC28" s="64"/>
      <c r="DD28" s="64"/>
      <c r="DE28" s="64"/>
      <c r="DF28" s="64"/>
      <c r="DG28" s="64"/>
      <c r="DH28" s="66"/>
    </row>
    <row r="29" spans="1:112" s="116" customFormat="1" x14ac:dyDescent="0.2">
      <c r="A29" s="129" t="s">
        <v>25</v>
      </c>
      <c r="B29" s="129" t="s">
        <v>25</v>
      </c>
      <c r="C29" s="148" t="s">
        <v>20</v>
      </c>
      <c r="D29" s="161"/>
      <c r="E29" s="129"/>
      <c r="F29" s="129"/>
      <c r="G29" s="162">
        <v>44811</v>
      </c>
      <c r="H29" s="134" t="s">
        <v>172</v>
      </c>
      <c r="I29" s="139" t="s">
        <v>33</v>
      </c>
      <c r="J29" s="139" t="s">
        <v>173</v>
      </c>
      <c r="K29" s="163">
        <v>0.57215511760968496</v>
      </c>
      <c r="L29" s="30" t="s">
        <v>159</v>
      </c>
      <c r="M29" s="164">
        <v>2.7596989198411866E-2</v>
      </c>
      <c r="N29" s="165">
        <v>6.9174761114969813E-2</v>
      </c>
      <c r="O29" s="166">
        <v>0.74767337956490199</v>
      </c>
      <c r="P29" s="166">
        <v>0.63587284239686914</v>
      </c>
      <c r="Q29" s="167">
        <v>2.8126225440766683</v>
      </c>
      <c r="R29" s="167">
        <v>2.2866365554578336</v>
      </c>
      <c r="S29" s="166">
        <v>0.85191608246023576</v>
      </c>
      <c r="T29" s="123">
        <v>7.4314931542698917</v>
      </c>
      <c r="U29" s="152">
        <f t="shared" si="0"/>
        <v>59.386170836532528</v>
      </c>
      <c r="V29" s="117">
        <f>0.5*0.026</f>
        <v>1.2999999999999999E-2</v>
      </c>
      <c r="W29" s="117">
        <v>0.05</v>
      </c>
      <c r="X29" s="117">
        <v>3.4000000000000002E-2</v>
      </c>
      <c r="Y29" s="117">
        <v>5.0999999999999997E-2</v>
      </c>
      <c r="Z29" s="168">
        <v>2.1000000000000001E-2</v>
      </c>
      <c r="AA29" s="168">
        <v>1.7000000000000001E-2</v>
      </c>
      <c r="AB29" s="168">
        <v>8.0000000000000002E-3</v>
      </c>
      <c r="AC29" s="118">
        <f>0.5*0.0986096045754856</f>
        <v>4.9304802287742797E-2</v>
      </c>
      <c r="AD29" s="118">
        <v>0.18099999999999999</v>
      </c>
      <c r="AE29" s="152">
        <f t="shared" si="1"/>
        <v>0.17299999999999999</v>
      </c>
      <c r="AF29" s="119">
        <f t="shared" si="18"/>
        <v>5.0000000000000001E-4</v>
      </c>
      <c r="AG29" s="154" t="s">
        <v>158</v>
      </c>
      <c r="AH29" s="120">
        <v>24.14931188561215</v>
      </c>
      <c r="AI29" s="169">
        <f t="shared" si="19"/>
        <v>7.4999999999999997E-2</v>
      </c>
      <c r="AJ29" s="82" t="s">
        <v>158</v>
      </c>
      <c r="AK29" s="166">
        <f t="shared" si="23"/>
        <v>0.05</v>
      </c>
      <c r="AL29" s="169">
        <f t="shared" si="20"/>
        <v>0.1</v>
      </c>
      <c r="AM29" s="169">
        <f t="shared" si="24"/>
        <v>0.1</v>
      </c>
      <c r="AN29" s="167">
        <v>1.1301519213583555</v>
      </c>
      <c r="AO29" s="166">
        <v>0.31522788203753355</v>
      </c>
      <c r="AP29" s="155" t="s">
        <v>158</v>
      </c>
      <c r="AQ29" s="166">
        <v>0.30647006255585341</v>
      </c>
      <c r="AR29" s="169">
        <f t="shared" si="21"/>
        <v>0.05</v>
      </c>
      <c r="AS29" s="166">
        <v>0.18766756032171578</v>
      </c>
      <c r="AT29" s="166">
        <f>0.5*0.2</f>
        <v>0.1</v>
      </c>
      <c r="AU29" s="166">
        <f>0.5*0.15</f>
        <v>7.4999999999999997E-2</v>
      </c>
      <c r="AV29" s="166">
        <f t="shared" si="22"/>
        <v>0.05</v>
      </c>
      <c r="AW29" s="166">
        <f t="shared" si="22"/>
        <v>0.05</v>
      </c>
      <c r="AX29" s="166"/>
      <c r="AY29" s="166"/>
      <c r="AZ29" s="166"/>
      <c r="BA29" s="166"/>
      <c r="BB29" s="166"/>
      <c r="BC29" s="30" t="s">
        <v>158</v>
      </c>
      <c r="BD29" s="30" t="s">
        <v>158</v>
      </c>
      <c r="BE29" s="30" t="s">
        <v>158</v>
      </c>
      <c r="BF29" s="30" t="s">
        <v>158</v>
      </c>
      <c r="BG29" s="30" t="s">
        <v>158</v>
      </c>
      <c r="BH29" s="30" t="s">
        <v>158</v>
      </c>
      <c r="BI29" s="30" t="s">
        <v>158</v>
      </c>
      <c r="BJ29" s="30" t="s">
        <v>158</v>
      </c>
      <c r="BK29" s="30" t="s">
        <v>158</v>
      </c>
      <c r="BL29" s="30" t="s">
        <v>158</v>
      </c>
      <c r="BM29" s="30" t="s">
        <v>158</v>
      </c>
      <c r="BN29" s="170">
        <v>120</v>
      </c>
      <c r="BO29" s="156" t="s">
        <v>158</v>
      </c>
      <c r="BP29" s="156" t="s">
        <v>158</v>
      </c>
      <c r="BQ29" s="156" t="s">
        <v>158</v>
      </c>
      <c r="BR29" s="156" t="s">
        <v>158</v>
      </c>
      <c r="BS29" s="156" t="s">
        <v>158</v>
      </c>
      <c r="BT29" s="156" t="s">
        <v>158</v>
      </c>
      <c r="BU29" s="156" t="s">
        <v>158</v>
      </c>
      <c r="BV29" s="156" t="s">
        <v>158</v>
      </c>
      <c r="BW29" s="156" t="s">
        <v>158</v>
      </c>
      <c r="BX29" s="156" t="s">
        <v>158</v>
      </c>
      <c r="BY29" s="156" t="s">
        <v>158</v>
      </c>
      <c r="BZ29" s="156" t="s">
        <v>158</v>
      </c>
      <c r="CA29" s="156" t="s">
        <v>158</v>
      </c>
      <c r="CB29" s="156" t="s">
        <v>158</v>
      </c>
      <c r="CC29" s="156" t="s">
        <v>158</v>
      </c>
      <c r="CD29" s="156" t="s">
        <v>158</v>
      </c>
      <c r="CE29" s="156" t="s">
        <v>158</v>
      </c>
      <c r="CF29" s="156" t="s">
        <v>158</v>
      </c>
      <c r="CG29" s="156" t="s">
        <v>158</v>
      </c>
      <c r="CH29" s="156" t="s">
        <v>158</v>
      </c>
      <c r="CI29" s="156" t="s">
        <v>158</v>
      </c>
      <c r="CJ29" s="156" t="s">
        <v>158</v>
      </c>
      <c r="CK29" s="156" t="s">
        <v>158</v>
      </c>
      <c r="CL29" s="156" t="s">
        <v>158</v>
      </c>
      <c r="CM29" s="156" t="s">
        <v>158</v>
      </c>
      <c r="CN29" s="156" t="s">
        <v>158</v>
      </c>
      <c r="CO29" s="156" t="s">
        <v>158</v>
      </c>
      <c r="CP29" s="156" t="s">
        <v>158</v>
      </c>
      <c r="CQ29" s="156" t="s">
        <v>158</v>
      </c>
      <c r="CR29" s="156" t="s">
        <v>158</v>
      </c>
      <c r="CS29" s="156" t="s">
        <v>158</v>
      </c>
      <c r="CT29" s="156" t="s">
        <v>158</v>
      </c>
      <c r="CU29" s="156" t="s">
        <v>158</v>
      </c>
      <c r="CV29" s="156" t="s">
        <v>158</v>
      </c>
      <c r="CW29" s="156" t="s">
        <v>158</v>
      </c>
      <c r="CX29" s="156" t="s">
        <v>158</v>
      </c>
      <c r="CY29" s="157" t="s">
        <v>158</v>
      </c>
      <c r="CZ29" s="171"/>
      <c r="DA29" s="121"/>
      <c r="DB29" s="121"/>
      <c r="DC29" s="121"/>
      <c r="DD29" s="121"/>
      <c r="DE29" s="121"/>
      <c r="DF29" s="121"/>
      <c r="DG29" s="121"/>
      <c r="DH29" s="122"/>
    </row>
    <row r="30" spans="1:112" s="116" customFormat="1" x14ac:dyDescent="0.2">
      <c r="A30" s="129" t="s">
        <v>112</v>
      </c>
      <c r="B30" s="129" t="s">
        <v>112</v>
      </c>
      <c r="C30" s="148" t="s">
        <v>20</v>
      </c>
      <c r="D30" s="161"/>
      <c r="E30" s="129"/>
      <c r="F30" s="129"/>
      <c r="G30" s="162">
        <v>44819</v>
      </c>
      <c r="H30" s="134" t="s">
        <v>172</v>
      </c>
      <c r="I30" s="139" t="s">
        <v>33</v>
      </c>
      <c r="J30" s="139" t="s">
        <v>173</v>
      </c>
      <c r="K30" s="163">
        <v>0.44749713809969099</v>
      </c>
      <c r="L30" s="30" t="s">
        <v>159</v>
      </c>
      <c r="M30" s="172">
        <v>0.39598657031612838</v>
      </c>
      <c r="N30" s="167">
        <v>1.0826485308246201</v>
      </c>
      <c r="O30" s="167">
        <v>3.995277102800018</v>
      </c>
      <c r="P30" s="167">
        <v>3.3398417543332295</v>
      </c>
      <c r="Q30" s="167">
        <v>8.5667322221331244</v>
      </c>
      <c r="R30" s="167">
        <v>7.4163542092015584</v>
      </c>
      <c r="S30" s="167">
        <v>2.0849760930481294</v>
      </c>
      <c r="T30" s="120">
        <v>26.881816482656813</v>
      </c>
      <c r="U30" s="152">
        <f t="shared" si="0"/>
        <v>263.04050600519179</v>
      </c>
      <c r="V30" s="117">
        <f>0.5*0.025</f>
        <v>1.2500000000000001E-2</v>
      </c>
      <c r="W30" s="117">
        <v>6.4000000000000001E-2</v>
      </c>
      <c r="X30" s="117">
        <v>2.3E-2</v>
      </c>
      <c r="Y30" s="117">
        <v>3.3000000000000002E-2</v>
      </c>
      <c r="Z30" s="168">
        <v>1.0999999999999999E-2</v>
      </c>
      <c r="AA30" s="168">
        <v>0.01</v>
      </c>
      <c r="AB30" s="168">
        <v>1.0999999999999999E-2</v>
      </c>
      <c r="AC30" s="173">
        <f>0.5*0.100684655658478</f>
        <v>5.0342327829239003E-2</v>
      </c>
      <c r="AD30" s="118">
        <v>0.15200000000000002</v>
      </c>
      <c r="AE30" s="152">
        <f t="shared" si="1"/>
        <v>0.15350000000000003</v>
      </c>
      <c r="AF30" s="119">
        <f t="shared" si="18"/>
        <v>5.0000000000000001E-4</v>
      </c>
      <c r="AG30" s="154" t="s">
        <v>158</v>
      </c>
      <c r="AH30" s="123">
        <v>2.8140134559574124</v>
      </c>
      <c r="AI30" s="169">
        <f t="shared" si="19"/>
        <v>7.4999999999999997E-2</v>
      </c>
      <c r="AJ30" s="82" t="s">
        <v>158</v>
      </c>
      <c r="AK30" s="166">
        <f t="shared" si="23"/>
        <v>0.05</v>
      </c>
      <c r="AL30" s="169">
        <f t="shared" si="20"/>
        <v>0.1</v>
      </c>
      <c r="AM30" s="169">
        <f t="shared" si="24"/>
        <v>0.1</v>
      </c>
      <c r="AN30" s="166">
        <v>0.29433820750837403</v>
      </c>
      <c r="AO30" s="169">
        <f>0.5*0.1</f>
        <v>0.05</v>
      </c>
      <c r="AP30" s="155" t="s">
        <v>158</v>
      </c>
      <c r="AQ30" s="174">
        <v>0.1409307363636127</v>
      </c>
      <c r="AR30" s="169">
        <f t="shared" si="21"/>
        <v>0.05</v>
      </c>
      <c r="AS30" s="166">
        <v>0.34776271070352038</v>
      </c>
      <c r="AT30" s="174">
        <v>0.1369019970728777</v>
      </c>
      <c r="AU30" s="166">
        <v>0.17317353916693529</v>
      </c>
      <c r="AV30" s="166">
        <f t="shared" si="22"/>
        <v>0.05</v>
      </c>
      <c r="AW30" s="166">
        <f t="shared" si="22"/>
        <v>0.05</v>
      </c>
      <c r="AX30" s="166"/>
      <c r="AY30" s="166"/>
      <c r="AZ30" s="166"/>
      <c r="BA30" s="166"/>
      <c r="BB30" s="166"/>
      <c r="BC30" s="30" t="s">
        <v>158</v>
      </c>
      <c r="BD30" s="30" t="s">
        <v>158</v>
      </c>
      <c r="BE30" s="30" t="s">
        <v>158</v>
      </c>
      <c r="BF30" s="30" t="s">
        <v>158</v>
      </c>
      <c r="BG30" s="30" t="s">
        <v>158</v>
      </c>
      <c r="BH30" s="30" t="s">
        <v>158</v>
      </c>
      <c r="BI30" s="30" t="s">
        <v>158</v>
      </c>
      <c r="BJ30" s="30" t="s">
        <v>158</v>
      </c>
      <c r="BK30" s="30" t="s">
        <v>158</v>
      </c>
      <c r="BL30" s="30" t="s">
        <v>158</v>
      </c>
      <c r="BM30" s="30" t="s">
        <v>158</v>
      </c>
      <c r="BN30" s="170">
        <v>310</v>
      </c>
      <c r="BO30" s="156" t="s">
        <v>158</v>
      </c>
      <c r="BP30" s="156" t="s">
        <v>158</v>
      </c>
      <c r="BQ30" s="156" t="s">
        <v>158</v>
      </c>
      <c r="BR30" s="156" t="s">
        <v>158</v>
      </c>
      <c r="BS30" s="156" t="s">
        <v>158</v>
      </c>
      <c r="BT30" s="156" t="s">
        <v>158</v>
      </c>
      <c r="BU30" s="156" t="s">
        <v>158</v>
      </c>
      <c r="BV30" s="156" t="s">
        <v>158</v>
      </c>
      <c r="BW30" s="156" t="s">
        <v>158</v>
      </c>
      <c r="BX30" s="156" t="s">
        <v>158</v>
      </c>
      <c r="BY30" s="156" t="s">
        <v>158</v>
      </c>
      <c r="BZ30" s="156" t="s">
        <v>158</v>
      </c>
      <c r="CA30" s="156" t="s">
        <v>158</v>
      </c>
      <c r="CB30" s="156" t="s">
        <v>158</v>
      </c>
      <c r="CC30" s="156" t="s">
        <v>158</v>
      </c>
      <c r="CD30" s="156" t="s">
        <v>158</v>
      </c>
      <c r="CE30" s="156" t="s">
        <v>158</v>
      </c>
      <c r="CF30" s="156" t="s">
        <v>158</v>
      </c>
      <c r="CG30" s="156" t="s">
        <v>158</v>
      </c>
      <c r="CH30" s="156" t="s">
        <v>158</v>
      </c>
      <c r="CI30" s="156" t="s">
        <v>158</v>
      </c>
      <c r="CJ30" s="156" t="s">
        <v>158</v>
      </c>
      <c r="CK30" s="156" t="s">
        <v>158</v>
      </c>
      <c r="CL30" s="156" t="s">
        <v>158</v>
      </c>
      <c r="CM30" s="156" t="s">
        <v>158</v>
      </c>
      <c r="CN30" s="156" t="s">
        <v>158</v>
      </c>
      <c r="CO30" s="156" t="s">
        <v>158</v>
      </c>
      <c r="CP30" s="156" t="s">
        <v>158</v>
      </c>
      <c r="CQ30" s="156" t="s">
        <v>158</v>
      </c>
      <c r="CR30" s="156" t="s">
        <v>158</v>
      </c>
      <c r="CS30" s="156" t="s">
        <v>158</v>
      </c>
      <c r="CT30" s="156" t="s">
        <v>158</v>
      </c>
      <c r="CU30" s="156" t="s">
        <v>158</v>
      </c>
      <c r="CV30" s="156" t="s">
        <v>158</v>
      </c>
      <c r="CW30" s="156" t="s">
        <v>158</v>
      </c>
      <c r="CX30" s="156" t="s">
        <v>158</v>
      </c>
      <c r="CY30" s="157" t="s">
        <v>158</v>
      </c>
      <c r="CZ30" s="171"/>
      <c r="DA30" s="121"/>
      <c r="DB30" s="121"/>
      <c r="DC30" s="121"/>
      <c r="DD30" s="121"/>
      <c r="DE30" s="121"/>
      <c r="DF30" s="121"/>
      <c r="DG30" s="121"/>
      <c r="DH30" s="122"/>
    </row>
    <row r="31" spans="1:112" s="116" customFormat="1" x14ac:dyDescent="0.2">
      <c r="A31" s="129" t="s">
        <v>79</v>
      </c>
      <c r="B31" s="129" t="s">
        <v>79</v>
      </c>
      <c r="C31" s="148" t="s">
        <v>20</v>
      </c>
      <c r="D31" s="161"/>
      <c r="E31" s="129"/>
      <c r="F31" s="129"/>
      <c r="G31" s="162">
        <v>44810</v>
      </c>
      <c r="H31" s="134" t="s">
        <v>172</v>
      </c>
      <c r="I31" s="139" t="s">
        <v>33</v>
      </c>
      <c r="J31" s="139" t="s">
        <v>173</v>
      </c>
      <c r="K31" s="163">
        <v>0.52262987352357804</v>
      </c>
      <c r="L31" s="30" t="s">
        <v>159</v>
      </c>
      <c r="M31" s="172">
        <v>0.32969437127984724</v>
      </c>
      <c r="N31" s="167">
        <v>1.1318919791888371</v>
      </c>
      <c r="O31" s="167">
        <v>5.6891441349315377</v>
      </c>
      <c r="P31" s="167">
        <v>4.4303076296846147</v>
      </c>
      <c r="Q31" s="128">
        <v>11.616288639100762</v>
      </c>
      <c r="R31" s="167">
        <v>9.6927112176472221</v>
      </c>
      <c r="S31" s="167">
        <v>2.8122443348825685</v>
      </c>
      <c r="T31" s="120">
        <v>35.702282306715396</v>
      </c>
      <c r="U31" s="152">
        <f t="shared" si="0"/>
        <v>299.17898173514914</v>
      </c>
      <c r="V31" s="117">
        <f>0.5*0.025</f>
        <v>1.2500000000000001E-2</v>
      </c>
      <c r="W31" s="117">
        <v>7.1999999999999995E-2</v>
      </c>
      <c r="X31" s="117">
        <v>2.3E-2</v>
      </c>
      <c r="Y31" s="117">
        <v>3.3000000000000002E-2</v>
      </c>
      <c r="Z31" s="168">
        <v>1.0999999999999999E-2</v>
      </c>
      <c r="AA31" s="168">
        <v>1.0999999999999999E-2</v>
      </c>
      <c r="AB31" s="117">
        <f>0.5*0.025</f>
        <v>1.2500000000000001E-2</v>
      </c>
      <c r="AC31" s="118">
        <f>0.5*0.100361300682457</f>
        <v>5.0180650341228497E-2</v>
      </c>
      <c r="AD31" s="118">
        <v>0.15000000000000002</v>
      </c>
      <c r="AE31" s="152">
        <f t="shared" si="1"/>
        <v>0.16400000000000001</v>
      </c>
      <c r="AF31" s="119">
        <f t="shared" si="18"/>
        <v>5.0000000000000001E-4</v>
      </c>
      <c r="AG31" s="154" t="s">
        <v>158</v>
      </c>
      <c r="AH31" s="167">
        <v>3.7351535138175231</v>
      </c>
      <c r="AI31" s="169">
        <f t="shared" si="19"/>
        <v>7.4999999999999997E-2</v>
      </c>
      <c r="AJ31" s="82" t="s">
        <v>158</v>
      </c>
      <c r="AK31" s="166">
        <f t="shared" si="23"/>
        <v>0.05</v>
      </c>
      <c r="AL31" s="169">
        <f t="shared" si="20"/>
        <v>0.1</v>
      </c>
      <c r="AM31" s="169">
        <f t="shared" si="24"/>
        <v>0.1</v>
      </c>
      <c r="AN31" s="166">
        <v>0.3874018968734822</v>
      </c>
      <c r="AO31" s="174">
        <v>4.5785719763785579E-2</v>
      </c>
      <c r="AP31" s="155" t="s">
        <v>158</v>
      </c>
      <c r="AQ31" s="166">
        <v>0.25850653168699034</v>
      </c>
      <c r="AR31" s="169">
        <f t="shared" si="21"/>
        <v>0.05</v>
      </c>
      <c r="AS31" s="166">
        <v>0.41828361070634262</v>
      </c>
      <c r="AT31" s="166">
        <f>0.5*0.2</f>
        <v>0.1</v>
      </c>
      <c r="AU31" s="166">
        <f>0.5*0.15</f>
        <v>7.4999999999999997E-2</v>
      </c>
      <c r="AV31" s="166">
        <f t="shared" si="22"/>
        <v>0.05</v>
      </c>
      <c r="AW31" s="166">
        <f t="shared" si="22"/>
        <v>0.05</v>
      </c>
      <c r="AX31" s="166"/>
      <c r="AY31" s="166"/>
      <c r="AZ31" s="166"/>
      <c r="BA31" s="166"/>
      <c r="BB31" s="166"/>
      <c r="BC31" s="30" t="s">
        <v>158</v>
      </c>
      <c r="BD31" s="30" t="s">
        <v>158</v>
      </c>
      <c r="BE31" s="30" t="s">
        <v>158</v>
      </c>
      <c r="BF31" s="30" t="s">
        <v>158</v>
      </c>
      <c r="BG31" s="30" t="s">
        <v>158</v>
      </c>
      <c r="BH31" s="30" t="s">
        <v>158</v>
      </c>
      <c r="BI31" s="30" t="s">
        <v>158</v>
      </c>
      <c r="BJ31" s="30" t="s">
        <v>158</v>
      </c>
      <c r="BK31" s="30" t="s">
        <v>158</v>
      </c>
      <c r="BL31" s="30" t="s">
        <v>158</v>
      </c>
      <c r="BM31" s="30" t="s">
        <v>158</v>
      </c>
      <c r="BN31" s="170">
        <v>190</v>
      </c>
      <c r="BO31" s="156" t="s">
        <v>158</v>
      </c>
      <c r="BP31" s="156" t="s">
        <v>158</v>
      </c>
      <c r="BQ31" s="156" t="s">
        <v>158</v>
      </c>
      <c r="BR31" s="156" t="s">
        <v>158</v>
      </c>
      <c r="BS31" s="156" t="s">
        <v>158</v>
      </c>
      <c r="BT31" s="156" t="s">
        <v>158</v>
      </c>
      <c r="BU31" s="156" t="s">
        <v>158</v>
      </c>
      <c r="BV31" s="156" t="s">
        <v>158</v>
      </c>
      <c r="BW31" s="156" t="s">
        <v>158</v>
      </c>
      <c r="BX31" s="156" t="s">
        <v>158</v>
      </c>
      <c r="BY31" s="156" t="s">
        <v>158</v>
      </c>
      <c r="BZ31" s="156" t="s">
        <v>158</v>
      </c>
      <c r="CA31" s="156" t="s">
        <v>158</v>
      </c>
      <c r="CB31" s="156" t="s">
        <v>158</v>
      </c>
      <c r="CC31" s="156" t="s">
        <v>158</v>
      </c>
      <c r="CD31" s="156" t="s">
        <v>158</v>
      </c>
      <c r="CE31" s="156" t="s">
        <v>158</v>
      </c>
      <c r="CF31" s="156" t="s">
        <v>158</v>
      </c>
      <c r="CG31" s="156" t="s">
        <v>158</v>
      </c>
      <c r="CH31" s="156" t="s">
        <v>158</v>
      </c>
      <c r="CI31" s="156" t="s">
        <v>158</v>
      </c>
      <c r="CJ31" s="156" t="s">
        <v>158</v>
      </c>
      <c r="CK31" s="156" t="s">
        <v>158</v>
      </c>
      <c r="CL31" s="156" t="s">
        <v>158</v>
      </c>
      <c r="CM31" s="156" t="s">
        <v>158</v>
      </c>
      <c r="CN31" s="156" t="s">
        <v>158</v>
      </c>
      <c r="CO31" s="156" t="s">
        <v>158</v>
      </c>
      <c r="CP31" s="156" t="s">
        <v>158</v>
      </c>
      <c r="CQ31" s="156" t="s">
        <v>158</v>
      </c>
      <c r="CR31" s="156" t="s">
        <v>158</v>
      </c>
      <c r="CS31" s="156" t="s">
        <v>158</v>
      </c>
      <c r="CT31" s="156" t="s">
        <v>158</v>
      </c>
      <c r="CU31" s="156" t="s">
        <v>158</v>
      </c>
      <c r="CV31" s="156" t="s">
        <v>158</v>
      </c>
      <c r="CW31" s="156" t="s">
        <v>158</v>
      </c>
      <c r="CX31" s="156" t="s">
        <v>158</v>
      </c>
      <c r="CY31" s="157" t="s">
        <v>158</v>
      </c>
      <c r="CZ31" s="171"/>
      <c r="DA31" s="121"/>
      <c r="DB31" s="121"/>
      <c r="DC31" s="121"/>
      <c r="DD31" s="121"/>
      <c r="DE31" s="121"/>
      <c r="DF31" s="121"/>
      <c r="DG31" s="121"/>
      <c r="DH31" s="122"/>
    </row>
    <row r="32" spans="1:112" s="116" customFormat="1" x14ac:dyDescent="0.2">
      <c r="A32" s="129" t="s">
        <v>26</v>
      </c>
      <c r="B32" s="129" t="s">
        <v>26</v>
      </c>
      <c r="C32" s="148" t="s">
        <v>20</v>
      </c>
      <c r="D32" s="161"/>
      <c r="E32" s="129"/>
      <c r="F32" s="129"/>
      <c r="G32" s="162">
        <v>44818</v>
      </c>
      <c r="H32" s="134" t="s">
        <v>172</v>
      </c>
      <c r="I32" s="139" t="s">
        <v>33</v>
      </c>
      <c r="J32" s="139" t="s">
        <v>173</v>
      </c>
      <c r="K32" s="163">
        <v>0.49611734253666301</v>
      </c>
      <c r="L32" s="30" t="s">
        <v>159</v>
      </c>
      <c r="M32" s="164">
        <v>3.7003166970959248E-2</v>
      </c>
      <c r="N32" s="165">
        <v>5.645110227862677E-2</v>
      </c>
      <c r="O32" s="166">
        <v>0.4417060616805335</v>
      </c>
      <c r="P32" s="166">
        <v>0.60410740422310849</v>
      </c>
      <c r="Q32" s="167">
        <v>1.9214603777606647</v>
      </c>
      <c r="R32" s="167">
        <v>1.6175437468728497</v>
      </c>
      <c r="S32" s="166">
        <v>0.60041297510775449</v>
      </c>
      <c r="T32" s="123">
        <v>5.2786848348944968</v>
      </c>
      <c r="U32" s="152">
        <f t="shared" si="0"/>
        <v>47.111610801288798</v>
      </c>
      <c r="V32" s="117">
        <f>0.5*0.024</f>
        <v>1.2E-2</v>
      </c>
      <c r="W32" s="168">
        <v>1.2999999999999999E-2</v>
      </c>
      <c r="X32" s="168">
        <v>1.2E-2</v>
      </c>
      <c r="Y32" s="168">
        <v>1.2E-2</v>
      </c>
      <c r="Z32" s="117">
        <f>0.5*0.024</f>
        <v>1.2E-2</v>
      </c>
      <c r="AA32" s="117">
        <f>0.5*0.024</f>
        <v>1.2E-2</v>
      </c>
      <c r="AB32" s="117">
        <f>0.5*0.024</f>
        <v>1.2E-2</v>
      </c>
      <c r="AC32" s="118">
        <f>0.5*0.0976467141880676</f>
        <v>4.8823357094033799E-2</v>
      </c>
      <c r="AD32" s="117">
        <v>1.3000000000000005E-2</v>
      </c>
      <c r="AE32" s="152">
        <f t="shared" si="1"/>
        <v>7.2999999999999995E-2</v>
      </c>
      <c r="AF32" s="119">
        <f t="shared" si="18"/>
        <v>5.0000000000000001E-4</v>
      </c>
      <c r="AG32" s="154" t="s">
        <v>158</v>
      </c>
      <c r="AH32" s="167">
        <v>1.9703846772895544</v>
      </c>
      <c r="AI32" s="169">
        <f t="shared" si="19"/>
        <v>7.4999999999999997E-2</v>
      </c>
      <c r="AJ32" s="82" t="s">
        <v>158</v>
      </c>
      <c r="AK32" s="166">
        <f t="shared" si="23"/>
        <v>0.05</v>
      </c>
      <c r="AL32" s="169">
        <f t="shared" si="20"/>
        <v>0.1</v>
      </c>
      <c r="AM32" s="169">
        <f t="shared" si="24"/>
        <v>0.1</v>
      </c>
      <c r="AN32" s="166">
        <v>0.28746177370030579</v>
      </c>
      <c r="AO32" s="169">
        <f>0.5*0.1</f>
        <v>0.05</v>
      </c>
      <c r="AP32" s="155" t="s">
        <v>158</v>
      </c>
      <c r="AQ32" s="174">
        <v>9.2202984525534035E-2</v>
      </c>
      <c r="AR32" s="169">
        <f t="shared" si="21"/>
        <v>0.05</v>
      </c>
      <c r="AS32" s="166">
        <f>0.5*0.2</f>
        <v>0.1</v>
      </c>
      <c r="AT32" s="166">
        <f>0.5*0.2</f>
        <v>0.1</v>
      </c>
      <c r="AU32" s="166">
        <f>0.5*0.15</f>
        <v>7.4999999999999997E-2</v>
      </c>
      <c r="AV32" s="166">
        <f t="shared" si="22"/>
        <v>0.05</v>
      </c>
      <c r="AW32" s="166">
        <f t="shared" si="22"/>
        <v>0.05</v>
      </c>
      <c r="AX32" s="166"/>
      <c r="AY32" s="166"/>
      <c r="AZ32" s="166"/>
      <c r="BA32" s="166"/>
      <c r="BB32" s="166"/>
      <c r="BC32" s="30" t="s">
        <v>158</v>
      </c>
      <c r="BD32" s="30" t="s">
        <v>158</v>
      </c>
      <c r="BE32" s="30" t="s">
        <v>158</v>
      </c>
      <c r="BF32" s="30" t="s">
        <v>158</v>
      </c>
      <c r="BG32" s="30" t="s">
        <v>158</v>
      </c>
      <c r="BH32" s="30" t="s">
        <v>158</v>
      </c>
      <c r="BI32" s="30" t="s">
        <v>158</v>
      </c>
      <c r="BJ32" s="30" t="s">
        <v>158</v>
      </c>
      <c r="BK32" s="30" t="s">
        <v>158</v>
      </c>
      <c r="BL32" s="30" t="s">
        <v>158</v>
      </c>
      <c r="BM32" s="30" t="s">
        <v>158</v>
      </c>
      <c r="BN32" s="170">
        <v>72</v>
      </c>
      <c r="BO32" s="156" t="s">
        <v>158</v>
      </c>
      <c r="BP32" s="156" t="s">
        <v>158</v>
      </c>
      <c r="BQ32" s="156" t="s">
        <v>158</v>
      </c>
      <c r="BR32" s="156" t="s">
        <v>158</v>
      </c>
      <c r="BS32" s="156" t="s">
        <v>158</v>
      </c>
      <c r="BT32" s="156" t="s">
        <v>158</v>
      </c>
      <c r="BU32" s="156" t="s">
        <v>158</v>
      </c>
      <c r="BV32" s="156" t="s">
        <v>158</v>
      </c>
      <c r="BW32" s="156" t="s">
        <v>158</v>
      </c>
      <c r="BX32" s="156" t="s">
        <v>158</v>
      </c>
      <c r="BY32" s="156" t="s">
        <v>158</v>
      </c>
      <c r="BZ32" s="156" t="s">
        <v>158</v>
      </c>
      <c r="CA32" s="156" t="s">
        <v>158</v>
      </c>
      <c r="CB32" s="156" t="s">
        <v>158</v>
      </c>
      <c r="CC32" s="156" t="s">
        <v>158</v>
      </c>
      <c r="CD32" s="156" t="s">
        <v>158</v>
      </c>
      <c r="CE32" s="156" t="s">
        <v>158</v>
      </c>
      <c r="CF32" s="156" t="s">
        <v>158</v>
      </c>
      <c r="CG32" s="156" t="s">
        <v>158</v>
      </c>
      <c r="CH32" s="156" t="s">
        <v>158</v>
      </c>
      <c r="CI32" s="156" t="s">
        <v>158</v>
      </c>
      <c r="CJ32" s="156" t="s">
        <v>158</v>
      </c>
      <c r="CK32" s="156" t="s">
        <v>158</v>
      </c>
      <c r="CL32" s="156" t="s">
        <v>158</v>
      </c>
      <c r="CM32" s="156" t="s">
        <v>158</v>
      </c>
      <c r="CN32" s="156" t="s">
        <v>158</v>
      </c>
      <c r="CO32" s="156" t="s">
        <v>158</v>
      </c>
      <c r="CP32" s="156" t="s">
        <v>158</v>
      </c>
      <c r="CQ32" s="156" t="s">
        <v>158</v>
      </c>
      <c r="CR32" s="156" t="s">
        <v>158</v>
      </c>
      <c r="CS32" s="156" t="s">
        <v>158</v>
      </c>
      <c r="CT32" s="156" t="s">
        <v>158</v>
      </c>
      <c r="CU32" s="156" t="s">
        <v>158</v>
      </c>
      <c r="CV32" s="156" t="s">
        <v>158</v>
      </c>
      <c r="CW32" s="156" t="s">
        <v>158</v>
      </c>
      <c r="CX32" s="156" t="s">
        <v>158</v>
      </c>
      <c r="CY32" s="157" t="s">
        <v>158</v>
      </c>
      <c r="CZ32" s="171"/>
      <c r="DA32" s="121"/>
      <c r="DB32" s="121"/>
      <c r="DC32" s="121"/>
      <c r="DD32" s="121"/>
      <c r="DE32" s="121"/>
      <c r="DF32" s="121"/>
      <c r="DG32" s="121"/>
      <c r="DH32" s="122"/>
    </row>
    <row r="33" spans="1:112" s="116" customFormat="1" x14ac:dyDescent="0.2">
      <c r="A33" s="129" t="s">
        <v>170</v>
      </c>
      <c r="B33" s="129" t="s">
        <v>170</v>
      </c>
      <c r="C33" s="148" t="s">
        <v>20</v>
      </c>
      <c r="D33" s="161"/>
      <c r="E33" s="129"/>
      <c r="F33" s="129"/>
      <c r="G33" s="162">
        <v>44816</v>
      </c>
      <c r="H33" s="134" t="s">
        <v>172</v>
      </c>
      <c r="I33" s="139" t="s">
        <v>33</v>
      </c>
      <c r="J33" s="139" t="s">
        <v>173</v>
      </c>
      <c r="K33" s="163">
        <v>0.38802660753881701</v>
      </c>
      <c r="L33" s="30" t="s">
        <v>159</v>
      </c>
      <c r="M33" s="164">
        <v>2.8269462586266881E-2</v>
      </c>
      <c r="N33" s="166">
        <v>0.30415151397952372</v>
      </c>
      <c r="O33" s="167">
        <v>2.2409840840601105</v>
      </c>
      <c r="P33" s="167">
        <v>3.2485254661708236</v>
      </c>
      <c r="Q33" s="167">
        <v>7.8120851459998004</v>
      </c>
      <c r="R33" s="167">
        <v>6.3493967362662618</v>
      </c>
      <c r="S33" s="167">
        <v>2.0655349451512612</v>
      </c>
      <c r="T33" s="120">
        <v>22.048947354214047</v>
      </c>
      <c r="U33" s="152">
        <f t="shared" si="0"/>
        <v>242.2568649002051</v>
      </c>
      <c r="V33" s="117">
        <f>0.5*0.026</f>
        <v>1.2999999999999999E-2</v>
      </c>
      <c r="W33" s="117">
        <v>2.7E-2</v>
      </c>
      <c r="X33" s="117">
        <v>2.3E-2</v>
      </c>
      <c r="Y33" s="168">
        <v>1.7999999999999999E-2</v>
      </c>
      <c r="Z33" s="117">
        <f>0.5*0.026</f>
        <v>1.2999999999999999E-2</v>
      </c>
      <c r="AA33" s="168">
        <v>1.0999999999999999E-2</v>
      </c>
      <c r="AB33" s="117">
        <f>0.5*0.026</f>
        <v>1.2999999999999999E-2</v>
      </c>
      <c r="AC33" s="118">
        <f>0.5*0.102522042239081</f>
        <v>5.1261021119540499E-2</v>
      </c>
      <c r="AD33" s="118">
        <v>7.9000000000000001E-2</v>
      </c>
      <c r="AE33" s="152">
        <f t="shared" si="1"/>
        <v>0.10499999999999998</v>
      </c>
      <c r="AF33" s="119">
        <f t="shared" si="18"/>
        <v>5.0000000000000001E-4</v>
      </c>
      <c r="AG33" s="154" t="s">
        <v>158</v>
      </c>
      <c r="AH33" s="125">
        <v>3.5453624010032803</v>
      </c>
      <c r="AI33" s="169">
        <f t="shared" si="19"/>
        <v>7.4999999999999997E-2</v>
      </c>
      <c r="AJ33" s="82" t="s">
        <v>158</v>
      </c>
      <c r="AK33" s="166">
        <f t="shared" si="23"/>
        <v>0.05</v>
      </c>
      <c r="AL33" s="169">
        <f t="shared" si="20"/>
        <v>0.1</v>
      </c>
      <c r="AM33" s="169">
        <f t="shared" si="24"/>
        <v>0.1</v>
      </c>
      <c r="AN33" s="166">
        <v>0.34599460564517504</v>
      </c>
      <c r="AO33" s="174">
        <v>7.7977632324898197E-2</v>
      </c>
      <c r="AP33" s="155" t="s">
        <v>158</v>
      </c>
      <c r="AQ33" s="166">
        <v>0.32720026112800416</v>
      </c>
      <c r="AR33" s="169">
        <f t="shared" si="21"/>
        <v>0.05</v>
      </c>
      <c r="AS33" s="166">
        <v>0.31685821780137086</v>
      </c>
      <c r="AT33" s="174">
        <v>9.4469927330825113E-2</v>
      </c>
      <c r="AU33" s="174">
        <v>0.14415296603617994</v>
      </c>
      <c r="AV33" s="166">
        <f t="shared" si="22"/>
        <v>0.05</v>
      </c>
      <c r="AW33" s="166">
        <f t="shared" si="22"/>
        <v>0.05</v>
      </c>
      <c r="AX33" s="166"/>
      <c r="AY33" s="166"/>
      <c r="AZ33" s="166"/>
      <c r="BA33" s="166"/>
      <c r="BB33" s="166"/>
      <c r="BC33" s="30" t="s">
        <v>158</v>
      </c>
      <c r="BD33" s="30" t="s">
        <v>158</v>
      </c>
      <c r="BE33" s="30" t="s">
        <v>158</v>
      </c>
      <c r="BF33" s="30" t="s">
        <v>158</v>
      </c>
      <c r="BG33" s="30" t="s">
        <v>158</v>
      </c>
      <c r="BH33" s="30" t="s">
        <v>158</v>
      </c>
      <c r="BI33" s="30" t="s">
        <v>158</v>
      </c>
      <c r="BJ33" s="30" t="s">
        <v>158</v>
      </c>
      <c r="BK33" s="30" t="s">
        <v>158</v>
      </c>
      <c r="BL33" s="30" t="s">
        <v>158</v>
      </c>
      <c r="BM33" s="30" t="s">
        <v>158</v>
      </c>
      <c r="BN33" s="170">
        <v>160</v>
      </c>
      <c r="BO33" s="156" t="s">
        <v>158</v>
      </c>
      <c r="BP33" s="156" t="s">
        <v>158</v>
      </c>
      <c r="BQ33" s="156" t="s">
        <v>158</v>
      </c>
      <c r="BR33" s="156" t="s">
        <v>158</v>
      </c>
      <c r="BS33" s="156" t="s">
        <v>158</v>
      </c>
      <c r="BT33" s="156" t="s">
        <v>158</v>
      </c>
      <c r="BU33" s="156" t="s">
        <v>158</v>
      </c>
      <c r="BV33" s="156" t="s">
        <v>158</v>
      </c>
      <c r="BW33" s="156" t="s">
        <v>158</v>
      </c>
      <c r="BX33" s="156" t="s">
        <v>158</v>
      </c>
      <c r="BY33" s="156" t="s">
        <v>158</v>
      </c>
      <c r="BZ33" s="156" t="s">
        <v>158</v>
      </c>
      <c r="CA33" s="156" t="s">
        <v>158</v>
      </c>
      <c r="CB33" s="156" t="s">
        <v>158</v>
      </c>
      <c r="CC33" s="156" t="s">
        <v>158</v>
      </c>
      <c r="CD33" s="156" t="s">
        <v>158</v>
      </c>
      <c r="CE33" s="156" t="s">
        <v>158</v>
      </c>
      <c r="CF33" s="156" t="s">
        <v>158</v>
      </c>
      <c r="CG33" s="156" t="s">
        <v>158</v>
      </c>
      <c r="CH33" s="156" t="s">
        <v>158</v>
      </c>
      <c r="CI33" s="156" t="s">
        <v>158</v>
      </c>
      <c r="CJ33" s="156" t="s">
        <v>158</v>
      </c>
      <c r="CK33" s="156" t="s">
        <v>158</v>
      </c>
      <c r="CL33" s="156" t="s">
        <v>158</v>
      </c>
      <c r="CM33" s="156" t="s">
        <v>158</v>
      </c>
      <c r="CN33" s="156" t="s">
        <v>158</v>
      </c>
      <c r="CO33" s="156" t="s">
        <v>158</v>
      </c>
      <c r="CP33" s="156" t="s">
        <v>158</v>
      </c>
      <c r="CQ33" s="156" t="s">
        <v>158</v>
      </c>
      <c r="CR33" s="156" t="s">
        <v>158</v>
      </c>
      <c r="CS33" s="156" t="s">
        <v>158</v>
      </c>
      <c r="CT33" s="156" t="s">
        <v>158</v>
      </c>
      <c r="CU33" s="156" t="s">
        <v>158</v>
      </c>
      <c r="CV33" s="156" t="s">
        <v>158</v>
      </c>
      <c r="CW33" s="156" t="s">
        <v>158</v>
      </c>
      <c r="CX33" s="156" t="s">
        <v>158</v>
      </c>
      <c r="CY33" s="157" t="s">
        <v>158</v>
      </c>
      <c r="CZ33" s="171"/>
      <c r="DA33" s="121"/>
      <c r="DB33" s="121"/>
      <c r="DC33" s="121"/>
      <c r="DD33" s="121"/>
      <c r="DE33" s="121"/>
      <c r="DF33" s="121"/>
      <c r="DG33" s="121"/>
      <c r="DH33" s="122"/>
    </row>
    <row r="34" spans="1:112" s="116" customFormat="1" x14ac:dyDescent="0.2">
      <c r="A34" s="130" t="s">
        <v>6</v>
      </c>
      <c r="B34" s="130" t="s">
        <v>6</v>
      </c>
      <c r="C34" s="148" t="s">
        <v>20</v>
      </c>
      <c r="D34" s="161"/>
      <c r="E34" s="130"/>
      <c r="F34" s="130"/>
      <c r="G34" s="162">
        <v>44806</v>
      </c>
      <c r="H34" s="134" t="s">
        <v>172</v>
      </c>
      <c r="I34" s="139" t="s">
        <v>33</v>
      </c>
      <c r="J34" s="139" t="s">
        <v>173</v>
      </c>
      <c r="K34" s="163">
        <v>0.41593012373920302</v>
      </c>
      <c r="L34" s="30" t="s">
        <v>159</v>
      </c>
      <c r="M34" s="175">
        <v>3.2471498371335505E-2</v>
      </c>
      <c r="N34" s="124">
        <v>0.18539291530944624</v>
      </c>
      <c r="O34" s="125">
        <v>1.0699206026058632</v>
      </c>
      <c r="P34" s="125">
        <v>1.5063925081433225</v>
      </c>
      <c r="Q34" s="125">
        <v>2.9939332247557005</v>
      </c>
      <c r="R34" s="125">
        <v>2.2794075732899026</v>
      </c>
      <c r="S34" s="124">
        <v>0.68722516286644952</v>
      </c>
      <c r="T34" s="125">
        <f t="shared" ref="T34:T59" si="25">SUM(M34:S34)</f>
        <v>8.7547434853420203</v>
      </c>
      <c r="U34" s="152">
        <f t="shared" si="0"/>
        <v>87.13423918465169</v>
      </c>
      <c r="V34" s="176">
        <f>0.5*0.0178135179153094</f>
        <v>8.9067589576546993E-3</v>
      </c>
      <c r="W34" s="176">
        <v>3.6079087102965257E-2</v>
      </c>
      <c r="X34" s="176">
        <v>2.446002149037238E-2</v>
      </c>
      <c r="Y34" s="176">
        <v>2.7910935815081295E-2</v>
      </c>
      <c r="Z34" s="176">
        <f>0.5*0.0178135179153094</f>
        <v>8.9067589576546993E-3</v>
      </c>
      <c r="AA34" s="176">
        <f>0.5*0.0178135179153094</f>
        <v>8.9067589576546993E-3</v>
      </c>
      <c r="AB34" s="176">
        <f>0.5*0.0178135179153094</f>
        <v>8.9067589576546993E-3</v>
      </c>
      <c r="AC34" s="173">
        <f>0.5*0.101791530944625</f>
        <v>5.0895765472312497E-2</v>
      </c>
      <c r="AD34" s="127">
        <v>8.8450044408418929E-2</v>
      </c>
      <c r="AE34" s="152">
        <f t="shared" si="1"/>
        <v>0.11517032128138302</v>
      </c>
      <c r="AF34" s="119">
        <f t="shared" si="18"/>
        <v>5.0000000000000001E-4</v>
      </c>
      <c r="AG34" s="154" t="s">
        <v>158</v>
      </c>
      <c r="AH34" s="125">
        <v>5.1397646375127133</v>
      </c>
      <c r="AI34" s="169">
        <f t="shared" ref="AI34:AI44" si="26">0.5*0.1</f>
        <v>0.05</v>
      </c>
      <c r="AJ34" s="82" t="s">
        <v>158</v>
      </c>
      <c r="AK34" s="166">
        <f t="shared" si="23"/>
        <v>0.05</v>
      </c>
      <c r="AL34" s="169">
        <f t="shared" ref="AL34:AL39" si="27">0.5*0.1</f>
        <v>0.05</v>
      </c>
      <c r="AM34" s="166">
        <v>0.11199089544287862</v>
      </c>
      <c r="AN34" s="124">
        <v>0.82059663906242442</v>
      </c>
      <c r="AO34" s="124">
        <v>0.19352026732529426</v>
      </c>
      <c r="AP34" s="155" t="s">
        <v>158</v>
      </c>
      <c r="AQ34" s="124">
        <v>0.19531212165238027</v>
      </c>
      <c r="AR34" s="169">
        <f t="shared" si="21"/>
        <v>0.05</v>
      </c>
      <c r="AS34" s="166">
        <v>0.11039275509709914</v>
      </c>
      <c r="AT34" s="174">
        <v>3.0848951523076193E-2</v>
      </c>
      <c r="AU34" s="166">
        <f>0.5*0.1</f>
        <v>0.05</v>
      </c>
      <c r="AV34" s="166">
        <f t="shared" si="22"/>
        <v>0.05</v>
      </c>
      <c r="AW34" s="166">
        <f t="shared" si="22"/>
        <v>0.05</v>
      </c>
      <c r="AX34" s="166"/>
      <c r="AY34" s="166"/>
      <c r="AZ34" s="166"/>
      <c r="BA34" s="166"/>
      <c r="BB34" s="166"/>
      <c r="BC34" s="30" t="s">
        <v>158</v>
      </c>
      <c r="BD34" s="30" t="s">
        <v>158</v>
      </c>
      <c r="BE34" s="30" t="s">
        <v>158</v>
      </c>
      <c r="BF34" s="30" t="s">
        <v>158</v>
      </c>
      <c r="BG34" s="30" t="s">
        <v>158</v>
      </c>
      <c r="BH34" s="30" t="s">
        <v>158</v>
      </c>
      <c r="BI34" s="30" t="s">
        <v>158</v>
      </c>
      <c r="BJ34" s="30" t="s">
        <v>158</v>
      </c>
      <c r="BK34" s="30" t="s">
        <v>158</v>
      </c>
      <c r="BL34" s="30" t="s">
        <v>158</v>
      </c>
      <c r="BM34" s="30" t="s">
        <v>158</v>
      </c>
      <c r="BN34" s="170">
        <v>49</v>
      </c>
      <c r="BO34" s="156" t="s">
        <v>158</v>
      </c>
      <c r="BP34" s="156" t="s">
        <v>158</v>
      </c>
      <c r="BQ34" s="156" t="s">
        <v>158</v>
      </c>
      <c r="BR34" s="156" t="s">
        <v>158</v>
      </c>
      <c r="BS34" s="156" t="s">
        <v>158</v>
      </c>
      <c r="BT34" s="156" t="s">
        <v>158</v>
      </c>
      <c r="BU34" s="156" t="s">
        <v>158</v>
      </c>
      <c r="BV34" s="156" t="s">
        <v>158</v>
      </c>
      <c r="BW34" s="156" t="s">
        <v>158</v>
      </c>
      <c r="BX34" s="156" t="s">
        <v>158</v>
      </c>
      <c r="BY34" s="156" t="s">
        <v>158</v>
      </c>
      <c r="BZ34" s="156" t="s">
        <v>158</v>
      </c>
      <c r="CA34" s="156" t="s">
        <v>158</v>
      </c>
      <c r="CB34" s="156" t="s">
        <v>158</v>
      </c>
      <c r="CC34" s="156" t="s">
        <v>158</v>
      </c>
      <c r="CD34" s="156" t="s">
        <v>158</v>
      </c>
      <c r="CE34" s="156" t="s">
        <v>158</v>
      </c>
      <c r="CF34" s="156" t="s">
        <v>158</v>
      </c>
      <c r="CG34" s="156" t="s">
        <v>158</v>
      </c>
      <c r="CH34" s="156" t="s">
        <v>158</v>
      </c>
      <c r="CI34" s="156" t="s">
        <v>158</v>
      </c>
      <c r="CJ34" s="156" t="s">
        <v>158</v>
      </c>
      <c r="CK34" s="156" t="s">
        <v>158</v>
      </c>
      <c r="CL34" s="156" t="s">
        <v>158</v>
      </c>
      <c r="CM34" s="156" t="s">
        <v>158</v>
      </c>
      <c r="CN34" s="156" t="s">
        <v>158</v>
      </c>
      <c r="CO34" s="156" t="s">
        <v>158</v>
      </c>
      <c r="CP34" s="156" t="s">
        <v>158</v>
      </c>
      <c r="CQ34" s="156" t="s">
        <v>158</v>
      </c>
      <c r="CR34" s="156" t="s">
        <v>158</v>
      </c>
      <c r="CS34" s="156" t="s">
        <v>158</v>
      </c>
      <c r="CT34" s="156" t="s">
        <v>158</v>
      </c>
      <c r="CU34" s="156" t="s">
        <v>158</v>
      </c>
      <c r="CV34" s="156" t="s">
        <v>158</v>
      </c>
      <c r="CW34" s="156" t="s">
        <v>158</v>
      </c>
      <c r="CX34" s="156" t="s">
        <v>158</v>
      </c>
      <c r="CY34" s="157" t="s">
        <v>158</v>
      </c>
      <c r="CZ34" s="171"/>
      <c r="DA34" s="121"/>
      <c r="DB34" s="121"/>
      <c r="DC34" s="121"/>
      <c r="DD34" s="121"/>
      <c r="DE34" s="121"/>
      <c r="DF34" s="121"/>
      <c r="DG34" s="121"/>
      <c r="DH34" s="122"/>
    </row>
    <row r="35" spans="1:112" s="116" customFormat="1" x14ac:dyDescent="0.2">
      <c r="A35" s="131" t="s">
        <v>27</v>
      </c>
      <c r="B35" s="131" t="s">
        <v>27</v>
      </c>
      <c r="C35" s="148" t="s">
        <v>20</v>
      </c>
      <c r="D35" s="161"/>
      <c r="E35" s="131"/>
      <c r="F35" s="131"/>
      <c r="G35" s="162">
        <v>44834</v>
      </c>
      <c r="H35" s="134" t="s">
        <v>172</v>
      </c>
      <c r="I35" s="139" t="s">
        <v>33</v>
      </c>
      <c r="J35" s="139" t="s">
        <v>173</v>
      </c>
      <c r="K35" s="163">
        <v>0.51582886618794299</v>
      </c>
      <c r="L35" s="30" t="s">
        <v>159</v>
      </c>
      <c r="M35" s="126">
        <v>5.178982479425856E-2</v>
      </c>
      <c r="N35" s="124">
        <v>0.13174296698896459</v>
      </c>
      <c r="O35" s="124">
        <v>0.28788119387437938</v>
      </c>
      <c r="P35" s="124">
        <v>0.33433289594901477</v>
      </c>
      <c r="Q35" s="124">
        <v>0.87752754933174293</v>
      </c>
      <c r="R35" s="124">
        <v>0.6998270551042638</v>
      </c>
      <c r="S35" s="124">
        <v>0.19209611534401311</v>
      </c>
      <c r="T35" s="125">
        <f t="shared" si="25"/>
        <v>2.5751976013866371</v>
      </c>
      <c r="U35" s="152">
        <f t="shared" si="0"/>
        <v>21.72100915947151</v>
      </c>
      <c r="V35" s="176">
        <f>0.5*0.0179487179487179</f>
        <v>8.9743589743589494E-3</v>
      </c>
      <c r="W35" s="176">
        <v>1.5841208755653913E-2</v>
      </c>
      <c r="X35" s="176">
        <v>1.6775334087682645E-2</v>
      </c>
      <c r="Y35" s="177">
        <v>1.8881495558903508E-2</v>
      </c>
      <c r="Z35" s="176">
        <f>0.5*0.0179487179487179</f>
        <v>8.9743589743589494E-3</v>
      </c>
      <c r="AA35" s="176">
        <f>0.5*0.0179487179487179</f>
        <v>8.9743589743589494E-3</v>
      </c>
      <c r="AB35" s="176">
        <f>0.5*0.0179487179487179</f>
        <v>8.9743589743589494E-3</v>
      </c>
      <c r="AC35" s="173">
        <f>0.5*0.102564102564103</f>
        <v>5.1282051282051502E-2</v>
      </c>
      <c r="AD35" s="127">
        <v>5.2467198215785889E-2</v>
      </c>
      <c r="AE35" s="152">
        <f t="shared" si="1"/>
        <v>7.8421115325316898E-2</v>
      </c>
      <c r="AF35" s="119">
        <f t="shared" si="18"/>
        <v>5.0000000000000001E-4</v>
      </c>
      <c r="AG35" s="154" t="s">
        <v>158</v>
      </c>
      <c r="AH35" s="125">
        <v>4.3197291133181572</v>
      </c>
      <c r="AI35" s="169">
        <f t="shared" si="26"/>
        <v>0.05</v>
      </c>
      <c r="AJ35" s="82" t="s">
        <v>158</v>
      </c>
      <c r="AK35" s="169">
        <f t="shared" si="23"/>
        <v>0.05</v>
      </c>
      <c r="AL35" s="169">
        <f t="shared" si="27"/>
        <v>0.05</v>
      </c>
      <c r="AM35" s="169">
        <f>0.5*0.1</f>
        <v>0.05</v>
      </c>
      <c r="AN35" s="124">
        <v>0.20911354210841138</v>
      </c>
      <c r="AO35" s="169">
        <f>0.5*0.1</f>
        <v>0.05</v>
      </c>
      <c r="AP35" s="155" t="s">
        <v>158</v>
      </c>
      <c r="AQ35" s="124">
        <v>0.14859861926664755</v>
      </c>
      <c r="AR35" s="169">
        <f t="shared" si="21"/>
        <v>0.05</v>
      </c>
      <c r="AS35" s="169">
        <f>0.5*0.1</f>
        <v>0.05</v>
      </c>
      <c r="AT35" s="169">
        <f>0.5*0.1</f>
        <v>0.05</v>
      </c>
      <c r="AU35" s="169">
        <f>0.5*0.1</f>
        <v>0.05</v>
      </c>
      <c r="AV35" s="169">
        <f t="shared" si="22"/>
        <v>0.05</v>
      </c>
      <c r="AW35" s="169">
        <f t="shared" si="22"/>
        <v>0.05</v>
      </c>
      <c r="AX35" s="169"/>
      <c r="AY35" s="169"/>
      <c r="AZ35" s="169"/>
      <c r="BA35" s="169"/>
      <c r="BB35" s="169"/>
      <c r="BC35" s="30" t="s">
        <v>158</v>
      </c>
      <c r="BD35" s="30" t="s">
        <v>158</v>
      </c>
      <c r="BE35" s="30" t="s">
        <v>158</v>
      </c>
      <c r="BF35" s="30" t="s">
        <v>158</v>
      </c>
      <c r="BG35" s="30" t="s">
        <v>158</v>
      </c>
      <c r="BH35" s="30" t="s">
        <v>158</v>
      </c>
      <c r="BI35" s="30" t="s">
        <v>158</v>
      </c>
      <c r="BJ35" s="30" t="s">
        <v>158</v>
      </c>
      <c r="BK35" s="30" t="s">
        <v>158</v>
      </c>
      <c r="BL35" s="30" t="s">
        <v>158</v>
      </c>
      <c r="BM35" s="30" t="s">
        <v>158</v>
      </c>
      <c r="BN35" s="170">
        <v>87</v>
      </c>
      <c r="BO35" s="156" t="s">
        <v>158</v>
      </c>
      <c r="BP35" s="156" t="s">
        <v>158</v>
      </c>
      <c r="BQ35" s="156" t="s">
        <v>158</v>
      </c>
      <c r="BR35" s="156" t="s">
        <v>158</v>
      </c>
      <c r="BS35" s="156" t="s">
        <v>158</v>
      </c>
      <c r="BT35" s="156" t="s">
        <v>158</v>
      </c>
      <c r="BU35" s="156" t="s">
        <v>158</v>
      </c>
      <c r="BV35" s="156" t="s">
        <v>158</v>
      </c>
      <c r="BW35" s="156" t="s">
        <v>158</v>
      </c>
      <c r="BX35" s="156" t="s">
        <v>158</v>
      </c>
      <c r="BY35" s="156" t="s">
        <v>158</v>
      </c>
      <c r="BZ35" s="156" t="s">
        <v>158</v>
      </c>
      <c r="CA35" s="156" t="s">
        <v>158</v>
      </c>
      <c r="CB35" s="156" t="s">
        <v>158</v>
      </c>
      <c r="CC35" s="156" t="s">
        <v>158</v>
      </c>
      <c r="CD35" s="156" t="s">
        <v>158</v>
      </c>
      <c r="CE35" s="156" t="s">
        <v>158</v>
      </c>
      <c r="CF35" s="156" t="s">
        <v>158</v>
      </c>
      <c r="CG35" s="156" t="s">
        <v>158</v>
      </c>
      <c r="CH35" s="156" t="s">
        <v>158</v>
      </c>
      <c r="CI35" s="156" t="s">
        <v>158</v>
      </c>
      <c r="CJ35" s="156" t="s">
        <v>158</v>
      </c>
      <c r="CK35" s="156" t="s">
        <v>158</v>
      </c>
      <c r="CL35" s="156" t="s">
        <v>158</v>
      </c>
      <c r="CM35" s="156" t="s">
        <v>158</v>
      </c>
      <c r="CN35" s="156" t="s">
        <v>158</v>
      </c>
      <c r="CO35" s="156" t="s">
        <v>158</v>
      </c>
      <c r="CP35" s="156" t="s">
        <v>158</v>
      </c>
      <c r="CQ35" s="156" t="s">
        <v>158</v>
      </c>
      <c r="CR35" s="156" t="s">
        <v>158</v>
      </c>
      <c r="CS35" s="156" t="s">
        <v>158</v>
      </c>
      <c r="CT35" s="156" t="s">
        <v>158</v>
      </c>
      <c r="CU35" s="156" t="s">
        <v>158</v>
      </c>
      <c r="CV35" s="156" t="s">
        <v>158</v>
      </c>
      <c r="CW35" s="156" t="s">
        <v>158</v>
      </c>
      <c r="CX35" s="156" t="s">
        <v>158</v>
      </c>
      <c r="CY35" s="157" t="s">
        <v>158</v>
      </c>
      <c r="CZ35" s="171"/>
      <c r="DA35" s="121"/>
      <c r="DB35" s="121"/>
      <c r="DC35" s="121"/>
      <c r="DD35" s="121"/>
      <c r="DE35" s="121"/>
      <c r="DF35" s="121"/>
      <c r="DG35" s="121"/>
      <c r="DH35" s="122"/>
    </row>
    <row r="36" spans="1:112" s="116" customFormat="1" x14ac:dyDescent="0.2">
      <c r="A36" s="130" t="s">
        <v>81</v>
      </c>
      <c r="B36" s="130" t="s">
        <v>81</v>
      </c>
      <c r="C36" s="148" t="s">
        <v>20</v>
      </c>
      <c r="D36" s="161"/>
      <c r="E36" s="130"/>
      <c r="F36" s="130"/>
      <c r="G36" s="162">
        <v>44813</v>
      </c>
      <c r="H36" s="134" t="s">
        <v>172</v>
      </c>
      <c r="I36" s="139" t="s">
        <v>33</v>
      </c>
      <c r="J36" s="139" t="s">
        <v>173</v>
      </c>
      <c r="K36" s="163">
        <v>0.40243524920026702</v>
      </c>
      <c r="L36" s="30" t="s">
        <v>159</v>
      </c>
      <c r="M36" s="126">
        <v>4.3653949489521768E-2</v>
      </c>
      <c r="N36" s="124">
        <v>0.1193927995701236</v>
      </c>
      <c r="O36" s="124">
        <v>0.47203116603976353</v>
      </c>
      <c r="P36" s="124">
        <v>0.45265986029016658</v>
      </c>
      <c r="Q36" s="125">
        <v>1.592745835572273</v>
      </c>
      <c r="R36" s="125">
        <v>1.3136378291241269</v>
      </c>
      <c r="S36" s="124">
        <v>0.53753358409457286</v>
      </c>
      <c r="T36" s="125">
        <f t="shared" si="25"/>
        <v>4.531655024180548</v>
      </c>
      <c r="U36" s="152">
        <f t="shared" si="0"/>
        <v>50.678900170851072</v>
      </c>
      <c r="V36" s="176">
        <f>0.5*0.0188070929607738</f>
        <v>9.4035464803868991E-3</v>
      </c>
      <c r="W36" s="176">
        <v>6.1872480709374872E-2</v>
      </c>
      <c r="X36" s="176">
        <v>2.955590405494762E-2</v>
      </c>
      <c r="Y36" s="176">
        <v>5.6565942888473095E-2</v>
      </c>
      <c r="Z36" s="176">
        <f>0.5*0.0188070929607738</f>
        <v>9.4035464803868991E-3</v>
      </c>
      <c r="AA36" s="176">
        <v>2.2276320687443701E-2</v>
      </c>
      <c r="AB36" s="177">
        <v>1.8843948826419214E-2</v>
      </c>
      <c r="AC36" s="173">
        <f>0.5*0.107469102632993</f>
        <v>5.3734551316496501E-2</v>
      </c>
      <c r="AD36" s="173">
        <v>0.18911459716665849</v>
      </c>
      <c r="AE36" s="152">
        <f t="shared" si="1"/>
        <v>0.1985181436470454</v>
      </c>
      <c r="AF36" s="127">
        <v>2.5577646426652337E-2</v>
      </c>
      <c r="AG36" s="154">
        <f t="shared" ref="AG36:AG59" si="28">AF36*(5/K36)</f>
        <v>0.31778586092397604</v>
      </c>
      <c r="AH36" s="125">
        <v>5.9361627744371406</v>
      </c>
      <c r="AI36" s="169">
        <f t="shared" si="26"/>
        <v>0.05</v>
      </c>
      <c r="AJ36" s="82" t="s">
        <v>158</v>
      </c>
      <c r="AK36" s="166">
        <f t="shared" si="23"/>
        <v>0.05</v>
      </c>
      <c r="AL36" s="169">
        <f t="shared" si="27"/>
        <v>0.05</v>
      </c>
      <c r="AM36" s="169">
        <f>0.5*0.1</f>
        <v>0.05</v>
      </c>
      <c r="AN36" s="124">
        <v>0.72467720132382407</v>
      </c>
      <c r="AO36" s="124">
        <v>0.89344147671654306</v>
      </c>
      <c r="AP36" s="155" t="s">
        <v>158</v>
      </c>
      <c r="AQ36" s="124">
        <v>0.68477602200158472</v>
      </c>
      <c r="AR36" s="169">
        <f t="shared" si="21"/>
        <v>0.05</v>
      </c>
      <c r="AS36" s="125">
        <v>1.4016687642753924</v>
      </c>
      <c r="AT36" s="124">
        <v>0.18785251479979487</v>
      </c>
      <c r="AU36" s="124">
        <v>0.19304992308768004</v>
      </c>
      <c r="AV36" s="124">
        <f t="shared" ref="AV36:AV44" si="29">0.5*0.1</f>
        <v>0.05</v>
      </c>
      <c r="AW36" s="124">
        <v>0.10117466088658927</v>
      </c>
      <c r="AX36" s="124"/>
      <c r="AY36" s="124"/>
      <c r="AZ36" s="124"/>
      <c r="BA36" s="124"/>
      <c r="BB36" s="124"/>
      <c r="BC36" s="30" t="s">
        <v>158</v>
      </c>
      <c r="BD36" s="30" t="s">
        <v>158</v>
      </c>
      <c r="BE36" s="30" t="s">
        <v>158</v>
      </c>
      <c r="BF36" s="30" t="s">
        <v>158</v>
      </c>
      <c r="BG36" s="30" t="s">
        <v>158</v>
      </c>
      <c r="BH36" s="30" t="s">
        <v>158</v>
      </c>
      <c r="BI36" s="30" t="s">
        <v>158</v>
      </c>
      <c r="BJ36" s="30" t="s">
        <v>158</v>
      </c>
      <c r="BK36" s="30" t="s">
        <v>158</v>
      </c>
      <c r="BL36" s="30" t="s">
        <v>158</v>
      </c>
      <c r="BM36" s="30" t="s">
        <v>158</v>
      </c>
      <c r="BN36" s="170">
        <v>42</v>
      </c>
      <c r="BO36" s="156" t="s">
        <v>158</v>
      </c>
      <c r="BP36" s="156" t="s">
        <v>158</v>
      </c>
      <c r="BQ36" s="156" t="s">
        <v>158</v>
      </c>
      <c r="BR36" s="156" t="s">
        <v>158</v>
      </c>
      <c r="BS36" s="156" t="s">
        <v>158</v>
      </c>
      <c r="BT36" s="156" t="s">
        <v>158</v>
      </c>
      <c r="BU36" s="156" t="s">
        <v>158</v>
      </c>
      <c r="BV36" s="156" t="s">
        <v>158</v>
      </c>
      <c r="BW36" s="156" t="s">
        <v>158</v>
      </c>
      <c r="BX36" s="156" t="s">
        <v>158</v>
      </c>
      <c r="BY36" s="156" t="s">
        <v>158</v>
      </c>
      <c r="BZ36" s="156" t="s">
        <v>158</v>
      </c>
      <c r="CA36" s="156" t="s">
        <v>158</v>
      </c>
      <c r="CB36" s="156" t="s">
        <v>158</v>
      </c>
      <c r="CC36" s="156" t="s">
        <v>158</v>
      </c>
      <c r="CD36" s="156" t="s">
        <v>158</v>
      </c>
      <c r="CE36" s="156" t="s">
        <v>158</v>
      </c>
      <c r="CF36" s="156" t="s">
        <v>158</v>
      </c>
      <c r="CG36" s="156" t="s">
        <v>158</v>
      </c>
      <c r="CH36" s="156" t="s">
        <v>158</v>
      </c>
      <c r="CI36" s="156" t="s">
        <v>158</v>
      </c>
      <c r="CJ36" s="156" t="s">
        <v>158</v>
      </c>
      <c r="CK36" s="156" t="s">
        <v>158</v>
      </c>
      <c r="CL36" s="156" t="s">
        <v>158</v>
      </c>
      <c r="CM36" s="156" t="s">
        <v>158</v>
      </c>
      <c r="CN36" s="156" t="s">
        <v>158</v>
      </c>
      <c r="CO36" s="156" t="s">
        <v>158</v>
      </c>
      <c r="CP36" s="156" t="s">
        <v>158</v>
      </c>
      <c r="CQ36" s="156" t="s">
        <v>158</v>
      </c>
      <c r="CR36" s="156" t="s">
        <v>158</v>
      </c>
      <c r="CS36" s="156" t="s">
        <v>158</v>
      </c>
      <c r="CT36" s="156" t="s">
        <v>158</v>
      </c>
      <c r="CU36" s="156" t="s">
        <v>158</v>
      </c>
      <c r="CV36" s="156" t="s">
        <v>158</v>
      </c>
      <c r="CW36" s="156" t="s">
        <v>158</v>
      </c>
      <c r="CX36" s="156" t="s">
        <v>158</v>
      </c>
      <c r="CY36" s="157" t="s">
        <v>158</v>
      </c>
      <c r="CZ36" s="171"/>
      <c r="DA36" s="121"/>
      <c r="DB36" s="121"/>
      <c r="DC36" s="121"/>
      <c r="DD36" s="121"/>
      <c r="DE36" s="121"/>
      <c r="DF36" s="121"/>
      <c r="DG36" s="121"/>
      <c r="DH36" s="122"/>
    </row>
    <row r="37" spans="1:112" s="116" customFormat="1" x14ac:dyDescent="0.2">
      <c r="A37" s="132" t="s">
        <v>8</v>
      </c>
      <c r="B37" s="132" t="s">
        <v>8</v>
      </c>
      <c r="C37" s="148" t="s">
        <v>20</v>
      </c>
      <c r="D37" s="161"/>
      <c r="E37" s="132"/>
      <c r="F37" s="132"/>
      <c r="G37" s="162">
        <v>44820</v>
      </c>
      <c r="H37" s="134" t="s">
        <v>172</v>
      </c>
      <c r="I37" s="139" t="s">
        <v>33</v>
      </c>
      <c r="J37" s="139" t="s">
        <v>173</v>
      </c>
      <c r="K37" s="163">
        <v>0.39646233607808801</v>
      </c>
      <c r="L37" s="30" t="s">
        <v>159</v>
      </c>
      <c r="M37" s="175">
        <v>2.0055607043558854E-2</v>
      </c>
      <c r="N37" s="126">
        <v>5.1918443002780361E-2</v>
      </c>
      <c r="O37" s="124">
        <v>0.5350602409638554</v>
      </c>
      <c r="P37" s="124">
        <v>0.52607970342910104</v>
      </c>
      <c r="Q37" s="125">
        <v>2.7958850787766454</v>
      </c>
      <c r="R37" s="125">
        <v>1.9546617238183506</v>
      </c>
      <c r="S37" s="124">
        <v>0.94974976830398528</v>
      </c>
      <c r="T37" s="125">
        <f t="shared" si="25"/>
        <v>6.8334105653382773</v>
      </c>
      <c r="U37" s="152">
        <f t="shared" si="0"/>
        <v>79.545145754613017</v>
      </c>
      <c r="V37" s="176">
        <f>0.5*0.0162187210379981</f>
        <v>8.1093605189990498E-3</v>
      </c>
      <c r="W37" s="176">
        <v>2.6540667613952729E-2</v>
      </c>
      <c r="X37" s="176">
        <f>0.5*0.0129749768303985</f>
        <v>6.4874884151992496E-3</v>
      </c>
      <c r="Y37" s="176">
        <v>1.3718534759657274E-2</v>
      </c>
      <c r="Z37" s="176">
        <f>0.5*0.0162187210379981</f>
        <v>8.1093605189990498E-3</v>
      </c>
      <c r="AA37" s="177">
        <v>1.0654376932300475E-2</v>
      </c>
      <c r="AB37" s="176">
        <f>0.5*0.0162187210379981</f>
        <v>8.1093605189990498E-3</v>
      </c>
      <c r="AC37" s="173">
        <f>0.5*0.092678405931418</f>
        <v>4.6339202965709002E-2</v>
      </c>
      <c r="AD37" s="127">
        <v>5.0913579305910478E-2</v>
      </c>
      <c r="AE37" s="152">
        <f t="shared" si="1"/>
        <v>7.3619788759107838E-2</v>
      </c>
      <c r="AF37" s="119">
        <f>0.5*0.001</f>
        <v>5.0000000000000001E-4</v>
      </c>
      <c r="AG37" s="154" t="s">
        <v>158</v>
      </c>
      <c r="AH37" s="128">
        <v>20.813019390581722</v>
      </c>
      <c r="AI37" s="169">
        <f t="shared" si="26"/>
        <v>0.05</v>
      </c>
      <c r="AJ37" s="82" t="s">
        <v>158</v>
      </c>
      <c r="AK37" s="166">
        <f t="shared" si="23"/>
        <v>0.05</v>
      </c>
      <c r="AL37" s="169">
        <f t="shared" si="27"/>
        <v>0.05</v>
      </c>
      <c r="AM37" s="124">
        <v>0.17539845035930793</v>
      </c>
      <c r="AN37" s="125">
        <v>3.0304307679955045</v>
      </c>
      <c r="AO37" s="124">
        <v>0.5935806335059618</v>
      </c>
      <c r="AP37" s="155" t="s">
        <v>158</v>
      </c>
      <c r="AQ37" s="124">
        <v>0.80173832751214436</v>
      </c>
      <c r="AR37" s="169">
        <f t="shared" si="21"/>
        <v>0.05</v>
      </c>
      <c r="AS37" s="124">
        <v>0.50744710747119526</v>
      </c>
      <c r="AT37" s="124">
        <v>0.11734714360271392</v>
      </c>
      <c r="AU37" s="124">
        <f>0.5*0.1</f>
        <v>0.05</v>
      </c>
      <c r="AV37" s="124">
        <f t="shared" si="29"/>
        <v>0.05</v>
      </c>
      <c r="AW37" s="124">
        <f t="shared" ref="AW37:AW44" si="30">0.5*0.1</f>
        <v>0.05</v>
      </c>
      <c r="AX37" s="124"/>
      <c r="AY37" s="124"/>
      <c r="AZ37" s="124"/>
      <c r="BA37" s="124"/>
      <c r="BB37" s="124"/>
      <c r="BC37" s="30" t="s">
        <v>158</v>
      </c>
      <c r="BD37" s="30" t="s">
        <v>158</v>
      </c>
      <c r="BE37" s="30" t="s">
        <v>158</v>
      </c>
      <c r="BF37" s="30" t="s">
        <v>158</v>
      </c>
      <c r="BG37" s="30" t="s">
        <v>158</v>
      </c>
      <c r="BH37" s="30" t="s">
        <v>158</v>
      </c>
      <c r="BI37" s="30" t="s">
        <v>158</v>
      </c>
      <c r="BJ37" s="30" t="s">
        <v>158</v>
      </c>
      <c r="BK37" s="30" t="s">
        <v>158</v>
      </c>
      <c r="BL37" s="30" t="s">
        <v>158</v>
      </c>
      <c r="BM37" s="30" t="s">
        <v>158</v>
      </c>
      <c r="BN37" s="170">
        <v>64</v>
      </c>
      <c r="BO37" s="156" t="s">
        <v>158</v>
      </c>
      <c r="BP37" s="156" t="s">
        <v>158</v>
      </c>
      <c r="BQ37" s="156" t="s">
        <v>158</v>
      </c>
      <c r="BR37" s="156" t="s">
        <v>158</v>
      </c>
      <c r="BS37" s="156" t="s">
        <v>158</v>
      </c>
      <c r="BT37" s="156" t="s">
        <v>158</v>
      </c>
      <c r="BU37" s="156" t="s">
        <v>158</v>
      </c>
      <c r="BV37" s="156" t="s">
        <v>158</v>
      </c>
      <c r="BW37" s="156" t="s">
        <v>158</v>
      </c>
      <c r="BX37" s="156" t="s">
        <v>158</v>
      </c>
      <c r="BY37" s="156" t="s">
        <v>158</v>
      </c>
      <c r="BZ37" s="156" t="s">
        <v>158</v>
      </c>
      <c r="CA37" s="156" t="s">
        <v>158</v>
      </c>
      <c r="CB37" s="156" t="s">
        <v>158</v>
      </c>
      <c r="CC37" s="156" t="s">
        <v>158</v>
      </c>
      <c r="CD37" s="156" t="s">
        <v>158</v>
      </c>
      <c r="CE37" s="156" t="s">
        <v>158</v>
      </c>
      <c r="CF37" s="156" t="s">
        <v>158</v>
      </c>
      <c r="CG37" s="156" t="s">
        <v>158</v>
      </c>
      <c r="CH37" s="156" t="s">
        <v>158</v>
      </c>
      <c r="CI37" s="156" t="s">
        <v>158</v>
      </c>
      <c r="CJ37" s="156" t="s">
        <v>158</v>
      </c>
      <c r="CK37" s="156" t="s">
        <v>158</v>
      </c>
      <c r="CL37" s="156" t="s">
        <v>158</v>
      </c>
      <c r="CM37" s="156" t="s">
        <v>158</v>
      </c>
      <c r="CN37" s="156" t="s">
        <v>158</v>
      </c>
      <c r="CO37" s="156" t="s">
        <v>158</v>
      </c>
      <c r="CP37" s="156" t="s">
        <v>158</v>
      </c>
      <c r="CQ37" s="156" t="s">
        <v>158</v>
      </c>
      <c r="CR37" s="156" t="s">
        <v>158</v>
      </c>
      <c r="CS37" s="156" t="s">
        <v>158</v>
      </c>
      <c r="CT37" s="156" t="s">
        <v>158</v>
      </c>
      <c r="CU37" s="156" t="s">
        <v>158</v>
      </c>
      <c r="CV37" s="156" t="s">
        <v>158</v>
      </c>
      <c r="CW37" s="156" t="s">
        <v>158</v>
      </c>
      <c r="CX37" s="156" t="s">
        <v>158</v>
      </c>
      <c r="CY37" s="157" t="s">
        <v>158</v>
      </c>
      <c r="CZ37" s="171"/>
      <c r="DA37" s="121"/>
      <c r="DB37" s="121"/>
      <c r="DC37" s="121"/>
      <c r="DD37" s="121"/>
      <c r="DE37" s="121"/>
      <c r="DF37" s="121"/>
      <c r="DG37" s="121"/>
      <c r="DH37" s="122"/>
    </row>
    <row r="38" spans="1:112" s="116" customFormat="1" x14ac:dyDescent="0.2">
      <c r="A38" s="132" t="s">
        <v>22</v>
      </c>
      <c r="B38" s="132" t="s">
        <v>22</v>
      </c>
      <c r="C38" s="148" t="s">
        <v>20</v>
      </c>
      <c r="D38" s="161"/>
      <c r="E38" s="132"/>
      <c r="F38" s="132"/>
      <c r="G38" s="162">
        <v>44830</v>
      </c>
      <c r="H38" s="134" t="s">
        <v>172</v>
      </c>
      <c r="I38" s="139" t="s">
        <v>33</v>
      </c>
      <c r="J38" s="139" t="s">
        <v>173</v>
      </c>
      <c r="K38" s="163">
        <v>0.51059206952743696</v>
      </c>
      <c r="L38" s="30" t="s">
        <v>159</v>
      </c>
      <c r="M38" s="125">
        <v>1.1465076660988074</v>
      </c>
      <c r="N38" s="125">
        <v>2.6542589437819419</v>
      </c>
      <c r="O38" s="128">
        <v>10.303180011357183</v>
      </c>
      <c r="P38" s="125">
        <v>8.1858224493658902</v>
      </c>
      <c r="Q38" s="128">
        <v>25.053161082718152</v>
      </c>
      <c r="R38" s="128">
        <v>19.672932046185878</v>
      </c>
      <c r="S38" s="125">
        <v>7.9159473783834935</v>
      </c>
      <c r="T38" s="128">
        <f t="shared" si="25"/>
        <v>74.931809577891343</v>
      </c>
      <c r="U38" s="152">
        <f t="shared" si="0"/>
        <v>653.61362927454184</v>
      </c>
      <c r="V38" s="176">
        <f>0.5*0.016562559151997</f>
        <v>8.2812795759984997E-3</v>
      </c>
      <c r="W38" s="178">
        <v>0.2565892370534773</v>
      </c>
      <c r="X38" s="176">
        <v>9.4798373123809301E-2</v>
      </c>
      <c r="Y38" s="178">
        <v>0.22979497483952299</v>
      </c>
      <c r="Z38" s="176">
        <f>0.5*0.016562559151997</f>
        <v>8.2812795759984997E-3</v>
      </c>
      <c r="AA38" s="176">
        <v>4.5591257389560026E-2</v>
      </c>
      <c r="AB38" s="176">
        <v>3.5782643543380316E-2</v>
      </c>
      <c r="AC38" s="173">
        <f>0.5*0.0946431951542684</f>
        <v>4.7321597577134202E-2</v>
      </c>
      <c r="AD38" s="173">
        <v>0.66255648594974992</v>
      </c>
      <c r="AE38" s="152">
        <f t="shared" si="1"/>
        <v>0.67083776552574848</v>
      </c>
      <c r="AF38" s="127">
        <v>6.53038046564452E-3</v>
      </c>
      <c r="AG38" s="154">
        <f t="shared" si="28"/>
        <v>6.3949098070486252E-2</v>
      </c>
      <c r="AH38" s="125">
        <v>2.3253142059159577</v>
      </c>
      <c r="AI38" s="169">
        <f t="shared" si="26"/>
        <v>0.05</v>
      </c>
      <c r="AJ38" s="82" t="s">
        <v>158</v>
      </c>
      <c r="AK38" s="166">
        <f t="shared" si="23"/>
        <v>0.05</v>
      </c>
      <c r="AL38" s="169">
        <f t="shared" si="27"/>
        <v>0.05</v>
      </c>
      <c r="AM38" s="124">
        <v>0.13518259912826372</v>
      </c>
      <c r="AN38" s="124">
        <v>0.26877829969108374</v>
      </c>
      <c r="AO38" s="169">
        <f>0.5*0.1</f>
        <v>0.05</v>
      </c>
      <c r="AP38" s="155" t="s">
        <v>158</v>
      </c>
      <c r="AQ38" s="124">
        <v>0.19008928949261561</v>
      </c>
      <c r="AR38" s="169">
        <f t="shared" si="21"/>
        <v>0.05</v>
      </c>
      <c r="AS38" s="124">
        <v>0.15390800220049933</v>
      </c>
      <c r="AT38" s="124">
        <f>0.5*0.1</f>
        <v>0.05</v>
      </c>
      <c r="AU38" s="124">
        <f>0.5*0.1</f>
        <v>0.05</v>
      </c>
      <c r="AV38" s="124">
        <f t="shared" si="29"/>
        <v>0.05</v>
      </c>
      <c r="AW38" s="124">
        <f t="shared" si="30"/>
        <v>0.05</v>
      </c>
      <c r="AX38" s="124"/>
      <c r="AY38" s="124"/>
      <c r="AZ38" s="124"/>
      <c r="BA38" s="124"/>
      <c r="BB38" s="124"/>
      <c r="BC38" s="30" t="s">
        <v>158</v>
      </c>
      <c r="BD38" s="30" t="s">
        <v>158</v>
      </c>
      <c r="BE38" s="30" t="s">
        <v>158</v>
      </c>
      <c r="BF38" s="30" t="s">
        <v>158</v>
      </c>
      <c r="BG38" s="30" t="s">
        <v>158</v>
      </c>
      <c r="BH38" s="30" t="s">
        <v>158</v>
      </c>
      <c r="BI38" s="30" t="s">
        <v>158</v>
      </c>
      <c r="BJ38" s="30" t="s">
        <v>158</v>
      </c>
      <c r="BK38" s="30" t="s">
        <v>158</v>
      </c>
      <c r="BL38" s="30" t="s">
        <v>158</v>
      </c>
      <c r="BM38" s="30" t="s">
        <v>158</v>
      </c>
      <c r="BN38" s="170">
        <v>38</v>
      </c>
      <c r="BO38" s="156" t="s">
        <v>158</v>
      </c>
      <c r="BP38" s="156" t="s">
        <v>158</v>
      </c>
      <c r="BQ38" s="156" t="s">
        <v>158</v>
      </c>
      <c r="BR38" s="156" t="s">
        <v>158</v>
      </c>
      <c r="BS38" s="156" t="s">
        <v>158</v>
      </c>
      <c r="BT38" s="156" t="s">
        <v>158</v>
      </c>
      <c r="BU38" s="156" t="s">
        <v>158</v>
      </c>
      <c r="BV38" s="156" t="s">
        <v>158</v>
      </c>
      <c r="BW38" s="156" t="s">
        <v>158</v>
      </c>
      <c r="BX38" s="156" t="s">
        <v>158</v>
      </c>
      <c r="BY38" s="156" t="s">
        <v>158</v>
      </c>
      <c r="BZ38" s="156" t="s">
        <v>158</v>
      </c>
      <c r="CA38" s="156" t="s">
        <v>158</v>
      </c>
      <c r="CB38" s="156" t="s">
        <v>158</v>
      </c>
      <c r="CC38" s="156" t="s">
        <v>158</v>
      </c>
      <c r="CD38" s="156" t="s">
        <v>158</v>
      </c>
      <c r="CE38" s="156" t="s">
        <v>158</v>
      </c>
      <c r="CF38" s="156" t="s">
        <v>158</v>
      </c>
      <c r="CG38" s="156" t="s">
        <v>158</v>
      </c>
      <c r="CH38" s="156" t="s">
        <v>158</v>
      </c>
      <c r="CI38" s="156" t="s">
        <v>158</v>
      </c>
      <c r="CJ38" s="156" t="s">
        <v>158</v>
      </c>
      <c r="CK38" s="156" t="s">
        <v>158</v>
      </c>
      <c r="CL38" s="156" t="s">
        <v>158</v>
      </c>
      <c r="CM38" s="156" t="s">
        <v>158</v>
      </c>
      <c r="CN38" s="156" t="s">
        <v>158</v>
      </c>
      <c r="CO38" s="156" t="s">
        <v>158</v>
      </c>
      <c r="CP38" s="156" t="s">
        <v>158</v>
      </c>
      <c r="CQ38" s="156" t="s">
        <v>158</v>
      </c>
      <c r="CR38" s="156" t="s">
        <v>158</v>
      </c>
      <c r="CS38" s="156" t="s">
        <v>158</v>
      </c>
      <c r="CT38" s="156" t="s">
        <v>158</v>
      </c>
      <c r="CU38" s="156" t="s">
        <v>158</v>
      </c>
      <c r="CV38" s="156" t="s">
        <v>158</v>
      </c>
      <c r="CW38" s="156" t="s">
        <v>158</v>
      </c>
      <c r="CX38" s="156" t="s">
        <v>158</v>
      </c>
      <c r="CY38" s="157" t="s">
        <v>158</v>
      </c>
      <c r="CZ38" s="171"/>
      <c r="DA38" s="121"/>
      <c r="DB38" s="121"/>
      <c r="DC38" s="121"/>
      <c r="DD38" s="121"/>
      <c r="DE38" s="121"/>
      <c r="DF38" s="121"/>
      <c r="DG38" s="121"/>
      <c r="DH38" s="122"/>
    </row>
    <row r="39" spans="1:112" s="116" customFormat="1" x14ac:dyDescent="0.2">
      <c r="A39" s="132" t="s">
        <v>28</v>
      </c>
      <c r="B39" s="132" t="s">
        <v>28</v>
      </c>
      <c r="C39" s="148" t="s">
        <v>20</v>
      </c>
      <c r="D39" s="161"/>
      <c r="E39" s="132"/>
      <c r="F39" s="132"/>
      <c r="G39" s="162">
        <v>44833</v>
      </c>
      <c r="H39" s="134" t="s">
        <v>172</v>
      </c>
      <c r="I39" s="139" t="s">
        <v>33</v>
      </c>
      <c r="J39" s="139" t="s">
        <v>173</v>
      </c>
      <c r="K39" s="163">
        <v>0.57667663391711299</v>
      </c>
      <c r="L39" s="30" t="s">
        <v>159</v>
      </c>
      <c r="M39" s="124">
        <v>0.13136391562563995</v>
      </c>
      <c r="N39" s="124">
        <v>0.28834732746262542</v>
      </c>
      <c r="O39" s="125">
        <v>1.7478906409993857</v>
      </c>
      <c r="P39" s="125">
        <v>1.7940815072701208</v>
      </c>
      <c r="Q39" s="125">
        <v>4.7792033585910296</v>
      </c>
      <c r="R39" s="125">
        <v>4.2172127790292855</v>
      </c>
      <c r="S39" s="125">
        <v>1.1960065533483513</v>
      </c>
      <c r="T39" s="128">
        <f t="shared" si="25"/>
        <v>14.154106082326438</v>
      </c>
      <c r="U39" s="152">
        <f t="shared" si="0"/>
        <v>107.16599085262098</v>
      </c>
      <c r="V39" s="176">
        <f>0.5*0.0179193118984231</f>
        <v>8.95965594921155E-3</v>
      </c>
      <c r="W39" s="176">
        <v>5.6653830679887232E-2</v>
      </c>
      <c r="X39" s="176">
        <v>2.9493096449556166E-2</v>
      </c>
      <c r="Y39" s="176">
        <v>4.7986471723282971E-2</v>
      </c>
      <c r="Z39" s="176">
        <f>0.5*0.0179193118984231</f>
        <v>8.95965594921155E-3</v>
      </c>
      <c r="AA39" s="177">
        <v>2.2431520513929926E-2</v>
      </c>
      <c r="AB39" s="177">
        <v>1.2811869886250347E-2</v>
      </c>
      <c r="AC39" s="173">
        <f>0.5*0.102396067990989</f>
        <v>5.1198033995494503E-2</v>
      </c>
      <c r="AD39" s="173">
        <v>0.16937678925290667</v>
      </c>
      <c r="AE39" s="152">
        <f t="shared" si="1"/>
        <v>0.17833644520211822</v>
      </c>
      <c r="AF39" s="119">
        <f>0.5*0.001</f>
        <v>5.0000000000000001E-4</v>
      </c>
      <c r="AG39" s="154" t="s">
        <v>158</v>
      </c>
      <c r="AH39" s="125">
        <v>7.4791044776119424</v>
      </c>
      <c r="AI39" s="169">
        <f t="shared" si="26"/>
        <v>0.05</v>
      </c>
      <c r="AJ39" s="82" t="s">
        <v>158</v>
      </c>
      <c r="AK39" s="166">
        <f t="shared" si="23"/>
        <v>0.05</v>
      </c>
      <c r="AL39" s="169">
        <f t="shared" si="27"/>
        <v>0.05</v>
      </c>
      <c r="AM39" s="174">
        <v>7.7720095176292497E-2</v>
      </c>
      <c r="AN39" s="124">
        <v>0.41916504434350005</v>
      </c>
      <c r="AO39" s="124">
        <v>0.11992212848799484</v>
      </c>
      <c r="AP39" s="155" t="s">
        <v>158</v>
      </c>
      <c r="AQ39" s="124">
        <v>0.31101016655851188</v>
      </c>
      <c r="AR39" s="169">
        <f t="shared" si="21"/>
        <v>0.05</v>
      </c>
      <c r="AS39" s="124">
        <v>0.23930348258706477</v>
      </c>
      <c r="AT39" s="124">
        <v>0.11289206143197063</v>
      </c>
      <c r="AU39" s="124">
        <f>0.5*0.1</f>
        <v>0.05</v>
      </c>
      <c r="AV39" s="124">
        <f t="shared" si="29"/>
        <v>0.05</v>
      </c>
      <c r="AW39" s="124">
        <f t="shared" si="30"/>
        <v>0.05</v>
      </c>
      <c r="AX39" s="124"/>
      <c r="AY39" s="124"/>
      <c r="AZ39" s="124"/>
      <c r="BA39" s="124"/>
      <c r="BB39" s="124"/>
      <c r="BC39" s="30" t="s">
        <v>158</v>
      </c>
      <c r="BD39" s="30" t="s">
        <v>158</v>
      </c>
      <c r="BE39" s="30" t="s">
        <v>158</v>
      </c>
      <c r="BF39" s="30" t="s">
        <v>158</v>
      </c>
      <c r="BG39" s="30" t="s">
        <v>158</v>
      </c>
      <c r="BH39" s="30" t="s">
        <v>158</v>
      </c>
      <c r="BI39" s="30" t="s">
        <v>158</v>
      </c>
      <c r="BJ39" s="30" t="s">
        <v>158</v>
      </c>
      <c r="BK39" s="30" t="s">
        <v>158</v>
      </c>
      <c r="BL39" s="30" t="s">
        <v>158</v>
      </c>
      <c r="BM39" s="30" t="s">
        <v>158</v>
      </c>
      <c r="BN39" s="170">
        <v>100</v>
      </c>
      <c r="BO39" s="156" t="s">
        <v>158</v>
      </c>
      <c r="BP39" s="156" t="s">
        <v>158</v>
      </c>
      <c r="BQ39" s="156" t="s">
        <v>158</v>
      </c>
      <c r="BR39" s="156" t="s">
        <v>158</v>
      </c>
      <c r="BS39" s="156" t="s">
        <v>158</v>
      </c>
      <c r="BT39" s="156" t="s">
        <v>158</v>
      </c>
      <c r="BU39" s="156" t="s">
        <v>158</v>
      </c>
      <c r="BV39" s="156" t="s">
        <v>158</v>
      </c>
      <c r="BW39" s="156" t="s">
        <v>158</v>
      </c>
      <c r="BX39" s="156" t="s">
        <v>158</v>
      </c>
      <c r="BY39" s="156" t="s">
        <v>158</v>
      </c>
      <c r="BZ39" s="156" t="s">
        <v>158</v>
      </c>
      <c r="CA39" s="156" t="s">
        <v>158</v>
      </c>
      <c r="CB39" s="156" t="s">
        <v>158</v>
      </c>
      <c r="CC39" s="156" t="s">
        <v>158</v>
      </c>
      <c r="CD39" s="156" t="s">
        <v>158</v>
      </c>
      <c r="CE39" s="156" t="s">
        <v>158</v>
      </c>
      <c r="CF39" s="156" t="s">
        <v>158</v>
      </c>
      <c r="CG39" s="156" t="s">
        <v>158</v>
      </c>
      <c r="CH39" s="156" t="s">
        <v>158</v>
      </c>
      <c r="CI39" s="156" t="s">
        <v>158</v>
      </c>
      <c r="CJ39" s="156" t="s">
        <v>158</v>
      </c>
      <c r="CK39" s="156" t="s">
        <v>158</v>
      </c>
      <c r="CL39" s="156" t="s">
        <v>158</v>
      </c>
      <c r="CM39" s="156" t="s">
        <v>158</v>
      </c>
      <c r="CN39" s="156" t="s">
        <v>158</v>
      </c>
      <c r="CO39" s="156" t="s">
        <v>158</v>
      </c>
      <c r="CP39" s="156" t="s">
        <v>158</v>
      </c>
      <c r="CQ39" s="156" t="s">
        <v>158</v>
      </c>
      <c r="CR39" s="156" t="s">
        <v>158</v>
      </c>
      <c r="CS39" s="156" t="s">
        <v>158</v>
      </c>
      <c r="CT39" s="156" t="s">
        <v>158</v>
      </c>
      <c r="CU39" s="156" t="s">
        <v>158</v>
      </c>
      <c r="CV39" s="156" t="s">
        <v>158</v>
      </c>
      <c r="CW39" s="156" t="s">
        <v>158</v>
      </c>
      <c r="CX39" s="156" t="s">
        <v>158</v>
      </c>
      <c r="CY39" s="157" t="s">
        <v>158</v>
      </c>
      <c r="CZ39" s="171"/>
      <c r="DA39" s="121"/>
      <c r="DB39" s="121"/>
      <c r="DC39" s="121"/>
      <c r="DD39" s="121"/>
      <c r="DE39" s="121"/>
      <c r="DF39" s="121"/>
      <c r="DG39" s="121"/>
      <c r="DH39" s="122"/>
    </row>
    <row r="40" spans="1:112" s="116" customFormat="1" x14ac:dyDescent="0.2">
      <c r="A40" s="132" t="s">
        <v>7</v>
      </c>
      <c r="B40" s="132" t="s">
        <v>7</v>
      </c>
      <c r="C40" s="148" t="s">
        <v>20</v>
      </c>
      <c r="D40" s="161"/>
      <c r="E40" s="132"/>
      <c r="F40" s="132"/>
      <c r="G40" s="162">
        <v>44805</v>
      </c>
      <c r="H40" s="134" t="s">
        <v>172</v>
      </c>
      <c r="I40" s="139" t="s">
        <v>33</v>
      </c>
      <c r="J40" s="139" t="s">
        <v>173</v>
      </c>
      <c r="K40" s="163">
        <v>0.42030748810972501</v>
      </c>
      <c r="L40" s="30" t="s">
        <v>159</v>
      </c>
      <c r="M40" s="175">
        <v>3.8028020646792372E-2</v>
      </c>
      <c r="N40" s="124">
        <v>0.30022121563257137</v>
      </c>
      <c r="O40" s="125">
        <v>1.2112293268724321</v>
      </c>
      <c r="P40" s="125">
        <v>1.2576846097124197</v>
      </c>
      <c r="Q40" s="125">
        <v>2.9304856209838825</v>
      </c>
      <c r="R40" s="125">
        <v>2.5492152112082587</v>
      </c>
      <c r="S40" s="124">
        <v>0.79883071737069422</v>
      </c>
      <c r="T40" s="125">
        <f t="shared" si="25"/>
        <v>9.0856947224270517</v>
      </c>
      <c r="U40" s="152">
        <f t="shared" si="0"/>
        <v>93.122420301384906</v>
      </c>
      <c r="V40" s="176">
        <f>0.5*0.018434636047614</f>
        <v>9.2173180238070002E-3</v>
      </c>
      <c r="W40" s="176">
        <v>7.8392038954930132E-2</v>
      </c>
      <c r="X40" s="176">
        <v>2.4567160400908603E-2</v>
      </c>
      <c r="Y40" s="176">
        <v>3.472760770576111E-2</v>
      </c>
      <c r="Z40" s="176">
        <f>0.5*0.018434636047614</f>
        <v>9.2173180238070002E-3</v>
      </c>
      <c r="AA40" s="177">
        <v>1.6627132404663909E-2</v>
      </c>
      <c r="AB40" s="176">
        <f>0.5*0.018434636047614</f>
        <v>9.2173180238070002E-3</v>
      </c>
      <c r="AC40" s="173">
        <f>0.5*0.105340777414937</f>
        <v>5.2670388707468499E-2</v>
      </c>
      <c r="AD40" s="173">
        <v>0.15431393946626376</v>
      </c>
      <c r="AE40" s="152">
        <f t="shared" si="1"/>
        <v>0.17274857551387773</v>
      </c>
      <c r="AF40" s="127">
        <v>6.6048667439165695E-2</v>
      </c>
      <c r="AG40" s="154">
        <f t="shared" si="28"/>
        <v>0.7857184241019648</v>
      </c>
      <c r="AH40" s="125">
        <v>3.9465571648666389</v>
      </c>
      <c r="AI40" s="169">
        <f t="shared" si="26"/>
        <v>0.05</v>
      </c>
      <c r="AJ40" s="82" t="s">
        <v>158</v>
      </c>
      <c r="AK40" s="166">
        <f t="shared" si="23"/>
        <v>0.05</v>
      </c>
      <c r="AL40" s="169">
        <f>0.5*0.15</f>
        <v>7.4999999999999997E-2</v>
      </c>
      <c r="AM40" s="179">
        <v>3.8357561846467721E-2</v>
      </c>
      <c r="AN40" s="125">
        <v>1.3714642958338799</v>
      </c>
      <c r="AO40" s="124">
        <v>0.25777555804216334</v>
      </c>
      <c r="AP40" s="155" t="s">
        <v>158</v>
      </c>
      <c r="AQ40" s="124">
        <v>0.61978268117562862</v>
      </c>
      <c r="AR40" s="169">
        <f t="shared" si="21"/>
        <v>0.05</v>
      </c>
      <c r="AS40" s="124">
        <v>0.92787484079251026</v>
      </c>
      <c r="AT40" s="124">
        <v>0.20524574899965198</v>
      </c>
      <c r="AU40" s="124">
        <f>0.5*0.2</f>
        <v>0.1</v>
      </c>
      <c r="AV40" s="124">
        <f t="shared" si="29"/>
        <v>0.05</v>
      </c>
      <c r="AW40" s="124">
        <f t="shared" si="30"/>
        <v>0.05</v>
      </c>
      <c r="AX40" s="124"/>
      <c r="AY40" s="124"/>
      <c r="AZ40" s="124"/>
      <c r="BA40" s="124"/>
      <c r="BB40" s="124"/>
      <c r="BC40" s="30" t="s">
        <v>158</v>
      </c>
      <c r="BD40" s="30" t="s">
        <v>158</v>
      </c>
      <c r="BE40" s="30" t="s">
        <v>158</v>
      </c>
      <c r="BF40" s="30" t="s">
        <v>158</v>
      </c>
      <c r="BG40" s="30" t="s">
        <v>158</v>
      </c>
      <c r="BH40" s="30" t="s">
        <v>158</v>
      </c>
      <c r="BI40" s="30" t="s">
        <v>158</v>
      </c>
      <c r="BJ40" s="30" t="s">
        <v>158</v>
      </c>
      <c r="BK40" s="30" t="s">
        <v>158</v>
      </c>
      <c r="BL40" s="30" t="s">
        <v>158</v>
      </c>
      <c r="BM40" s="30" t="s">
        <v>158</v>
      </c>
      <c r="BN40" s="170">
        <v>190</v>
      </c>
      <c r="BO40" s="156" t="s">
        <v>158</v>
      </c>
      <c r="BP40" s="156" t="s">
        <v>158</v>
      </c>
      <c r="BQ40" s="156" t="s">
        <v>158</v>
      </c>
      <c r="BR40" s="156" t="s">
        <v>158</v>
      </c>
      <c r="BS40" s="156" t="s">
        <v>158</v>
      </c>
      <c r="BT40" s="156" t="s">
        <v>158</v>
      </c>
      <c r="BU40" s="156" t="s">
        <v>158</v>
      </c>
      <c r="BV40" s="156" t="s">
        <v>158</v>
      </c>
      <c r="BW40" s="156" t="s">
        <v>158</v>
      </c>
      <c r="BX40" s="156" t="s">
        <v>158</v>
      </c>
      <c r="BY40" s="156" t="s">
        <v>158</v>
      </c>
      <c r="BZ40" s="156" t="s">
        <v>158</v>
      </c>
      <c r="CA40" s="156" t="s">
        <v>158</v>
      </c>
      <c r="CB40" s="156" t="s">
        <v>158</v>
      </c>
      <c r="CC40" s="156" t="s">
        <v>158</v>
      </c>
      <c r="CD40" s="156" t="s">
        <v>158</v>
      </c>
      <c r="CE40" s="156" t="s">
        <v>158</v>
      </c>
      <c r="CF40" s="156" t="s">
        <v>158</v>
      </c>
      <c r="CG40" s="156" t="s">
        <v>158</v>
      </c>
      <c r="CH40" s="156" t="s">
        <v>158</v>
      </c>
      <c r="CI40" s="156" t="s">
        <v>158</v>
      </c>
      <c r="CJ40" s="156" t="s">
        <v>158</v>
      </c>
      <c r="CK40" s="156" t="s">
        <v>158</v>
      </c>
      <c r="CL40" s="156" t="s">
        <v>158</v>
      </c>
      <c r="CM40" s="156" t="s">
        <v>158</v>
      </c>
      <c r="CN40" s="156" t="s">
        <v>158</v>
      </c>
      <c r="CO40" s="156" t="s">
        <v>158</v>
      </c>
      <c r="CP40" s="156" t="s">
        <v>158</v>
      </c>
      <c r="CQ40" s="156" t="s">
        <v>158</v>
      </c>
      <c r="CR40" s="156" t="s">
        <v>158</v>
      </c>
      <c r="CS40" s="156" t="s">
        <v>158</v>
      </c>
      <c r="CT40" s="156" t="s">
        <v>158</v>
      </c>
      <c r="CU40" s="156" t="s">
        <v>158</v>
      </c>
      <c r="CV40" s="156" t="s">
        <v>158</v>
      </c>
      <c r="CW40" s="156" t="s">
        <v>158</v>
      </c>
      <c r="CX40" s="156" t="s">
        <v>158</v>
      </c>
      <c r="CY40" s="157" t="s">
        <v>158</v>
      </c>
      <c r="CZ40" s="171"/>
      <c r="DA40" s="121"/>
      <c r="DB40" s="121"/>
      <c r="DC40" s="121"/>
      <c r="DD40" s="121"/>
      <c r="DE40" s="121"/>
      <c r="DF40" s="121"/>
      <c r="DG40" s="121"/>
      <c r="DH40" s="122"/>
    </row>
    <row r="41" spans="1:112" s="116" customFormat="1" x14ac:dyDescent="0.2">
      <c r="A41" s="132" t="s">
        <v>21</v>
      </c>
      <c r="B41" s="132" t="s">
        <v>21</v>
      </c>
      <c r="C41" s="148" t="s">
        <v>20</v>
      </c>
      <c r="D41" s="161"/>
      <c r="E41" s="132"/>
      <c r="F41" s="132"/>
      <c r="G41" s="162">
        <v>44824</v>
      </c>
      <c r="H41" s="134" t="s">
        <v>172</v>
      </c>
      <c r="I41" s="139" t="s">
        <v>33</v>
      </c>
      <c r="J41" s="139" t="s">
        <v>173</v>
      </c>
      <c r="K41" s="163">
        <v>0.49905733614286002</v>
      </c>
      <c r="L41" s="30" t="s">
        <v>159</v>
      </c>
      <c r="M41" s="175">
        <v>3.3992219535274946E-2</v>
      </c>
      <c r="N41" s="124">
        <v>0.13652612764167807</v>
      </c>
      <c r="O41" s="125">
        <v>1.7141204920618234</v>
      </c>
      <c r="P41" s="125">
        <v>1.3181158658395542</v>
      </c>
      <c r="Q41" s="125">
        <v>7.7248028598464948</v>
      </c>
      <c r="R41" s="125">
        <v>6.0989801282725269</v>
      </c>
      <c r="S41" s="125">
        <v>2.4240878982231102</v>
      </c>
      <c r="T41" s="128">
        <f t="shared" si="25"/>
        <v>19.450625591420462</v>
      </c>
      <c r="U41" s="152">
        <f t="shared" si="0"/>
        <v>181.6676002172855</v>
      </c>
      <c r="V41" s="176">
        <f>0.5*0.0183997476606035</f>
        <v>9.19987383030175E-3</v>
      </c>
      <c r="W41" s="176">
        <v>9.8001948100962466E-2</v>
      </c>
      <c r="X41" s="176">
        <v>3.6597708759077328E-2</v>
      </c>
      <c r="Y41" s="176">
        <v>3.0187796470031027E-2</v>
      </c>
      <c r="Z41" s="176">
        <f>0.5*0.0183997476606035</f>
        <v>9.19987383030175E-3</v>
      </c>
      <c r="AA41" s="176">
        <v>2.5690656415779715E-2</v>
      </c>
      <c r="AB41" s="177">
        <v>1.9504204502099946E-2</v>
      </c>
      <c r="AC41" s="173">
        <f>0.5*0.105141415203449</f>
        <v>5.2570707601724498E-2</v>
      </c>
      <c r="AD41" s="173">
        <v>0.2099823142479505</v>
      </c>
      <c r="AE41" s="152">
        <f t="shared" si="1"/>
        <v>0.21918218807825224</v>
      </c>
      <c r="AF41" s="127">
        <v>2.7336767952896648E-3</v>
      </c>
      <c r="AG41" s="154">
        <f t="shared" si="28"/>
        <v>2.7388404070139982E-2</v>
      </c>
      <c r="AH41" s="125">
        <v>8.9082893594282311</v>
      </c>
      <c r="AI41" s="169">
        <f t="shared" si="26"/>
        <v>0.05</v>
      </c>
      <c r="AJ41" s="82" t="s">
        <v>158</v>
      </c>
      <c r="AK41" s="166">
        <f t="shared" si="23"/>
        <v>0.05</v>
      </c>
      <c r="AL41" s="169">
        <f>0.5*0.15</f>
        <v>7.4999999999999997E-2</v>
      </c>
      <c r="AM41" s="169">
        <f t="shared" ref="AM41:AM46" si="31">0.5*0.1</f>
        <v>0.05</v>
      </c>
      <c r="AN41" s="124">
        <v>0.58012156836550677</v>
      </c>
      <c r="AO41" s="124">
        <v>0.32990448199853056</v>
      </c>
      <c r="AP41" s="155" t="s">
        <v>158</v>
      </c>
      <c r="AQ41" s="124">
        <v>0.37514750740320191</v>
      </c>
      <c r="AR41" s="169">
        <f t="shared" si="21"/>
        <v>0.05</v>
      </c>
      <c r="AS41" s="124">
        <v>0.2898492641328792</v>
      </c>
      <c r="AT41" s="124">
        <v>0.1664551466167925</v>
      </c>
      <c r="AU41" s="124">
        <f>0.5*0.2</f>
        <v>0.1</v>
      </c>
      <c r="AV41" s="124">
        <f t="shared" si="29"/>
        <v>0.05</v>
      </c>
      <c r="AW41" s="124">
        <f t="shared" si="30"/>
        <v>0.05</v>
      </c>
      <c r="AX41" s="124"/>
      <c r="AY41" s="124"/>
      <c r="AZ41" s="124"/>
      <c r="BA41" s="124"/>
      <c r="BB41" s="124"/>
      <c r="BC41" s="30" t="s">
        <v>158</v>
      </c>
      <c r="BD41" s="30" t="s">
        <v>158</v>
      </c>
      <c r="BE41" s="30" t="s">
        <v>158</v>
      </c>
      <c r="BF41" s="30" t="s">
        <v>158</v>
      </c>
      <c r="BG41" s="30" t="s">
        <v>158</v>
      </c>
      <c r="BH41" s="30" t="s">
        <v>158</v>
      </c>
      <c r="BI41" s="30" t="s">
        <v>158</v>
      </c>
      <c r="BJ41" s="30" t="s">
        <v>158</v>
      </c>
      <c r="BK41" s="30" t="s">
        <v>158</v>
      </c>
      <c r="BL41" s="30" t="s">
        <v>158</v>
      </c>
      <c r="BM41" s="30" t="s">
        <v>158</v>
      </c>
      <c r="BN41" s="170">
        <v>78</v>
      </c>
      <c r="BO41" s="156" t="s">
        <v>158</v>
      </c>
      <c r="BP41" s="156" t="s">
        <v>158</v>
      </c>
      <c r="BQ41" s="156" t="s">
        <v>158</v>
      </c>
      <c r="BR41" s="156" t="s">
        <v>158</v>
      </c>
      <c r="BS41" s="156" t="s">
        <v>158</v>
      </c>
      <c r="BT41" s="156" t="s">
        <v>158</v>
      </c>
      <c r="BU41" s="156" t="s">
        <v>158</v>
      </c>
      <c r="BV41" s="156" t="s">
        <v>158</v>
      </c>
      <c r="BW41" s="156" t="s">
        <v>158</v>
      </c>
      <c r="BX41" s="156" t="s">
        <v>158</v>
      </c>
      <c r="BY41" s="156" t="s">
        <v>158</v>
      </c>
      <c r="BZ41" s="156" t="s">
        <v>158</v>
      </c>
      <c r="CA41" s="156" t="s">
        <v>158</v>
      </c>
      <c r="CB41" s="156" t="s">
        <v>158</v>
      </c>
      <c r="CC41" s="156" t="s">
        <v>158</v>
      </c>
      <c r="CD41" s="156" t="s">
        <v>158</v>
      </c>
      <c r="CE41" s="156" t="s">
        <v>158</v>
      </c>
      <c r="CF41" s="156" t="s">
        <v>158</v>
      </c>
      <c r="CG41" s="156" t="s">
        <v>158</v>
      </c>
      <c r="CH41" s="156" t="s">
        <v>158</v>
      </c>
      <c r="CI41" s="156" t="s">
        <v>158</v>
      </c>
      <c r="CJ41" s="156" t="s">
        <v>158</v>
      </c>
      <c r="CK41" s="156" t="s">
        <v>158</v>
      </c>
      <c r="CL41" s="156" t="s">
        <v>158</v>
      </c>
      <c r="CM41" s="156" t="s">
        <v>158</v>
      </c>
      <c r="CN41" s="156" t="s">
        <v>158</v>
      </c>
      <c r="CO41" s="156" t="s">
        <v>158</v>
      </c>
      <c r="CP41" s="156" t="s">
        <v>158</v>
      </c>
      <c r="CQ41" s="156" t="s">
        <v>158</v>
      </c>
      <c r="CR41" s="156" t="s">
        <v>158</v>
      </c>
      <c r="CS41" s="156" t="s">
        <v>158</v>
      </c>
      <c r="CT41" s="156" t="s">
        <v>158</v>
      </c>
      <c r="CU41" s="156" t="s">
        <v>158</v>
      </c>
      <c r="CV41" s="156" t="s">
        <v>158</v>
      </c>
      <c r="CW41" s="156" t="s">
        <v>158</v>
      </c>
      <c r="CX41" s="156" t="s">
        <v>158</v>
      </c>
      <c r="CY41" s="157" t="s">
        <v>158</v>
      </c>
      <c r="CZ41" s="171"/>
      <c r="DA41" s="121"/>
      <c r="DB41" s="121"/>
      <c r="DC41" s="121"/>
      <c r="DD41" s="121"/>
      <c r="DE41" s="121"/>
      <c r="DF41" s="121"/>
      <c r="DG41" s="121"/>
      <c r="DH41" s="122"/>
    </row>
    <row r="42" spans="1:112" s="116" customFormat="1" x14ac:dyDescent="0.2">
      <c r="A42" s="132" t="s">
        <v>23</v>
      </c>
      <c r="B42" s="132" t="s">
        <v>23</v>
      </c>
      <c r="C42" s="148" t="s">
        <v>20</v>
      </c>
      <c r="D42" s="161"/>
      <c r="E42" s="132"/>
      <c r="F42" s="132"/>
      <c r="G42" s="162">
        <v>44797</v>
      </c>
      <c r="H42" s="134" t="s">
        <v>172</v>
      </c>
      <c r="I42" s="139" t="s">
        <v>33</v>
      </c>
      <c r="J42" s="139" t="s">
        <v>173</v>
      </c>
      <c r="K42" s="163">
        <v>0.442023026315782</v>
      </c>
      <c r="L42" s="30" t="s">
        <v>159</v>
      </c>
      <c r="M42" s="124">
        <v>0.27718755855349447</v>
      </c>
      <c r="N42" s="125">
        <v>1.6492598838298669</v>
      </c>
      <c r="O42" s="125">
        <v>6.5728592842420834</v>
      </c>
      <c r="P42" s="125">
        <v>4.4530728873899195</v>
      </c>
      <c r="Q42" s="125">
        <v>9.4289863219036913</v>
      </c>
      <c r="R42" s="125">
        <v>8.7423458872025481</v>
      </c>
      <c r="S42" s="125">
        <v>2.2187090125538695</v>
      </c>
      <c r="T42" s="128">
        <f t="shared" si="25"/>
        <v>33.342420835675469</v>
      </c>
      <c r="U42" s="152">
        <f t="shared" si="0"/>
        <v>326.78555446619373</v>
      </c>
      <c r="V42" s="176">
        <f>0.5*0.016394978452314</f>
        <v>8.1974892261569999E-3</v>
      </c>
      <c r="W42" s="176">
        <v>3.2531663622193251E-2</v>
      </c>
      <c r="X42" s="176">
        <v>1.409133186801247E-2</v>
      </c>
      <c r="Y42" s="176">
        <v>1.9448899161992841E-2</v>
      </c>
      <c r="Z42" s="176">
        <f>0.5*0.016394978452314</f>
        <v>8.1974892261569999E-3</v>
      </c>
      <c r="AA42" s="176">
        <f>0.5*0.016394978452314</f>
        <v>8.1974892261569999E-3</v>
      </c>
      <c r="AB42" s="176">
        <f>0.5*0.016394978452314</f>
        <v>8.1974892261569999E-3</v>
      </c>
      <c r="AC42" s="173">
        <v>0.22757699923579233</v>
      </c>
      <c r="AD42" s="173">
        <v>0.29364889388799087</v>
      </c>
      <c r="AE42" s="152">
        <f t="shared" si="1"/>
        <v>9.066436233066956E-2</v>
      </c>
      <c r="AF42" s="127">
        <v>8.4317032040472171E-3</v>
      </c>
      <c r="AG42" s="154">
        <f t="shared" si="28"/>
        <v>9.5376289266247347E-2</v>
      </c>
      <c r="AH42" s="128">
        <v>11.220625528317841</v>
      </c>
      <c r="AI42" s="169">
        <f t="shared" si="26"/>
        <v>0.05</v>
      </c>
      <c r="AJ42" s="82" t="s">
        <v>158</v>
      </c>
      <c r="AK42" s="166">
        <f t="shared" si="23"/>
        <v>0.05</v>
      </c>
      <c r="AL42" s="169">
        <f>0.5*0.15</f>
        <v>7.4999999999999997E-2</v>
      </c>
      <c r="AM42" s="169">
        <f t="shared" si="31"/>
        <v>0.05</v>
      </c>
      <c r="AN42" s="124">
        <v>0.67401828940290509</v>
      </c>
      <c r="AO42" s="124">
        <v>0.17390302005686628</v>
      </c>
      <c r="AP42" s="155" t="s">
        <v>158</v>
      </c>
      <c r="AQ42" s="124">
        <v>0.448653910192372</v>
      </c>
      <c r="AR42" s="169">
        <f t="shared" si="21"/>
        <v>0.05</v>
      </c>
      <c r="AS42" s="124">
        <v>0.82051282051282093</v>
      </c>
      <c r="AT42" s="124">
        <v>0.34158149542764937</v>
      </c>
      <c r="AU42" s="124">
        <f>0.5*0.2</f>
        <v>0.1</v>
      </c>
      <c r="AV42" s="124">
        <f t="shared" si="29"/>
        <v>0.05</v>
      </c>
      <c r="AW42" s="124">
        <f t="shared" si="30"/>
        <v>0.05</v>
      </c>
      <c r="AX42" s="124"/>
      <c r="AY42" s="124"/>
      <c r="AZ42" s="124"/>
      <c r="BA42" s="124"/>
      <c r="BB42" s="124"/>
      <c r="BC42" s="30" t="s">
        <v>158</v>
      </c>
      <c r="BD42" s="30" t="s">
        <v>158</v>
      </c>
      <c r="BE42" s="30" t="s">
        <v>158</v>
      </c>
      <c r="BF42" s="30" t="s">
        <v>158</v>
      </c>
      <c r="BG42" s="30" t="s">
        <v>158</v>
      </c>
      <c r="BH42" s="30" t="s">
        <v>158</v>
      </c>
      <c r="BI42" s="30" t="s">
        <v>158</v>
      </c>
      <c r="BJ42" s="30" t="s">
        <v>158</v>
      </c>
      <c r="BK42" s="30" t="s">
        <v>158</v>
      </c>
      <c r="BL42" s="30" t="s">
        <v>158</v>
      </c>
      <c r="BM42" s="30" t="s">
        <v>158</v>
      </c>
      <c r="BN42" s="170">
        <v>390</v>
      </c>
      <c r="BO42" s="156" t="s">
        <v>158</v>
      </c>
      <c r="BP42" s="156" t="s">
        <v>158</v>
      </c>
      <c r="BQ42" s="156" t="s">
        <v>158</v>
      </c>
      <c r="BR42" s="156" t="s">
        <v>158</v>
      </c>
      <c r="BS42" s="156" t="s">
        <v>158</v>
      </c>
      <c r="BT42" s="156" t="s">
        <v>158</v>
      </c>
      <c r="BU42" s="156" t="s">
        <v>158</v>
      </c>
      <c r="BV42" s="156" t="s">
        <v>158</v>
      </c>
      <c r="BW42" s="156" t="s">
        <v>158</v>
      </c>
      <c r="BX42" s="156" t="s">
        <v>158</v>
      </c>
      <c r="BY42" s="156" t="s">
        <v>158</v>
      </c>
      <c r="BZ42" s="156" t="s">
        <v>158</v>
      </c>
      <c r="CA42" s="156" t="s">
        <v>158</v>
      </c>
      <c r="CB42" s="156" t="s">
        <v>158</v>
      </c>
      <c r="CC42" s="156" t="s">
        <v>158</v>
      </c>
      <c r="CD42" s="156" t="s">
        <v>158</v>
      </c>
      <c r="CE42" s="156" t="s">
        <v>158</v>
      </c>
      <c r="CF42" s="156" t="s">
        <v>158</v>
      </c>
      <c r="CG42" s="156" t="s">
        <v>158</v>
      </c>
      <c r="CH42" s="156" t="s">
        <v>158</v>
      </c>
      <c r="CI42" s="156" t="s">
        <v>158</v>
      </c>
      <c r="CJ42" s="156" t="s">
        <v>158</v>
      </c>
      <c r="CK42" s="156" t="s">
        <v>158</v>
      </c>
      <c r="CL42" s="156" t="s">
        <v>158</v>
      </c>
      <c r="CM42" s="156" t="s">
        <v>158</v>
      </c>
      <c r="CN42" s="156" t="s">
        <v>158</v>
      </c>
      <c r="CO42" s="156" t="s">
        <v>158</v>
      </c>
      <c r="CP42" s="156" t="s">
        <v>158</v>
      </c>
      <c r="CQ42" s="156" t="s">
        <v>158</v>
      </c>
      <c r="CR42" s="156" t="s">
        <v>158</v>
      </c>
      <c r="CS42" s="156" t="s">
        <v>158</v>
      </c>
      <c r="CT42" s="156" t="s">
        <v>158</v>
      </c>
      <c r="CU42" s="156" t="s">
        <v>158</v>
      </c>
      <c r="CV42" s="156" t="s">
        <v>158</v>
      </c>
      <c r="CW42" s="156" t="s">
        <v>158</v>
      </c>
      <c r="CX42" s="156" t="s">
        <v>158</v>
      </c>
      <c r="CY42" s="157" t="s">
        <v>158</v>
      </c>
      <c r="CZ42" s="171"/>
      <c r="DA42" s="121"/>
      <c r="DB42" s="121"/>
      <c r="DC42" s="121"/>
      <c r="DD42" s="121"/>
      <c r="DE42" s="121"/>
      <c r="DF42" s="121"/>
      <c r="DG42" s="121"/>
      <c r="DH42" s="122"/>
    </row>
    <row r="43" spans="1:112" s="116" customFormat="1" x14ac:dyDescent="0.2">
      <c r="A43" s="132" t="s">
        <v>5</v>
      </c>
      <c r="B43" s="132" t="s">
        <v>5</v>
      </c>
      <c r="C43" s="148" t="s">
        <v>20</v>
      </c>
      <c r="D43" s="161"/>
      <c r="E43" s="132"/>
      <c r="F43" s="132"/>
      <c r="G43" s="162">
        <v>44819</v>
      </c>
      <c r="H43" s="134" t="s">
        <v>172</v>
      </c>
      <c r="I43" s="139" t="s">
        <v>33</v>
      </c>
      <c r="J43" s="139" t="s">
        <v>173</v>
      </c>
      <c r="K43" s="163">
        <v>0.56092240573389496</v>
      </c>
      <c r="L43" s="30" t="s">
        <v>159</v>
      </c>
      <c r="M43" s="125">
        <v>1.9091693744922826</v>
      </c>
      <c r="N43" s="125">
        <v>3.705168562144598</v>
      </c>
      <c r="O43" s="128">
        <v>11.435428513403735</v>
      </c>
      <c r="P43" s="124">
        <v>9.6780767668562149</v>
      </c>
      <c r="Q43" s="128">
        <v>16.115465069049552</v>
      </c>
      <c r="R43" s="128">
        <v>15.075203086921201</v>
      </c>
      <c r="S43" s="125">
        <v>2.9742993501218522</v>
      </c>
      <c r="T43" s="128">
        <f t="shared" si="25"/>
        <v>60.892810722989431</v>
      </c>
      <c r="U43" s="152">
        <f t="shared" si="0"/>
        <v>456.52244795895888</v>
      </c>
      <c r="V43" s="176">
        <f>0.5*0.017770105605199</f>
        <v>8.8850528025994999E-3</v>
      </c>
      <c r="W43" s="176">
        <v>8.9237697767672083E-2</v>
      </c>
      <c r="X43" s="176">
        <v>4.8572417772277207E-2</v>
      </c>
      <c r="Y43" s="176">
        <v>0.10817321191757452</v>
      </c>
      <c r="Z43" s="176">
        <f>0.5*0.017770105605199</f>
        <v>8.8850528025994999E-3</v>
      </c>
      <c r="AA43" s="176">
        <v>2.5244875026380918E-2</v>
      </c>
      <c r="AB43" s="177">
        <v>2.2655520966523773E-2</v>
      </c>
      <c r="AC43" s="173">
        <v>0.11218151532684814</v>
      </c>
      <c r="AD43" s="173">
        <v>0.40606523877727663</v>
      </c>
      <c r="AE43" s="152">
        <f t="shared" si="1"/>
        <v>0.302768776253028</v>
      </c>
      <c r="AF43" s="127">
        <v>2.7416734362307065E-3</v>
      </c>
      <c r="AG43" s="154">
        <f t="shared" si="28"/>
        <v>2.4438972380177778E-2</v>
      </c>
      <c r="AH43" s="125">
        <v>3.7842987804878048</v>
      </c>
      <c r="AI43" s="169">
        <f t="shared" si="26"/>
        <v>0.05</v>
      </c>
      <c r="AJ43" s="82" t="s">
        <v>158</v>
      </c>
      <c r="AK43" s="166">
        <f t="shared" si="23"/>
        <v>0.05</v>
      </c>
      <c r="AL43" s="169">
        <f>0.5*0.15</f>
        <v>7.4999999999999997E-2</v>
      </c>
      <c r="AM43" s="169">
        <f t="shared" si="31"/>
        <v>0.05</v>
      </c>
      <c r="AN43" s="124">
        <v>0.21493902439024387</v>
      </c>
      <c r="AO43" s="124">
        <v>0.10428215077605321</v>
      </c>
      <c r="AP43" s="155" t="s">
        <v>158</v>
      </c>
      <c r="AQ43" s="124">
        <v>0.16056910569105692</v>
      </c>
      <c r="AR43" s="169">
        <f t="shared" si="21"/>
        <v>0.05</v>
      </c>
      <c r="AS43" s="124">
        <v>0.6337536954915004</v>
      </c>
      <c r="AT43" s="124">
        <v>0.23815133037694014</v>
      </c>
      <c r="AU43" s="124">
        <f>0.5*0.2</f>
        <v>0.1</v>
      </c>
      <c r="AV43" s="124">
        <f t="shared" si="29"/>
        <v>0.05</v>
      </c>
      <c r="AW43" s="124">
        <f t="shared" si="30"/>
        <v>0.05</v>
      </c>
      <c r="AX43" s="124"/>
      <c r="AY43" s="124"/>
      <c r="AZ43" s="124"/>
      <c r="BA43" s="124"/>
      <c r="BB43" s="124"/>
      <c r="BC43" s="30" t="s">
        <v>158</v>
      </c>
      <c r="BD43" s="30" t="s">
        <v>158</v>
      </c>
      <c r="BE43" s="30" t="s">
        <v>158</v>
      </c>
      <c r="BF43" s="30" t="s">
        <v>158</v>
      </c>
      <c r="BG43" s="30" t="s">
        <v>158</v>
      </c>
      <c r="BH43" s="30" t="s">
        <v>158</v>
      </c>
      <c r="BI43" s="30" t="s">
        <v>158</v>
      </c>
      <c r="BJ43" s="30" t="s">
        <v>158</v>
      </c>
      <c r="BK43" s="30" t="s">
        <v>158</v>
      </c>
      <c r="BL43" s="30" t="s">
        <v>158</v>
      </c>
      <c r="BM43" s="30" t="s">
        <v>158</v>
      </c>
      <c r="BN43" s="170">
        <v>110</v>
      </c>
      <c r="BO43" s="156" t="s">
        <v>158</v>
      </c>
      <c r="BP43" s="156" t="s">
        <v>158</v>
      </c>
      <c r="BQ43" s="156" t="s">
        <v>158</v>
      </c>
      <c r="BR43" s="156" t="s">
        <v>158</v>
      </c>
      <c r="BS43" s="156" t="s">
        <v>158</v>
      </c>
      <c r="BT43" s="156" t="s">
        <v>158</v>
      </c>
      <c r="BU43" s="156" t="s">
        <v>158</v>
      </c>
      <c r="BV43" s="156" t="s">
        <v>158</v>
      </c>
      <c r="BW43" s="156" t="s">
        <v>158</v>
      </c>
      <c r="BX43" s="156" t="s">
        <v>158</v>
      </c>
      <c r="BY43" s="156" t="s">
        <v>158</v>
      </c>
      <c r="BZ43" s="156" t="s">
        <v>158</v>
      </c>
      <c r="CA43" s="156" t="s">
        <v>158</v>
      </c>
      <c r="CB43" s="156" t="s">
        <v>158</v>
      </c>
      <c r="CC43" s="156" t="s">
        <v>158</v>
      </c>
      <c r="CD43" s="156" t="s">
        <v>158</v>
      </c>
      <c r="CE43" s="156" t="s">
        <v>158</v>
      </c>
      <c r="CF43" s="156" t="s">
        <v>158</v>
      </c>
      <c r="CG43" s="156" t="s">
        <v>158</v>
      </c>
      <c r="CH43" s="156" t="s">
        <v>158</v>
      </c>
      <c r="CI43" s="156" t="s">
        <v>158</v>
      </c>
      <c r="CJ43" s="156" t="s">
        <v>158</v>
      </c>
      <c r="CK43" s="156" t="s">
        <v>158</v>
      </c>
      <c r="CL43" s="156" t="s">
        <v>158</v>
      </c>
      <c r="CM43" s="156" t="s">
        <v>158</v>
      </c>
      <c r="CN43" s="156" t="s">
        <v>158</v>
      </c>
      <c r="CO43" s="156" t="s">
        <v>158</v>
      </c>
      <c r="CP43" s="156" t="s">
        <v>158</v>
      </c>
      <c r="CQ43" s="156" t="s">
        <v>158</v>
      </c>
      <c r="CR43" s="156" t="s">
        <v>158</v>
      </c>
      <c r="CS43" s="156" t="s">
        <v>158</v>
      </c>
      <c r="CT43" s="156" t="s">
        <v>158</v>
      </c>
      <c r="CU43" s="156" t="s">
        <v>158</v>
      </c>
      <c r="CV43" s="156" t="s">
        <v>158</v>
      </c>
      <c r="CW43" s="156" t="s">
        <v>158</v>
      </c>
      <c r="CX43" s="156" t="s">
        <v>158</v>
      </c>
      <c r="CY43" s="157" t="s">
        <v>158</v>
      </c>
      <c r="CZ43" s="171"/>
      <c r="DA43" s="121"/>
      <c r="DB43" s="121"/>
      <c r="DC43" s="121"/>
      <c r="DD43" s="121"/>
      <c r="DE43" s="121"/>
      <c r="DF43" s="121"/>
      <c r="DG43" s="121"/>
      <c r="DH43" s="122"/>
    </row>
    <row r="44" spans="1:112" s="116" customFormat="1" x14ac:dyDescent="0.2">
      <c r="A44" s="132" t="s">
        <v>171</v>
      </c>
      <c r="B44" s="132" t="s">
        <v>171</v>
      </c>
      <c r="C44" s="148" t="s">
        <v>20</v>
      </c>
      <c r="D44" s="161"/>
      <c r="E44" s="132"/>
      <c r="F44" s="132"/>
      <c r="G44" s="162">
        <v>44819</v>
      </c>
      <c r="H44" s="134" t="s">
        <v>172</v>
      </c>
      <c r="I44" s="139" t="s">
        <v>33</v>
      </c>
      <c r="J44" s="139" t="s">
        <v>173</v>
      </c>
      <c r="K44" s="163">
        <v>0.52541282436199299</v>
      </c>
      <c r="L44" s="30" t="s">
        <v>159</v>
      </c>
      <c r="M44" s="124">
        <v>0.40043976273266518</v>
      </c>
      <c r="N44" s="125">
        <v>1.4289527510738391</v>
      </c>
      <c r="O44" s="125">
        <v>5.0307527101656779</v>
      </c>
      <c r="P44" s="125">
        <v>4.382368582532215</v>
      </c>
      <c r="Q44" s="125">
        <v>8.3414604213540589</v>
      </c>
      <c r="R44" s="125">
        <v>6.2609736142360397</v>
      </c>
      <c r="S44" s="125">
        <v>1.4847105747596645</v>
      </c>
      <c r="T44" s="128">
        <f t="shared" si="25"/>
        <v>27.329658416854159</v>
      </c>
      <c r="U44" s="152">
        <f>SUM(M44,N44,O44,Q44,R44,S44)*(5/K44)</f>
        <v>218.37390305600897</v>
      </c>
      <c r="V44" s="176">
        <f>0.5*0.0178973205154428</f>
        <v>8.9486602577214004E-3</v>
      </c>
      <c r="W44" s="176">
        <v>5.4267768754741479E-2</v>
      </c>
      <c r="X44" s="176">
        <v>1.9133812488933991E-2</v>
      </c>
      <c r="Y44" s="177">
        <v>1.2703208291579626E-2</v>
      </c>
      <c r="Z44" s="176">
        <f>0.5*0.0178973205154428</f>
        <v>8.9486602577214004E-3</v>
      </c>
      <c r="AA44" s="177">
        <v>1.3314142023678813E-2</v>
      </c>
      <c r="AB44" s="176">
        <f>0.5*0.0178973205154428</f>
        <v>8.9486602577214004E-3</v>
      </c>
      <c r="AC44" s="180">
        <v>8.3859443016137764E-2</v>
      </c>
      <c r="AD44" s="124">
        <v>0.18327837457507168</v>
      </c>
      <c r="AE44" s="152">
        <f t="shared" si="1"/>
        <v>0.11731625207437671</v>
      </c>
      <c r="AF44" s="127">
        <v>1.7385968500715893E-3</v>
      </c>
      <c r="AG44" s="154">
        <f t="shared" si="28"/>
        <v>1.6545055330375324E-2</v>
      </c>
      <c r="AH44" s="125">
        <v>4.3768952647539061</v>
      </c>
      <c r="AI44" s="169">
        <f t="shared" si="26"/>
        <v>0.05</v>
      </c>
      <c r="AJ44" s="82" t="s">
        <v>158</v>
      </c>
      <c r="AK44" s="166">
        <f t="shared" si="23"/>
        <v>0.05</v>
      </c>
      <c r="AL44" s="169">
        <f>0.5*0.15</f>
        <v>7.4999999999999997E-2</v>
      </c>
      <c r="AM44" s="169">
        <f t="shared" si="31"/>
        <v>0.05</v>
      </c>
      <c r="AN44" s="166">
        <v>0.48588756706321429</v>
      </c>
      <c r="AO44" s="166">
        <v>0.25379052950781428</v>
      </c>
      <c r="AP44" s="155" t="s">
        <v>158</v>
      </c>
      <c r="AQ44" s="166">
        <v>0.33230308685172222</v>
      </c>
      <c r="AR44" s="169">
        <f t="shared" si="21"/>
        <v>0.05</v>
      </c>
      <c r="AS44" s="166">
        <v>0.58335277194619384</v>
      </c>
      <c r="AT44" s="166">
        <v>0.24865873571261951</v>
      </c>
      <c r="AU44" s="166">
        <f>0.5*0.2</f>
        <v>0.1</v>
      </c>
      <c r="AV44" s="124">
        <f t="shared" si="29"/>
        <v>0.05</v>
      </c>
      <c r="AW44" s="166">
        <f t="shared" si="30"/>
        <v>0.05</v>
      </c>
      <c r="AX44" s="166"/>
      <c r="AY44" s="166"/>
      <c r="AZ44" s="166"/>
      <c r="BA44" s="166"/>
      <c r="BB44" s="166"/>
      <c r="BC44" s="30" t="s">
        <v>158</v>
      </c>
      <c r="BD44" s="30" t="s">
        <v>158</v>
      </c>
      <c r="BE44" s="30" t="s">
        <v>158</v>
      </c>
      <c r="BF44" s="30" t="s">
        <v>158</v>
      </c>
      <c r="BG44" s="30" t="s">
        <v>158</v>
      </c>
      <c r="BH44" s="30" t="s">
        <v>158</v>
      </c>
      <c r="BI44" s="30" t="s">
        <v>158</v>
      </c>
      <c r="BJ44" s="30" t="s">
        <v>158</v>
      </c>
      <c r="BK44" s="30" t="s">
        <v>158</v>
      </c>
      <c r="BL44" s="30" t="s">
        <v>158</v>
      </c>
      <c r="BM44" s="30" t="s">
        <v>158</v>
      </c>
      <c r="BN44" s="170">
        <v>40</v>
      </c>
      <c r="BO44" s="156" t="s">
        <v>158</v>
      </c>
      <c r="BP44" s="156" t="s">
        <v>158</v>
      </c>
      <c r="BQ44" s="156" t="s">
        <v>158</v>
      </c>
      <c r="BR44" s="156" t="s">
        <v>158</v>
      </c>
      <c r="BS44" s="156" t="s">
        <v>158</v>
      </c>
      <c r="BT44" s="156" t="s">
        <v>158</v>
      </c>
      <c r="BU44" s="156" t="s">
        <v>158</v>
      </c>
      <c r="BV44" s="156" t="s">
        <v>158</v>
      </c>
      <c r="BW44" s="156" t="s">
        <v>158</v>
      </c>
      <c r="BX44" s="156" t="s">
        <v>158</v>
      </c>
      <c r="BY44" s="156" t="s">
        <v>158</v>
      </c>
      <c r="BZ44" s="156" t="s">
        <v>158</v>
      </c>
      <c r="CA44" s="156" t="s">
        <v>158</v>
      </c>
      <c r="CB44" s="156" t="s">
        <v>158</v>
      </c>
      <c r="CC44" s="156" t="s">
        <v>158</v>
      </c>
      <c r="CD44" s="156" t="s">
        <v>158</v>
      </c>
      <c r="CE44" s="156" t="s">
        <v>158</v>
      </c>
      <c r="CF44" s="156" t="s">
        <v>158</v>
      </c>
      <c r="CG44" s="156" t="s">
        <v>158</v>
      </c>
      <c r="CH44" s="156" t="s">
        <v>158</v>
      </c>
      <c r="CI44" s="156" t="s">
        <v>158</v>
      </c>
      <c r="CJ44" s="156" t="s">
        <v>158</v>
      </c>
      <c r="CK44" s="156" t="s">
        <v>158</v>
      </c>
      <c r="CL44" s="156" t="s">
        <v>158</v>
      </c>
      <c r="CM44" s="156" t="s">
        <v>158</v>
      </c>
      <c r="CN44" s="156" t="s">
        <v>158</v>
      </c>
      <c r="CO44" s="156" t="s">
        <v>158</v>
      </c>
      <c r="CP44" s="156" t="s">
        <v>158</v>
      </c>
      <c r="CQ44" s="156" t="s">
        <v>158</v>
      </c>
      <c r="CR44" s="156" t="s">
        <v>158</v>
      </c>
      <c r="CS44" s="156" t="s">
        <v>158</v>
      </c>
      <c r="CT44" s="156" t="s">
        <v>158</v>
      </c>
      <c r="CU44" s="156" t="s">
        <v>158</v>
      </c>
      <c r="CV44" s="156" t="s">
        <v>158</v>
      </c>
      <c r="CW44" s="156" t="s">
        <v>158</v>
      </c>
      <c r="CX44" s="156" t="s">
        <v>158</v>
      </c>
      <c r="CY44" s="157" t="s">
        <v>158</v>
      </c>
      <c r="CZ44" s="171"/>
      <c r="DA44" s="121"/>
      <c r="DB44" s="121"/>
      <c r="DC44" s="121"/>
      <c r="DD44" s="121"/>
      <c r="DE44" s="121"/>
      <c r="DF44" s="121"/>
      <c r="DG44" s="121"/>
      <c r="DH44" s="122"/>
    </row>
    <row r="45" spans="1:112" x14ac:dyDescent="0.2">
      <c r="A45" s="106" t="s">
        <v>4</v>
      </c>
      <c r="B45" s="106" t="s">
        <v>4</v>
      </c>
      <c r="C45" s="14" t="s">
        <v>20</v>
      </c>
      <c r="G45" s="28">
        <v>44483</v>
      </c>
      <c r="H45" s="16">
        <v>2021</v>
      </c>
      <c r="I45" s="135" t="s">
        <v>33</v>
      </c>
      <c r="J45" s="135">
        <v>10</v>
      </c>
      <c r="K45" s="140">
        <v>0.85</v>
      </c>
      <c r="L45" s="5" t="s">
        <v>159</v>
      </c>
      <c r="M45" s="76">
        <v>0.49893779904306224</v>
      </c>
      <c r="N45" s="77">
        <v>1.1133397129186604</v>
      </c>
      <c r="O45" s="77">
        <v>3.7973588516746415</v>
      </c>
      <c r="P45" s="77">
        <v>3.4587846889952156</v>
      </c>
      <c r="Q45" s="77">
        <v>7.6062679425837327</v>
      </c>
      <c r="R45" s="77">
        <v>6.8954928229665082</v>
      </c>
      <c r="S45" s="77">
        <v>2.1574736842105264</v>
      </c>
      <c r="T45" s="78">
        <f t="shared" si="25"/>
        <v>25.527655502392346</v>
      </c>
      <c r="U45" s="17">
        <f t="shared" ref="U45:U108" si="32">SUM(M45,N45,O45,Q45,R45,S45)*(5/K45)</f>
        <v>129.81688713763018</v>
      </c>
      <c r="V45" s="79">
        <v>7.7000000000000002E-3</v>
      </c>
      <c r="W45" s="76">
        <v>0.19</v>
      </c>
      <c r="X45" s="80">
        <v>5.6000000000000001E-2</v>
      </c>
      <c r="Y45" s="76">
        <v>0.13</v>
      </c>
      <c r="Z45" s="83">
        <f>0.5*0.024</f>
        <v>1.2E-2</v>
      </c>
      <c r="AA45" s="80">
        <v>2.8000000000000001E-2</v>
      </c>
      <c r="AB45" s="79">
        <v>2.3E-2</v>
      </c>
      <c r="AC45" s="76">
        <f>0.5*0.1</f>
        <v>0.05</v>
      </c>
      <c r="AD45" s="76">
        <v>0.43470000000000009</v>
      </c>
      <c r="AE45" s="17">
        <f>SUM(V45,W45,Y45,X45,AB45,AA45)</f>
        <v>0.43470000000000003</v>
      </c>
      <c r="AF45" s="81">
        <v>4.2296650717703353E-2</v>
      </c>
      <c r="AG45" s="18">
        <f t="shared" si="28"/>
        <v>0.24880382775119622</v>
      </c>
      <c r="AH45" s="96">
        <v>23.498233673046133</v>
      </c>
      <c r="AI45" s="97">
        <f t="shared" ref="AI45:AI55" si="33">0.5*0.15</f>
        <v>7.4999999999999997E-2</v>
      </c>
      <c r="AJ45" s="114" t="s">
        <v>158</v>
      </c>
      <c r="AK45" s="97" t="s">
        <v>158</v>
      </c>
      <c r="AL45" s="97">
        <f t="shared" ref="AL45:AL60" si="34">0.5*0.1</f>
        <v>0.05</v>
      </c>
      <c r="AM45" s="97">
        <f t="shared" si="31"/>
        <v>0.05</v>
      </c>
      <c r="AN45" s="98">
        <v>1.8116525834161761</v>
      </c>
      <c r="AO45" s="97">
        <f>0.5*0.15</f>
        <v>7.4999999999999997E-2</v>
      </c>
      <c r="AP45" s="16" t="s">
        <v>158</v>
      </c>
      <c r="AQ45" s="97">
        <v>0.85981041778185618</v>
      </c>
      <c r="AR45" s="97">
        <f t="shared" ref="AR45:AR50" si="35">0.5*0.2</f>
        <v>0.1</v>
      </c>
      <c r="AS45" s="98">
        <v>2.2384839041945002</v>
      </c>
      <c r="AT45" s="97">
        <v>0.64320530957661037</v>
      </c>
      <c r="AU45" s="97">
        <v>0.65453016051777246</v>
      </c>
      <c r="AV45" s="97">
        <f t="shared" ref="AV45:AV60" si="36">0.5*0.15</f>
        <v>7.4999999999999997E-2</v>
      </c>
      <c r="AW45" s="96">
        <f>0.5*0.112</f>
        <v>5.6000000000000001E-2</v>
      </c>
      <c r="AX45" s="96"/>
      <c r="AY45" s="96"/>
      <c r="AZ45" s="96"/>
      <c r="BA45" s="96"/>
      <c r="BB45" s="96"/>
      <c r="BC45" s="5" t="s">
        <v>158</v>
      </c>
      <c r="BD45" s="5" t="s">
        <v>158</v>
      </c>
      <c r="BE45" s="5" t="s">
        <v>158</v>
      </c>
      <c r="BF45" s="5" t="s">
        <v>158</v>
      </c>
      <c r="BG45" s="5" t="s">
        <v>158</v>
      </c>
      <c r="BH45" s="5" t="s">
        <v>158</v>
      </c>
      <c r="BI45" s="5" t="s">
        <v>158</v>
      </c>
      <c r="BJ45" s="5" t="s">
        <v>158</v>
      </c>
      <c r="BK45" s="5" t="s">
        <v>158</v>
      </c>
      <c r="BL45" s="5" t="s">
        <v>158</v>
      </c>
      <c r="BM45" s="5" t="s">
        <v>158</v>
      </c>
      <c r="BN45" s="1">
        <v>110</v>
      </c>
      <c r="BO45" s="64" t="s">
        <v>158</v>
      </c>
      <c r="BP45" s="64" t="s">
        <v>158</v>
      </c>
      <c r="BQ45" s="64" t="s">
        <v>158</v>
      </c>
      <c r="BR45" s="64" t="s">
        <v>158</v>
      </c>
      <c r="BS45" s="64" t="s">
        <v>158</v>
      </c>
      <c r="BT45" s="64" t="s">
        <v>158</v>
      </c>
      <c r="BU45" s="64" t="s">
        <v>158</v>
      </c>
      <c r="BV45" s="64" t="s">
        <v>158</v>
      </c>
      <c r="BW45" s="64" t="s">
        <v>158</v>
      </c>
      <c r="BX45" s="64" t="s">
        <v>158</v>
      </c>
      <c r="BY45" s="64" t="s">
        <v>158</v>
      </c>
      <c r="BZ45" s="64" t="s">
        <v>158</v>
      </c>
      <c r="CA45" s="64" t="s">
        <v>158</v>
      </c>
      <c r="CB45" s="64" t="s">
        <v>158</v>
      </c>
      <c r="CC45" s="64" t="s">
        <v>158</v>
      </c>
      <c r="CD45" s="64" t="s">
        <v>158</v>
      </c>
      <c r="CE45" s="64" t="s">
        <v>158</v>
      </c>
      <c r="CF45" s="64" t="s">
        <v>158</v>
      </c>
      <c r="CG45" s="64" t="s">
        <v>158</v>
      </c>
      <c r="CH45" s="64" t="s">
        <v>158</v>
      </c>
      <c r="CI45" s="64" t="s">
        <v>158</v>
      </c>
      <c r="CJ45" s="64" t="s">
        <v>158</v>
      </c>
      <c r="CK45" s="64" t="s">
        <v>158</v>
      </c>
      <c r="CL45" s="64" t="s">
        <v>158</v>
      </c>
      <c r="CM45" s="64" t="s">
        <v>158</v>
      </c>
      <c r="CN45" s="64" t="s">
        <v>158</v>
      </c>
      <c r="CO45" s="64" t="s">
        <v>158</v>
      </c>
      <c r="CP45" s="64" t="s">
        <v>158</v>
      </c>
      <c r="CQ45" s="64" t="s">
        <v>158</v>
      </c>
      <c r="CR45" s="64" t="s">
        <v>158</v>
      </c>
      <c r="CS45" s="64" t="s">
        <v>158</v>
      </c>
      <c r="CT45" s="64" t="s">
        <v>158</v>
      </c>
      <c r="CU45" s="64" t="s">
        <v>158</v>
      </c>
      <c r="CV45" s="64" t="s">
        <v>158</v>
      </c>
      <c r="CW45" s="64" t="s">
        <v>158</v>
      </c>
      <c r="CX45" s="64" t="s">
        <v>158</v>
      </c>
      <c r="CY45" s="66" t="s">
        <v>158</v>
      </c>
      <c r="CZ45" s="73"/>
    </row>
    <row r="46" spans="1:112" x14ac:dyDescent="0.2">
      <c r="A46" s="106" t="s">
        <v>9</v>
      </c>
      <c r="B46" s="106" t="s">
        <v>9</v>
      </c>
      <c r="C46" s="14" t="s">
        <v>20</v>
      </c>
      <c r="G46" s="28">
        <v>44467</v>
      </c>
      <c r="H46" s="16">
        <v>2021</v>
      </c>
      <c r="I46" s="135" t="s">
        <v>33</v>
      </c>
      <c r="J46" s="135">
        <v>10</v>
      </c>
      <c r="K46" s="140">
        <v>0.74</v>
      </c>
      <c r="L46" s="5" t="s">
        <v>159</v>
      </c>
      <c r="M46" s="79">
        <v>3.0484827345657484E-2</v>
      </c>
      <c r="N46" s="76">
        <v>0.12925531914893618</v>
      </c>
      <c r="O46" s="77">
        <v>1.0435734216951518</v>
      </c>
      <c r="P46" s="76">
        <v>0.78927014300662712</v>
      </c>
      <c r="Q46" s="77">
        <v>3.9455964422741543</v>
      </c>
      <c r="R46" s="77">
        <v>3.0762469480292989</v>
      </c>
      <c r="S46" s="77">
        <v>1.5950470875479597</v>
      </c>
      <c r="T46" s="78">
        <f t="shared" si="25"/>
        <v>10.609474189047786</v>
      </c>
      <c r="U46" s="17">
        <f t="shared" si="32"/>
        <v>66.352730040818628</v>
      </c>
      <c r="V46" s="82">
        <f>0.5*0.022</f>
        <v>1.0999999999999999E-2</v>
      </c>
      <c r="W46" s="80">
        <v>0.09</v>
      </c>
      <c r="X46" s="80">
        <v>2.5999999999999999E-2</v>
      </c>
      <c r="Y46" s="80">
        <v>2.9000000000000001E-2</v>
      </c>
      <c r="Z46" s="92">
        <f>0.5*0.022</f>
        <v>1.0999999999999999E-2</v>
      </c>
      <c r="AA46" s="79">
        <v>2.1000000000000001E-2</v>
      </c>
      <c r="AB46" s="79">
        <v>1.2E-2</v>
      </c>
      <c r="AC46" s="76">
        <f>0.5*0.1</f>
        <v>0.05</v>
      </c>
      <c r="AD46" s="76">
        <v>0.17799999999999999</v>
      </c>
      <c r="AE46" s="17">
        <f>SUM(V46,W46,Y46,X46,AB46,AA46)</f>
        <v>0.189</v>
      </c>
      <c r="AF46" s="80">
        <v>1.1771886989884899E-2</v>
      </c>
      <c r="AG46" s="18">
        <f t="shared" si="28"/>
        <v>7.9539776958681752E-2</v>
      </c>
      <c r="AH46" s="98">
        <v>3.1505038066233935</v>
      </c>
      <c r="AI46" s="97">
        <f t="shared" si="33"/>
        <v>7.4999999999999997E-2</v>
      </c>
      <c r="AJ46" s="114" t="s">
        <v>158</v>
      </c>
      <c r="AK46" s="97" t="s">
        <v>158</v>
      </c>
      <c r="AL46" s="97">
        <f t="shared" si="34"/>
        <v>0.05</v>
      </c>
      <c r="AM46" s="97">
        <f t="shared" si="31"/>
        <v>0.05</v>
      </c>
      <c r="AN46" s="98">
        <v>1.1241853438952707</v>
      </c>
      <c r="AO46" s="97">
        <f>0.5*0.15</f>
        <v>7.4999999999999997E-2</v>
      </c>
      <c r="AP46" s="16" t="s">
        <v>158</v>
      </c>
      <c r="AQ46" s="97">
        <v>0.47843247415663104</v>
      </c>
      <c r="AR46" s="97">
        <f t="shared" si="35"/>
        <v>0.1</v>
      </c>
      <c r="AS46" s="97">
        <v>0.93365791734129977</v>
      </c>
      <c r="AT46" s="97">
        <v>0.23413826297454951</v>
      </c>
      <c r="AU46" s="97">
        <v>0.35017341783436057</v>
      </c>
      <c r="AV46" s="97">
        <f t="shared" si="36"/>
        <v>7.4999999999999997E-2</v>
      </c>
      <c r="AW46" s="96">
        <f>0.5*0.112</f>
        <v>5.6000000000000001E-2</v>
      </c>
      <c r="AX46" s="96"/>
      <c r="AY46" s="96"/>
      <c r="AZ46" s="96"/>
      <c r="BA46" s="96"/>
      <c r="BB46" s="96"/>
      <c r="BC46" s="5" t="s">
        <v>158</v>
      </c>
      <c r="BD46" s="5" t="s">
        <v>158</v>
      </c>
      <c r="BE46" s="5" t="s">
        <v>158</v>
      </c>
      <c r="BF46" s="5" t="s">
        <v>158</v>
      </c>
      <c r="BG46" s="5" t="s">
        <v>158</v>
      </c>
      <c r="BH46" s="5" t="s">
        <v>158</v>
      </c>
      <c r="BI46" s="5" t="s">
        <v>158</v>
      </c>
      <c r="BJ46" s="5" t="s">
        <v>158</v>
      </c>
      <c r="BK46" s="5" t="s">
        <v>158</v>
      </c>
      <c r="BL46" s="5" t="s">
        <v>158</v>
      </c>
      <c r="BM46" s="5" t="s">
        <v>158</v>
      </c>
      <c r="BN46" s="1">
        <v>65</v>
      </c>
      <c r="BO46" s="64" t="s">
        <v>158</v>
      </c>
      <c r="BP46" s="64" t="s">
        <v>158</v>
      </c>
      <c r="BQ46" s="64" t="s">
        <v>158</v>
      </c>
      <c r="BR46" s="64" t="s">
        <v>158</v>
      </c>
      <c r="BS46" s="64" t="s">
        <v>158</v>
      </c>
      <c r="BT46" s="64" t="s">
        <v>158</v>
      </c>
      <c r="BU46" s="64" t="s">
        <v>158</v>
      </c>
      <c r="BV46" s="64" t="s">
        <v>158</v>
      </c>
      <c r="BW46" s="64" t="s">
        <v>158</v>
      </c>
      <c r="BX46" s="64" t="s">
        <v>158</v>
      </c>
      <c r="BY46" s="64" t="s">
        <v>158</v>
      </c>
      <c r="BZ46" s="64" t="s">
        <v>158</v>
      </c>
      <c r="CA46" s="64" t="s">
        <v>158</v>
      </c>
      <c r="CB46" s="64" t="s">
        <v>158</v>
      </c>
      <c r="CC46" s="64" t="s">
        <v>158</v>
      </c>
      <c r="CD46" s="64" t="s">
        <v>158</v>
      </c>
      <c r="CE46" s="64" t="s">
        <v>158</v>
      </c>
      <c r="CF46" s="64" t="s">
        <v>158</v>
      </c>
      <c r="CG46" s="64" t="s">
        <v>158</v>
      </c>
      <c r="CH46" s="64" t="s">
        <v>158</v>
      </c>
      <c r="CI46" s="64" t="s">
        <v>158</v>
      </c>
      <c r="CJ46" s="64" t="s">
        <v>158</v>
      </c>
      <c r="CK46" s="64" t="s">
        <v>158</v>
      </c>
      <c r="CL46" s="64" t="s">
        <v>158</v>
      </c>
      <c r="CM46" s="64" t="s">
        <v>158</v>
      </c>
      <c r="CN46" s="64" t="s">
        <v>158</v>
      </c>
      <c r="CO46" s="64" t="s">
        <v>158</v>
      </c>
      <c r="CP46" s="64" t="s">
        <v>158</v>
      </c>
      <c r="CQ46" s="64" t="s">
        <v>158</v>
      </c>
      <c r="CR46" s="64" t="s">
        <v>158</v>
      </c>
      <c r="CS46" s="64" t="s">
        <v>158</v>
      </c>
      <c r="CT46" s="64" t="s">
        <v>158</v>
      </c>
      <c r="CU46" s="64" t="s">
        <v>158</v>
      </c>
      <c r="CV46" s="64" t="s">
        <v>158</v>
      </c>
      <c r="CW46" s="64" t="s">
        <v>158</v>
      </c>
      <c r="CX46" s="64" t="s">
        <v>158</v>
      </c>
      <c r="CY46" s="66" t="s">
        <v>158</v>
      </c>
      <c r="CZ46" s="73"/>
    </row>
    <row r="47" spans="1:112" x14ac:dyDescent="0.2">
      <c r="A47" s="106" t="s">
        <v>7</v>
      </c>
      <c r="B47" s="106" t="s">
        <v>7</v>
      </c>
      <c r="C47" s="14" t="s">
        <v>20</v>
      </c>
      <c r="G47" s="28">
        <v>44438</v>
      </c>
      <c r="H47" s="16">
        <v>2021</v>
      </c>
      <c r="I47" s="135" t="s">
        <v>33</v>
      </c>
      <c r="J47" s="135">
        <v>10</v>
      </c>
      <c r="K47" s="140">
        <v>0.68</v>
      </c>
      <c r="L47" s="5" t="s">
        <v>159</v>
      </c>
      <c r="M47" s="80">
        <v>5.5391373237081168E-2</v>
      </c>
      <c r="N47" s="76">
        <v>0.32046993040674343</v>
      </c>
      <c r="O47" s="76">
        <v>0.79731127826721071</v>
      </c>
      <c r="P47" s="76">
        <v>0.81743822258409171</v>
      </c>
      <c r="Q47" s="77">
        <v>1.8820679694486768</v>
      </c>
      <c r="R47" s="77">
        <v>1.6658696724531601</v>
      </c>
      <c r="S47" s="76">
        <v>0.5953648059814094</v>
      </c>
      <c r="T47" s="77">
        <f t="shared" si="25"/>
        <v>6.1339132523783739</v>
      </c>
      <c r="U47" s="17">
        <f t="shared" si="32"/>
        <v>39.091728160252067</v>
      </c>
      <c r="V47" s="80">
        <f>0.5*0.024</f>
        <v>1.2E-2</v>
      </c>
      <c r="W47" s="76">
        <v>0.12</v>
      </c>
      <c r="X47" s="80">
        <v>2.1000000000000001E-2</v>
      </c>
      <c r="Y47" s="80">
        <v>6.2E-2</v>
      </c>
      <c r="Z47" s="92">
        <f>0.5*0.024</f>
        <v>1.2E-2</v>
      </c>
      <c r="AA47" s="79">
        <v>1.6E-2</v>
      </c>
      <c r="AB47" s="79">
        <v>1.2E-2</v>
      </c>
      <c r="AC47" s="80">
        <f>0.5*0.092</f>
        <v>4.5999999999999999E-2</v>
      </c>
      <c r="AD47" s="76">
        <v>0.23099999999999998</v>
      </c>
      <c r="AE47" s="17">
        <f t="shared" ref="AE47:AE60" si="37">SUM(V47,W47,Y47,X47,AB47,AA47)</f>
        <v>0.24299999999999999</v>
      </c>
      <c r="AF47" s="81">
        <v>7.6761867628423824E-2</v>
      </c>
      <c r="AG47" s="18">
        <f t="shared" si="28"/>
        <v>0.56442549726782221</v>
      </c>
      <c r="AH47" s="96">
        <v>14.246413076027046</v>
      </c>
      <c r="AI47" s="97">
        <f t="shared" si="33"/>
        <v>7.4999999999999997E-2</v>
      </c>
      <c r="AJ47" s="97" t="s">
        <v>158</v>
      </c>
      <c r="AK47" s="97" t="s">
        <v>158</v>
      </c>
      <c r="AL47" s="97">
        <f t="shared" si="34"/>
        <v>0.05</v>
      </c>
      <c r="AM47" s="97">
        <v>0.12445238338716696</v>
      </c>
      <c r="AN47" s="97">
        <v>3.0022469472718574</v>
      </c>
      <c r="AO47" s="97">
        <v>0.71286404216296095</v>
      </c>
      <c r="AP47" s="16" t="s">
        <v>158</v>
      </c>
      <c r="AQ47" s="98">
        <v>1.4104732794085018</v>
      </c>
      <c r="AR47" s="97">
        <f t="shared" si="35"/>
        <v>0.1</v>
      </c>
      <c r="AS47" s="98">
        <v>3.3684109753727403</v>
      </c>
      <c r="AT47" s="97">
        <v>0.41319329070514288</v>
      </c>
      <c r="AU47" s="97">
        <v>0.86394001001007326</v>
      </c>
      <c r="AV47" s="97">
        <f t="shared" si="36"/>
        <v>7.4999999999999997E-2</v>
      </c>
      <c r="AW47" s="97">
        <v>0.12</v>
      </c>
      <c r="AX47" s="97"/>
      <c r="AY47" s="97"/>
      <c r="AZ47" s="97"/>
      <c r="BA47" s="97"/>
      <c r="BB47" s="97"/>
      <c r="BC47" s="5" t="s">
        <v>158</v>
      </c>
      <c r="BD47" s="5" t="s">
        <v>158</v>
      </c>
      <c r="BE47" s="5" t="s">
        <v>158</v>
      </c>
      <c r="BF47" s="5" t="s">
        <v>158</v>
      </c>
      <c r="BG47" s="5" t="s">
        <v>158</v>
      </c>
      <c r="BH47" s="5" t="s">
        <v>158</v>
      </c>
      <c r="BI47" s="5" t="s">
        <v>158</v>
      </c>
      <c r="BJ47" s="5" t="s">
        <v>158</v>
      </c>
      <c r="BK47" s="5" t="s">
        <v>158</v>
      </c>
      <c r="BL47" s="5" t="s">
        <v>158</v>
      </c>
      <c r="BM47" s="5" t="s">
        <v>158</v>
      </c>
      <c r="BN47" s="1">
        <v>110</v>
      </c>
      <c r="BO47" s="64" t="s">
        <v>158</v>
      </c>
      <c r="BP47" s="64" t="s">
        <v>158</v>
      </c>
      <c r="BQ47" s="64" t="s">
        <v>158</v>
      </c>
      <c r="BR47" s="64" t="s">
        <v>158</v>
      </c>
      <c r="BS47" s="64" t="s">
        <v>158</v>
      </c>
      <c r="BT47" s="64" t="s">
        <v>158</v>
      </c>
      <c r="BU47" s="64" t="s">
        <v>158</v>
      </c>
      <c r="BV47" s="64" t="s">
        <v>158</v>
      </c>
      <c r="BW47" s="64" t="s">
        <v>158</v>
      </c>
      <c r="BX47" s="64" t="s">
        <v>158</v>
      </c>
      <c r="BY47" s="64" t="s">
        <v>158</v>
      </c>
      <c r="BZ47" s="64" t="s">
        <v>158</v>
      </c>
      <c r="CA47" s="64" t="s">
        <v>158</v>
      </c>
      <c r="CB47" s="64" t="s">
        <v>158</v>
      </c>
      <c r="CC47" s="64" t="s">
        <v>158</v>
      </c>
      <c r="CD47" s="64" t="s">
        <v>158</v>
      </c>
      <c r="CE47" s="64" t="s">
        <v>158</v>
      </c>
      <c r="CF47" s="64" t="s">
        <v>158</v>
      </c>
      <c r="CG47" s="64" t="s">
        <v>158</v>
      </c>
      <c r="CH47" s="64" t="s">
        <v>158</v>
      </c>
      <c r="CI47" s="64" t="s">
        <v>158</v>
      </c>
      <c r="CJ47" s="64" t="s">
        <v>158</v>
      </c>
      <c r="CK47" s="64" t="s">
        <v>158</v>
      </c>
      <c r="CL47" s="64" t="s">
        <v>158</v>
      </c>
      <c r="CM47" s="64" t="s">
        <v>158</v>
      </c>
      <c r="CN47" s="64" t="s">
        <v>158</v>
      </c>
      <c r="CO47" s="64" t="s">
        <v>158</v>
      </c>
      <c r="CP47" s="64" t="s">
        <v>158</v>
      </c>
      <c r="CQ47" s="64" t="s">
        <v>158</v>
      </c>
      <c r="CR47" s="64" t="s">
        <v>158</v>
      </c>
      <c r="CS47" s="64" t="s">
        <v>158</v>
      </c>
      <c r="CT47" s="64" t="s">
        <v>158</v>
      </c>
      <c r="CU47" s="64" t="s">
        <v>158</v>
      </c>
      <c r="CV47" s="64" t="s">
        <v>158</v>
      </c>
      <c r="CW47" s="64" t="s">
        <v>158</v>
      </c>
      <c r="CX47" s="64" t="s">
        <v>158</v>
      </c>
      <c r="CY47" s="66" t="s">
        <v>158</v>
      </c>
      <c r="CZ47" s="73"/>
    </row>
    <row r="48" spans="1:112" x14ac:dyDescent="0.2">
      <c r="A48" s="106" t="s">
        <v>79</v>
      </c>
      <c r="B48" s="106" t="s">
        <v>79</v>
      </c>
      <c r="C48" s="14" t="s">
        <v>20</v>
      </c>
      <c r="G48" s="28">
        <v>44442</v>
      </c>
      <c r="H48" s="16">
        <v>2021</v>
      </c>
      <c r="I48" s="135" t="s">
        <v>33</v>
      </c>
      <c r="J48" s="135">
        <v>10</v>
      </c>
      <c r="K48" s="140">
        <v>0.68</v>
      </c>
      <c r="L48" s="5" t="s">
        <v>159</v>
      </c>
      <c r="M48" s="90">
        <v>0.17915292662819454</v>
      </c>
      <c r="N48" s="76">
        <v>0.52970939818631491</v>
      </c>
      <c r="O48" s="77">
        <v>2.112407254740313</v>
      </c>
      <c r="P48" s="77">
        <v>1.7389633140972793</v>
      </c>
      <c r="Q48" s="77">
        <v>4.1768446001648805</v>
      </c>
      <c r="R48" s="77">
        <v>3.6832749381698267</v>
      </c>
      <c r="S48" s="77">
        <v>1.2569661995053585</v>
      </c>
      <c r="T48" s="78">
        <f t="shared" si="25"/>
        <v>13.677318631492168</v>
      </c>
      <c r="U48" s="17">
        <f t="shared" si="32"/>
        <v>87.782024392609472</v>
      </c>
      <c r="V48" s="82">
        <f>0.5*0.026</f>
        <v>1.2999999999999999E-2</v>
      </c>
      <c r="W48" s="80">
        <v>3.6999999999999998E-2</v>
      </c>
      <c r="X48" s="79">
        <v>6.7000000000000002E-3</v>
      </c>
      <c r="Y48" s="79">
        <v>1.9E-2</v>
      </c>
      <c r="Z48" s="92">
        <f>0.5*0.026</f>
        <v>1.2999999999999999E-2</v>
      </c>
      <c r="AA48" s="82">
        <f>0.5*0.026</f>
        <v>1.2999999999999999E-2</v>
      </c>
      <c r="AB48" s="82">
        <f>0.5*0.026</f>
        <v>1.2999999999999999E-2</v>
      </c>
      <c r="AC48" s="80">
        <f>0.5*0.095</f>
        <v>4.7500000000000001E-2</v>
      </c>
      <c r="AD48" s="76">
        <v>6.2699999999999992E-2</v>
      </c>
      <c r="AE48" s="17">
        <f t="shared" si="37"/>
        <v>0.10169999999999998</v>
      </c>
      <c r="AF48" s="81">
        <v>1.1438582028029678E-2</v>
      </c>
      <c r="AG48" s="18">
        <f t="shared" si="28"/>
        <v>8.4107220794335871E-2</v>
      </c>
      <c r="AH48" s="96">
        <v>13.107063476831913</v>
      </c>
      <c r="AI48" s="97">
        <f t="shared" si="33"/>
        <v>7.4999999999999997E-2</v>
      </c>
      <c r="AJ48" s="97" t="s">
        <v>158</v>
      </c>
      <c r="AK48" s="97" t="s">
        <v>158</v>
      </c>
      <c r="AL48" s="97">
        <f t="shared" si="34"/>
        <v>0.05</v>
      </c>
      <c r="AM48" s="97">
        <f>0.5*0.1</f>
        <v>0.05</v>
      </c>
      <c r="AN48" s="97">
        <v>0.57919280547925467</v>
      </c>
      <c r="AO48" s="97">
        <f>0.5*0.15</f>
        <v>7.4999999999999997E-2</v>
      </c>
      <c r="AP48" s="16" t="s">
        <v>158</v>
      </c>
      <c r="AQ48" s="97">
        <v>0.49797376722762643</v>
      </c>
      <c r="AR48" s="97">
        <f t="shared" si="35"/>
        <v>0.1</v>
      </c>
      <c r="AS48" s="98">
        <v>1.4763644160299385</v>
      </c>
      <c r="AT48" s="97">
        <v>0.22776001871199125</v>
      </c>
      <c r="AU48" s="97">
        <v>0.3341709748227758</v>
      </c>
      <c r="AV48" s="97">
        <f t="shared" si="36"/>
        <v>7.4999999999999997E-2</v>
      </c>
      <c r="AW48" s="96">
        <f>0.5*0.112</f>
        <v>5.6000000000000001E-2</v>
      </c>
      <c r="AX48" s="96"/>
      <c r="AY48" s="96"/>
      <c r="AZ48" s="96"/>
      <c r="BA48" s="96"/>
      <c r="BB48" s="96"/>
      <c r="BC48" s="5" t="s">
        <v>158</v>
      </c>
      <c r="BD48" s="5" t="s">
        <v>158</v>
      </c>
      <c r="BE48" s="5" t="s">
        <v>158</v>
      </c>
      <c r="BF48" s="5" t="s">
        <v>158</v>
      </c>
      <c r="BG48" s="5" t="s">
        <v>158</v>
      </c>
      <c r="BH48" s="5" t="s">
        <v>158</v>
      </c>
      <c r="BI48" s="5" t="s">
        <v>158</v>
      </c>
      <c r="BJ48" s="5" t="s">
        <v>158</v>
      </c>
      <c r="BK48" s="5" t="s">
        <v>158</v>
      </c>
      <c r="BL48" s="5" t="s">
        <v>158</v>
      </c>
      <c r="BM48" s="5" t="s">
        <v>158</v>
      </c>
      <c r="BN48" s="1">
        <v>170</v>
      </c>
      <c r="BO48" s="64" t="s">
        <v>158</v>
      </c>
      <c r="BP48" s="64" t="s">
        <v>158</v>
      </c>
      <c r="BQ48" s="64" t="s">
        <v>158</v>
      </c>
      <c r="BR48" s="64" t="s">
        <v>158</v>
      </c>
      <c r="BS48" s="64" t="s">
        <v>158</v>
      </c>
      <c r="BT48" s="64" t="s">
        <v>158</v>
      </c>
      <c r="BU48" s="64" t="s">
        <v>158</v>
      </c>
      <c r="BV48" s="64" t="s">
        <v>158</v>
      </c>
      <c r="BW48" s="64" t="s">
        <v>158</v>
      </c>
      <c r="BX48" s="64" t="s">
        <v>158</v>
      </c>
      <c r="BY48" s="64" t="s">
        <v>158</v>
      </c>
      <c r="BZ48" s="64" t="s">
        <v>158</v>
      </c>
      <c r="CA48" s="64" t="s">
        <v>158</v>
      </c>
      <c r="CB48" s="64" t="s">
        <v>158</v>
      </c>
      <c r="CC48" s="64" t="s">
        <v>158</v>
      </c>
      <c r="CD48" s="64" t="s">
        <v>158</v>
      </c>
      <c r="CE48" s="64" t="s">
        <v>158</v>
      </c>
      <c r="CF48" s="64" t="s">
        <v>158</v>
      </c>
      <c r="CG48" s="64" t="s">
        <v>158</v>
      </c>
      <c r="CH48" s="64" t="s">
        <v>158</v>
      </c>
      <c r="CI48" s="64" t="s">
        <v>158</v>
      </c>
      <c r="CJ48" s="64" t="s">
        <v>158</v>
      </c>
      <c r="CK48" s="64" t="s">
        <v>158</v>
      </c>
      <c r="CL48" s="64" t="s">
        <v>158</v>
      </c>
      <c r="CM48" s="64" t="s">
        <v>158</v>
      </c>
      <c r="CN48" s="64" t="s">
        <v>158</v>
      </c>
      <c r="CO48" s="64" t="s">
        <v>158</v>
      </c>
      <c r="CP48" s="64" t="s">
        <v>158</v>
      </c>
      <c r="CQ48" s="64" t="s">
        <v>158</v>
      </c>
      <c r="CR48" s="64" t="s">
        <v>158</v>
      </c>
      <c r="CS48" s="64" t="s">
        <v>158</v>
      </c>
      <c r="CT48" s="64" t="s">
        <v>158</v>
      </c>
      <c r="CU48" s="64" t="s">
        <v>158</v>
      </c>
      <c r="CV48" s="64" t="s">
        <v>158</v>
      </c>
      <c r="CW48" s="64" t="s">
        <v>158</v>
      </c>
      <c r="CX48" s="64" t="s">
        <v>158</v>
      </c>
      <c r="CY48" s="66" t="s">
        <v>158</v>
      </c>
      <c r="CZ48" s="73"/>
    </row>
    <row r="49" spans="1:104" x14ac:dyDescent="0.2">
      <c r="A49" s="106" t="s">
        <v>5</v>
      </c>
      <c r="B49" s="106" t="s">
        <v>5</v>
      </c>
      <c r="C49" s="14" t="s">
        <v>20</v>
      </c>
      <c r="G49" s="74">
        <v>44433</v>
      </c>
      <c r="H49" s="16">
        <v>2021</v>
      </c>
      <c r="I49" s="135" t="s">
        <v>33</v>
      </c>
      <c r="J49" s="135">
        <v>10</v>
      </c>
      <c r="K49" s="140">
        <v>0.56000000000000005</v>
      </c>
      <c r="L49" s="5" t="s">
        <v>159</v>
      </c>
      <c r="M49" s="90">
        <v>0.95105474198047435</v>
      </c>
      <c r="N49" s="77">
        <v>3.4751307531380755</v>
      </c>
      <c r="O49" s="78">
        <v>13.296565550906555</v>
      </c>
      <c r="P49" s="78">
        <v>11.685407949790797</v>
      </c>
      <c r="Q49" s="78">
        <v>21.122358786610878</v>
      </c>
      <c r="R49" s="78">
        <v>19.618244421199442</v>
      </c>
      <c r="S49" s="77">
        <v>4.9528591352859141</v>
      </c>
      <c r="T49" s="78">
        <f t="shared" si="25"/>
        <v>75.101621338912153</v>
      </c>
      <c r="U49" s="17">
        <f t="shared" si="32"/>
        <v>566.21619097429755</v>
      </c>
      <c r="V49" s="79">
        <v>7.4999999999999997E-3</v>
      </c>
      <c r="W49" s="76">
        <v>0.28000000000000003</v>
      </c>
      <c r="X49" s="76">
        <v>0.11</v>
      </c>
      <c r="Y49" s="76">
        <v>0.22</v>
      </c>
      <c r="Z49" s="92">
        <f>0.5*0.022</f>
        <v>1.0999999999999999E-2</v>
      </c>
      <c r="AA49" s="80">
        <v>6.0999999999999999E-2</v>
      </c>
      <c r="AB49" s="80">
        <v>4.3999999999999997E-2</v>
      </c>
      <c r="AC49" s="80">
        <f>0.5*0.096</f>
        <v>4.8000000000000001E-2</v>
      </c>
      <c r="AD49" s="76">
        <v>0.72250000000000014</v>
      </c>
      <c r="AE49" s="17">
        <f t="shared" si="37"/>
        <v>0.72250000000000014</v>
      </c>
      <c r="AF49" s="83">
        <v>3.7569735006973505E-2</v>
      </c>
      <c r="AG49" s="18">
        <f t="shared" si="28"/>
        <v>0.33544406256226339</v>
      </c>
      <c r="AH49" s="96">
        <v>11.81924142967455</v>
      </c>
      <c r="AI49" s="97">
        <f t="shared" si="33"/>
        <v>7.4999999999999997E-2</v>
      </c>
      <c r="AJ49" s="97" t="s">
        <v>158</v>
      </c>
      <c r="AK49" s="97" t="s">
        <v>158</v>
      </c>
      <c r="AL49" s="97">
        <f t="shared" si="34"/>
        <v>0.05</v>
      </c>
      <c r="AM49" s="97">
        <f>0.5*0.1</f>
        <v>0.05</v>
      </c>
      <c r="AN49" s="97">
        <v>0.73437460678250577</v>
      </c>
      <c r="AO49" s="97">
        <v>0.30796650541257242</v>
      </c>
      <c r="AP49" s="16" t="s">
        <v>158</v>
      </c>
      <c r="AQ49" s="97">
        <v>0.78476161660861277</v>
      </c>
      <c r="AR49" s="97">
        <f t="shared" si="35"/>
        <v>0.1</v>
      </c>
      <c r="AS49" s="98">
        <v>2.4288098989675486</v>
      </c>
      <c r="AT49" s="98">
        <v>1.3833482797887044</v>
      </c>
      <c r="AU49" s="98">
        <v>1.0972253232624951</v>
      </c>
      <c r="AV49" s="97">
        <f t="shared" si="36"/>
        <v>7.4999999999999997E-2</v>
      </c>
      <c r="AW49" s="96">
        <f>0.5*0.112</f>
        <v>5.6000000000000001E-2</v>
      </c>
      <c r="AX49" s="96"/>
      <c r="AY49" s="96"/>
      <c r="AZ49" s="96"/>
      <c r="BA49" s="96"/>
      <c r="BB49" s="96"/>
      <c r="BC49" s="5" t="s">
        <v>158</v>
      </c>
      <c r="BD49" s="5" t="s">
        <v>158</v>
      </c>
      <c r="BE49" s="5" t="s">
        <v>158</v>
      </c>
      <c r="BF49" s="5" t="s">
        <v>158</v>
      </c>
      <c r="BG49" s="5" t="s">
        <v>158</v>
      </c>
      <c r="BH49" s="5" t="s">
        <v>158</v>
      </c>
      <c r="BI49" s="5" t="s">
        <v>158</v>
      </c>
      <c r="BJ49" s="5" t="s">
        <v>158</v>
      </c>
      <c r="BK49" s="5" t="s">
        <v>158</v>
      </c>
      <c r="BL49" s="5" t="s">
        <v>158</v>
      </c>
      <c r="BM49" s="5" t="s">
        <v>158</v>
      </c>
      <c r="BN49" s="1">
        <v>75</v>
      </c>
      <c r="BO49" s="64" t="s">
        <v>158</v>
      </c>
      <c r="BP49" s="64" t="s">
        <v>158</v>
      </c>
      <c r="BQ49" s="64" t="s">
        <v>158</v>
      </c>
      <c r="BR49" s="64" t="s">
        <v>158</v>
      </c>
      <c r="BS49" s="64" t="s">
        <v>158</v>
      </c>
      <c r="BT49" s="64" t="s">
        <v>158</v>
      </c>
      <c r="BU49" s="64" t="s">
        <v>158</v>
      </c>
      <c r="BV49" s="64" t="s">
        <v>158</v>
      </c>
      <c r="BW49" s="64" t="s">
        <v>158</v>
      </c>
      <c r="BX49" s="64" t="s">
        <v>158</v>
      </c>
      <c r="BY49" s="64" t="s">
        <v>158</v>
      </c>
      <c r="BZ49" s="64" t="s">
        <v>158</v>
      </c>
      <c r="CA49" s="64" t="s">
        <v>158</v>
      </c>
      <c r="CB49" s="64" t="s">
        <v>158</v>
      </c>
      <c r="CC49" s="64" t="s">
        <v>158</v>
      </c>
      <c r="CD49" s="64" t="s">
        <v>158</v>
      </c>
      <c r="CE49" s="64" t="s">
        <v>158</v>
      </c>
      <c r="CF49" s="64" t="s">
        <v>158</v>
      </c>
      <c r="CG49" s="64" t="s">
        <v>158</v>
      </c>
      <c r="CH49" s="64" t="s">
        <v>158</v>
      </c>
      <c r="CI49" s="64" t="s">
        <v>158</v>
      </c>
      <c r="CJ49" s="64" t="s">
        <v>158</v>
      </c>
      <c r="CK49" s="64" t="s">
        <v>158</v>
      </c>
      <c r="CL49" s="64" t="s">
        <v>158</v>
      </c>
      <c r="CM49" s="64" t="s">
        <v>158</v>
      </c>
      <c r="CN49" s="64" t="s">
        <v>158</v>
      </c>
      <c r="CO49" s="64" t="s">
        <v>158</v>
      </c>
      <c r="CP49" s="64" t="s">
        <v>158</v>
      </c>
      <c r="CQ49" s="64" t="s">
        <v>158</v>
      </c>
      <c r="CR49" s="64" t="s">
        <v>158</v>
      </c>
      <c r="CS49" s="64" t="s">
        <v>158</v>
      </c>
      <c r="CT49" s="64" t="s">
        <v>158</v>
      </c>
      <c r="CU49" s="64" t="s">
        <v>158</v>
      </c>
      <c r="CV49" s="64" t="s">
        <v>158</v>
      </c>
      <c r="CW49" s="64" t="s">
        <v>158</v>
      </c>
      <c r="CX49" s="64" t="s">
        <v>158</v>
      </c>
      <c r="CY49" s="66" t="s">
        <v>158</v>
      </c>
      <c r="CZ49" s="73"/>
    </row>
    <row r="50" spans="1:104" x14ac:dyDescent="0.2">
      <c r="A50" s="106" t="s">
        <v>26</v>
      </c>
      <c r="B50" s="106" t="s">
        <v>26</v>
      </c>
      <c r="C50" s="14" t="s">
        <v>20</v>
      </c>
      <c r="G50" s="28">
        <v>44448</v>
      </c>
      <c r="H50" s="16">
        <v>2021</v>
      </c>
      <c r="I50" s="135" t="s">
        <v>33</v>
      </c>
      <c r="J50" s="135">
        <v>10</v>
      </c>
      <c r="K50" s="141">
        <v>0.6</v>
      </c>
      <c r="L50" s="5" t="s">
        <v>159</v>
      </c>
      <c r="M50" s="91">
        <v>2.0635664729045565E-2</v>
      </c>
      <c r="N50" s="80">
        <v>3.8683667729233075E-2</v>
      </c>
      <c r="O50" s="76">
        <v>0.23139883742733922</v>
      </c>
      <c r="P50" s="76">
        <v>0.25129383086442902</v>
      </c>
      <c r="Q50" s="76">
        <v>0.74805925370335635</v>
      </c>
      <c r="R50" s="76">
        <v>0.6914307144196512</v>
      </c>
      <c r="S50" s="76">
        <v>0.28041440090005626</v>
      </c>
      <c r="T50" s="77">
        <f t="shared" si="25"/>
        <v>2.2619163697731106</v>
      </c>
      <c r="U50" s="17">
        <f t="shared" si="32"/>
        <v>16.755187824239016</v>
      </c>
      <c r="V50" s="80">
        <f>0.5*0.023</f>
        <v>1.15E-2</v>
      </c>
      <c r="W50" s="84">
        <v>1.0999999999999999E-2</v>
      </c>
      <c r="X50" s="82">
        <f>0.5*0.019</f>
        <v>9.4999999999999998E-3</v>
      </c>
      <c r="Y50" s="79">
        <v>8.9331429589990918E-3</v>
      </c>
      <c r="Z50" s="92">
        <f>0.5*0.023</f>
        <v>1.15E-2</v>
      </c>
      <c r="AA50" s="82">
        <f>0.5*0.023</f>
        <v>1.15E-2</v>
      </c>
      <c r="AB50" s="82">
        <f>0.5*0.023</f>
        <v>1.15E-2</v>
      </c>
      <c r="AC50" s="79">
        <v>8.3000000000000004E-2</v>
      </c>
      <c r="AD50" s="80">
        <v>1.9933142958999089E-2</v>
      </c>
      <c r="AE50" s="17">
        <f t="shared" si="37"/>
        <v>6.3933142958999087E-2</v>
      </c>
      <c r="AF50" s="81">
        <f>0.5*0.00469</f>
        <v>2.3449999999999999E-3</v>
      </c>
      <c r="AG50" s="18" t="s">
        <v>158</v>
      </c>
      <c r="AH50" s="98">
        <v>5.1777710567330599</v>
      </c>
      <c r="AI50" s="97">
        <f t="shared" si="33"/>
        <v>7.4999999999999997E-2</v>
      </c>
      <c r="AJ50" s="97" t="s">
        <v>158</v>
      </c>
      <c r="AK50" s="97" t="s">
        <v>158</v>
      </c>
      <c r="AL50" s="97">
        <f t="shared" si="34"/>
        <v>0.05</v>
      </c>
      <c r="AM50" s="97">
        <f>0.5*0.1</f>
        <v>0.05</v>
      </c>
      <c r="AN50" s="97">
        <v>0.39766198857950485</v>
      </c>
      <c r="AO50" s="97">
        <f>0.5*0.15</f>
        <v>7.4999999999999997E-2</v>
      </c>
      <c r="AP50" s="16" t="s">
        <v>158</v>
      </c>
      <c r="AQ50" s="97">
        <v>0.16087103779411474</v>
      </c>
      <c r="AR50" s="97">
        <f t="shared" si="35"/>
        <v>0.1</v>
      </c>
      <c r="AS50" s="97">
        <v>0.84650084409120563</v>
      </c>
      <c r="AT50" s="97">
        <v>0.26578155308461154</v>
      </c>
      <c r="AU50" s="97">
        <f>0.5*0.15</f>
        <v>7.4999999999999997E-2</v>
      </c>
      <c r="AV50" s="97">
        <f t="shared" si="36"/>
        <v>7.4999999999999997E-2</v>
      </c>
      <c r="AW50" s="96">
        <f>0.5*0.112</f>
        <v>5.6000000000000001E-2</v>
      </c>
      <c r="AX50" s="96"/>
      <c r="AY50" s="96"/>
      <c r="AZ50" s="96"/>
      <c r="BA50" s="96"/>
      <c r="BB50" s="96"/>
      <c r="BC50" s="5" t="s">
        <v>158</v>
      </c>
      <c r="BD50" s="5" t="s">
        <v>158</v>
      </c>
      <c r="BE50" s="5" t="s">
        <v>158</v>
      </c>
      <c r="BF50" s="5" t="s">
        <v>158</v>
      </c>
      <c r="BG50" s="5" t="s">
        <v>158</v>
      </c>
      <c r="BH50" s="5" t="s">
        <v>158</v>
      </c>
      <c r="BI50" s="5" t="s">
        <v>158</v>
      </c>
      <c r="BJ50" s="5" t="s">
        <v>158</v>
      </c>
      <c r="BK50" s="5" t="s">
        <v>158</v>
      </c>
      <c r="BL50" s="5" t="s">
        <v>158</v>
      </c>
      <c r="BM50" s="5" t="s">
        <v>158</v>
      </c>
      <c r="BN50" s="1">
        <v>52</v>
      </c>
      <c r="BO50" s="64" t="s">
        <v>158</v>
      </c>
      <c r="BP50" s="64" t="s">
        <v>158</v>
      </c>
      <c r="BQ50" s="64" t="s">
        <v>158</v>
      </c>
      <c r="BR50" s="64" t="s">
        <v>158</v>
      </c>
      <c r="BS50" s="64" t="s">
        <v>158</v>
      </c>
      <c r="BT50" s="64" t="s">
        <v>158</v>
      </c>
      <c r="BU50" s="64" t="s">
        <v>158</v>
      </c>
      <c r="BV50" s="64" t="s">
        <v>158</v>
      </c>
      <c r="BW50" s="64" t="s">
        <v>158</v>
      </c>
      <c r="BX50" s="64" t="s">
        <v>158</v>
      </c>
      <c r="BY50" s="64" t="s">
        <v>158</v>
      </c>
      <c r="BZ50" s="64" t="s">
        <v>158</v>
      </c>
      <c r="CA50" s="64" t="s">
        <v>158</v>
      </c>
      <c r="CB50" s="64" t="s">
        <v>158</v>
      </c>
      <c r="CC50" s="64" t="s">
        <v>158</v>
      </c>
      <c r="CD50" s="64" t="s">
        <v>158</v>
      </c>
      <c r="CE50" s="64" t="s">
        <v>158</v>
      </c>
      <c r="CF50" s="64" t="s">
        <v>158</v>
      </c>
      <c r="CG50" s="64" t="s">
        <v>158</v>
      </c>
      <c r="CH50" s="64" t="s">
        <v>158</v>
      </c>
      <c r="CI50" s="64" t="s">
        <v>158</v>
      </c>
      <c r="CJ50" s="64" t="s">
        <v>158</v>
      </c>
      <c r="CK50" s="64" t="s">
        <v>158</v>
      </c>
      <c r="CL50" s="64" t="s">
        <v>158</v>
      </c>
      <c r="CM50" s="64" t="s">
        <v>158</v>
      </c>
      <c r="CN50" s="64" t="s">
        <v>158</v>
      </c>
      <c r="CO50" s="64" t="s">
        <v>158</v>
      </c>
      <c r="CP50" s="64" t="s">
        <v>158</v>
      </c>
      <c r="CQ50" s="64" t="s">
        <v>158</v>
      </c>
      <c r="CR50" s="64" t="s">
        <v>158</v>
      </c>
      <c r="CS50" s="64" t="s">
        <v>158</v>
      </c>
      <c r="CT50" s="64" t="s">
        <v>158</v>
      </c>
      <c r="CU50" s="64" t="s">
        <v>158</v>
      </c>
      <c r="CV50" s="64" t="s">
        <v>158</v>
      </c>
      <c r="CW50" s="64" t="s">
        <v>158</v>
      </c>
      <c r="CX50" s="64" t="s">
        <v>158</v>
      </c>
      <c r="CY50" s="66" t="s">
        <v>158</v>
      </c>
      <c r="CZ50" s="73"/>
    </row>
    <row r="51" spans="1:104" x14ac:dyDescent="0.2">
      <c r="A51" s="106" t="s">
        <v>81</v>
      </c>
      <c r="B51" s="106" t="s">
        <v>81</v>
      </c>
      <c r="C51" s="14" t="s">
        <v>20</v>
      </c>
      <c r="G51" s="28">
        <v>44439</v>
      </c>
      <c r="H51" s="16">
        <v>2021</v>
      </c>
      <c r="I51" s="135" t="s">
        <v>33</v>
      </c>
      <c r="J51" s="135">
        <v>10</v>
      </c>
      <c r="K51" s="140">
        <v>0.68</v>
      </c>
      <c r="L51" s="5" t="s">
        <v>159</v>
      </c>
      <c r="M51" s="91">
        <v>2.0635664729045565E-2</v>
      </c>
      <c r="N51" s="76">
        <v>0.10932939220395343</v>
      </c>
      <c r="O51" s="76">
        <v>0.51013301311657122</v>
      </c>
      <c r="P51" s="76">
        <v>0.45878440790689079</v>
      </c>
      <c r="Q51" s="77">
        <v>1.085941252540181</v>
      </c>
      <c r="R51" s="77">
        <v>1.0151764271198964</v>
      </c>
      <c r="S51" s="76">
        <v>0.37951228523923886</v>
      </c>
      <c r="T51" s="77">
        <f t="shared" si="25"/>
        <v>3.5795124428557776</v>
      </c>
      <c r="U51" s="17">
        <f t="shared" si="32"/>
        <v>22.946529668741814</v>
      </c>
      <c r="V51" s="82">
        <f>0.5*0.023</f>
        <v>1.15E-2</v>
      </c>
      <c r="W51" s="82">
        <v>9.9000000000000005E-2</v>
      </c>
      <c r="X51" s="79">
        <v>1.7999999999999999E-2</v>
      </c>
      <c r="Y51" s="80">
        <v>8.3684561599219429E-2</v>
      </c>
      <c r="Z51" s="92">
        <f>0.5*0.023</f>
        <v>1.15E-2</v>
      </c>
      <c r="AA51" s="79">
        <v>0.02</v>
      </c>
      <c r="AB51" s="79">
        <v>1.4999999999999999E-2</v>
      </c>
      <c r="AC51" s="80">
        <f>0.5*0.097</f>
        <v>4.8500000000000001E-2</v>
      </c>
      <c r="AD51" s="76">
        <v>0.23568456159921941</v>
      </c>
      <c r="AE51" s="17">
        <f t="shared" si="37"/>
        <v>0.24718456159921939</v>
      </c>
      <c r="AF51" s="81">
        <v>4.8401995196748565E-2</v>
      </c>
      <c r="AG51" s="18">
        <f t="shared" si="28"/>
        <v>0.35589702350550412</v>
      </c>
      <c r="AH51" s="98">
        <v>9.7605786971176816</v>
      </c>
      <c r="AI51" s="97">
        <f t="shared" si="33"/>
        <v>7.4999999999999997E-2</v>
      </c>
      <c r="AJ51" s="97" t="s">
        <v>158</v>
      </c>
      <c r="AK51" s="97" t="s">
        <v>158</v>
      </c>
      <c r="AL51" s="97">
        <f t="shared" si="34"/>
        <v>0.05</v>
      </c>
      <c r="AM51" s="97">
        <f>0.5*0.1</f>
        <v>0.05</v>
      </c>
      <c r="AN51" s="98">
        <v>1.5537340910350843</v>
      </c>
      <c r="AO51" s="98">
        <v>1.4325079960030294</v>
      </c>
      <c r="AP51" s="16" t="s">
        <v>158</v>
      </c>
      <c r="AQ51" s="98">
        <v>1.8769791281527575</v>
      </c>
      <c r="AR51" s="97">
        <v>0.20772673210079659</v>
      </c>
      <c r="AS51" s="98">
        <v>4.7992203181174471</v>
      </c>
      <c r="AT51" s="97">
        <v>0.72341635385927117</v>
      </c>
      <c r="AU51" s="97">
        <v>0.8683205713413904</v>
      </c>
      <c r="AV51" s="97">
        <f t="shared" si="36"/>
        <v>7.4999999999999997E-2</v>
      </c>
      <c r="AW51" s="97">
        <v>0.19653209878070405</v>
      </c>
      <c r="AX51" s="97"/>
      <c r="AY51" s="97"/>
      <c r="AZ51" s="97"/>
      <c r="BA51" s="97"/>
      <c r="BB51" s="97"/>
      <c r="BC51" s="5" t="s">
        <v>158</v>
      </c>
      <c r="BD51" s="5" t="s">
        <v>158</v>
      </c>
      <c r="BE51" s="5" t="s">
        <v>158</v>
      </c>
      <c r="BF51" s="5" t="s">
        <v>158</v>
      </c>
      <c r="BG51" s="5" t="s">
        <v>158</v>
      </c>
      <c r="BH51" s="5" t="s">
        <v>158</v>
      </c>
      <c r="BI51" s="5" t="s">
        <v>158</v>
      </c>
      <c r="BJ51" s="5" t="s">
        <v>158</v>
      </c>
      <c r="BK51" s="5" t="s">
        <v>158</v>
      </c>
      <c r="BL51" s="5" t="s">
        <v>158</v>
      </c>
      <c r="BM51" s="5" t="s">
        <v>158</v>
      </c>
      <c r="BN51" s="1">
        <v>50</v>
      </c>
      <c r="BO51" s="64" t="s">
        <v>158</v>
      </c>
      <c r="BP51" s="64" t="s">
        <v>158</v>
      </c>
      <c r="BQ51" s="64" t="s">
        <v>158</v>
      </c>
      <c r="BR51" s="64" t="s">
        <v>158</v>
      </c>
      <c r="BS51" s="64" t="s">
        <v>158</v>
      </c>
      <c r="BT51" s="64" t="s">
        <v>158</v>
      </c>
      <c r="BU51" s="64" t="s">
        <v>158</v>
      </c>
      <c r="BV51" s="64" t="s">
        <v>158</v>
      </c>
      <c r="BW51" s="64" t="s">
        <v>158</v>
      </c>
      <c r="BX51" s="64" t="s">
        <v>158</v>
      </c>
      <c r="BY51" s="64" t="s">
        <v>158</v>
      </c>
      <c r="BZ51" s="64" t="s">
        <v>158</v>
      </c>
      <c r="CA51" s="64" t="s">
        <v>158</v>
      </c>
      <c r="CB51" s="64" t="s">
        <v>158</v>
      </c>
      <c r="CC51" s="64" t="s">
        <v>158</v>
      </c>
      <c r="CD51" s="64" t="s">
        <v>158</v>
      </c>
      <c r="CE51" s="64" t="s">
        <v>158</v>
      </c>
      <c r="CF51" s="64" t="s">
        <v>158</v>
      </c>
      <c r="CG51" s="64" t="s">
        <v>158</v>
      </c>
      <c r="CH51" s="64" t="s">
        <v>158</v>
      </c>
      <c r="CI51" s="64" t="s">
        <v>158</v>
      </c>
      <c r="CJ51" s="64" t="s">
        <v>158</v>
      </c>
      <c r="CK51" s="64" t="s">
        <v>158</v>
      </c>
      <c r="CL51" s="64" t="s">
        <v>158</v>
      </c>
      <c r="CM51" s="64" t="s">
        <v>158</v>
      </c>
      <c r="CN51" s="64" t="s">
        <v>158</v>
      </c>
      <c r="CO51" s="64" t="s">
        <v>158</v>
      </c>
      <c r="CP51" s="64" t="s">
        <v>158</v>
      </c>
      <c r="CQ51" s="64" t="s">
        <v>158</v>
      </c>
      <c r="CR51" s="64" t="s">
        <v>158</v>
      </c>
      <c r="CS51" s="64" t="s">
        <v>158</v>
      </c>
      <c r="CT51" s="64" t="s">
        <v>158</v>
      </c>
      <c r="CU51" s="64" t="s">
        <v>158</v>
      </c>
      <c r="CV51" s="64" t="s">
        <v>158</v>
      </c>
      <c r="CW51" s="64" t="s">
        <v>158</v>
      </c>
      <c r="CX51" s="64" t="s">
        <v>158</v>
      </c>
      <c r="CY51" s="66" t="s">
        <v>158</v>
      </c>
      <c r="CZ51" s="73"/>
    </row>
    <row r="52" spans="1:104" x14ac:dyDescent="0.2">
      <c r="A52" s="106" t="s">
        <v>8</v>
      </c>
      <c r="B52" s="106" t="s">
        <v>8</v>
      </c>
      <c r="C52" s="14" t="s">
        <v>20</v>
      </c>
      <c r="G52" s="28">
        <v>44462</v>
      </c>
      <c r="H52" s="16">
        <v>2021</v>
      </c>
      <c r="I52" s="135" t="s">
        <v>33</v>
      </c>
      <c r="J52" s="135">
        <v>10</v>
      </c>
      <c r="K52" s="140">
        <v>0.66</v>
      </c>
      <c r="L52" s="5" t="s">
        <v>159</v>
      </c>
      <c r="M52" s="90">
        <f>0.5*0.039</f>
        <v>1.95E-2</v>
      </c>
      <c r="N52" s="80">
        <v>6.8170303975058466E-2</v>
      </c>
      <c r="O52" s="76">
        <v>0.46497466874512861</v>
      </c>
      <c r="P52" s="76">
        <v>0.38012470771628998</v>
      </c>
      <c r="Q52" s="77">
        <v>1.7067712392829308</v>
      </c>
      <c r="R52" s="77">
        <v>1.384937646141855</v>
      </c>
      <c r="S52" s="76">
        <v>0.67939399844115356</v>
      </c>
      <c r="T52" s="77">
        <f t="shared" si="25"/>
        <v>4.7038725643024168</v>
      </c>
      <c r="U52" s="17">
        <f t="shared" si="32"/>
        <v>32.755665580197928</v>
      </c>
      <c r="V52" s="82">
        <f>0.5*0.024</f>
        <v>1.2E-2</v>
      </c>
      <c r="W52" s="82">
        <v>4.4999999999999998E-2</v>
      </c>
      <c r="X52" s="79">
        <v>1.0999999999999999E-2</v>
      </c>
      <c r="Y52" s="82">
        <v>2.4E-2</v>
      </c>
      <c r="Z52" s="92">
        <f>0.5*0.024</f>
        <v>1.2E-2</v>
      </c>
      <c r="AA52" s="79">
        <v>1.2E-2</v>
      </c>
      <c r="AB52" s="79">
        <v>7.4999999999999997E-3</v>
      </c>
      <c r="AC52" s="80">
        <f>0.5*0.089</f>
        <v>4.4499999999999998E-2</v>
      </c>
      <c r="AD52" s="76">
        <v>9.9499999999999977E-2</v>
      </c>
      <c r="AE52" s="17">
        <f t="shared" si="37"/>
        <v>0.11149999999999997</v>
      </c>
      <c r="AF52" s="81">
        <v>1.3250194855806705E-2</v>
      </c>
      <c r="AG52" s="18">
        <f t="shared" si="28"/>
        <v>0.1003802640591417</v>
      </c>
      <c r="AH52" s="96">
        <v>18.378563705309997</v>
      </c>
      <c r="AI52" s="97">
        <f t="shared" si="33"/>
        <v>7.4999999999999997E-2</v>
      </c>
      <c r="AJ52" s="97" t="s">
        <v>158</v>
      </c>
      <c r="AK52" s="97" t="s">
        <v>158</v>
      </c>
      <c r="AL52" s="97">
        <f t="shared" si="34"/>
        <v>0.05</v>
      </c>
      <c r="AM52" s="97">
        <v>0.17546112481523596</v>
      </c>
      <c r="AN52" s="98">
        <v>5.2592321904484436</v>
      </c>
      <c r="AO52" s="97">
        <v>0.81757143231922813</v>
      </c>
      <c r="AP52" s="16" t="s">
        <v>158</v>
      </c>
      <c r="AQ52" s="98">
        <v>1.7791672045909623</v>
      </c>
      <c r="AR52" s="97">
        <f t="shared" ref="AR52:AR60" si="38">0.5*0.2</f>
        <v>0.1</v>
      </c>
      <c r="AS52" s="98">
        <v>2.1471195045711484</v>
      </c>
      <c r="AT52" s="97">
        <v>0.21911138013079098</v>
      </c>
      <c r="AU52" s="97">
        <v>0.26706215321142529</v>
      </c>
      <c r="AV52" s="97">
        <f t="shared" si="36"/>
        <v>7.4999999999999997E-2</v>
      </c>
      <c r="AW52" s="96">
        <f>0.5*0.112</f>
        <v>5.6000000000000001E-2</v>
      </c>
      <c r="AX52" s="96"/>
      <c r="AY52" s="96"/>
      <c r="AZ52" s="96"/>
      <c r="BA52" s="96"/>
      <c r="BB52" s="96"/>
      <c r="BC52" s="5" t="s">
        <v>158</v>
      </c>
      <c r="BD52" s="5" t="s">
        <v>158</v>
      </c>
      <c r="BE52" s="5" t="s">
        <v>158</v>
      </c>
      <c r="BF52" s="5" t="s">
        <v>158</v>
      </c>
      <c r="BG52" s="5" t="s">
        <v>158</v>
      </c>
      <c r="BH52" s="5" t="s">
        <v>158</v>
      </c>
      <c r="BI52" s="5" t="s">
        <v>158</v>
      </c>
      <c r="BJ52" s="5" t="s">
        <v>158</v>
      </c>
      <c r="BK52" s="5" t="s">
        <v>158</v>
      </c>
      <c r="BL52" s="5" t="s">
        <v>158</v>
      </c>
      <c r="BM52" s="5" t="s">
        <v>158</v>
      </c>
      <c r="BN52" s="1">
        <v>83</v>
      </c>
      <c r="BO52" s="64" t="s">
        <v>158</v>
      </c>
      <c r="BP52" s="64" t="s">
        <v>158</v>
      </c>
      <c r="BQ52" s="64" t="s">
        <v>158</v>
      </c>
      <c r="BR52" s="64" t="s">
        <v>158</v>
      </c>
      <c r="BS52" s="64" t="s">
        <v>158</v>
      </c>
      <c r="BT52" s="64" t="s">
        <v>158</v>
      </c>
      <c r="BU52" s="64" t="s">
        <v>158</v>
      </c>
      <c r="BV52" s="64" t="s">
        <v>158</v>
      </c>
      <c r="BW52" s="64" t="s">
        <v>158</v>
      </c>
      <c r="BX52" s="64" t="s">
        <v>158</v>
      </c>
      <c r="BY52" s="64" t="s">
        <v>158</v>
      </c>
      <c r="BZ52" s="64" t="s">
        <v>158</v>
      </c>
      <c r="CA52" s="64" t="s">
        <v>158</v>
      </c>
      <c r="CB52" s="64" t="s">
        <v>158</v>
      </c>
      <c r="CC52" s="64" t="s">
        <v>158</v>
      </c>
      <c r="CD52" s="64" t="s">
        <v>158</v>
      </c>
      <c r="CE52" s="64" t="s">
        <v>158</v>
      </c>
      <c r="CF52" s="64" t="s">
        <v>158</v>
      </c>
      <c r="CG52" s="64" t="s">
        <v>158</v>
      </c>
      <c r="CH52" s="64" t="s">
        <v>158</v>
      </c>
      <c r="CI52" s="64" t="s">
        <v>158</v>
      </c>
      <c r="CJ52" s="64" t="s">
        <v>158</v>
      </c>
      <c r="CK52" s="64" t="s">
        <v>158</v>
      </c>
      <c r="CL52" s="64" t="s">
        <v>158</v>
      </c>
      <c r="CM52" s="64" t="s">
        <v>158</v>
      </c>
      <c r="CN52" s="64" t="s">
        <v>158</v>
      </c>
      <c r="CO52" s="64" t="s">
        <v>158</v>
      </c>
      <c r="CP52" s="64" t="s">
        <v>158</v>
      </c>
      <c r="CQ52" s="64" t="s">
        <v>158</v>
      </c>
      <c r="CR52" s="64" t="s">
        <v>158</v>
      </c>
      <c r="CS52" s="64" t="s">
        <v>158</v>
      </c>
      <c r="CT52" s="64" t="s">
        <v>158</v>
      </c>
      <c r="CU52" s="64" t="s">
        <v>158</v>
      </c>
      <c r="CV52" s="64" t="s">
        <v>158</v>
      </c>
      <c r="CW52" s="64" t="s">
        <v>158</v>
      </c>
      <c r="CX52" s="64" t="s">
        <v>158</v>
      </c>
      <c r="CY52" s="66" t="s">
        <v>158</v>
      </c>
      <c r="CZ52" s="73"/>
    </row>
    <row r="53" spans="1:104" x14ac:dyDescent="0.2">
      <c r="A53" s="106" t="s">
        <v>25</v>
      </c>
      <c r="B53" s="106" t="s">
        <v>25</v>
      </c>
      <c r="C53" s="14" t="s">
        <v>20</v>
      </c>
      <c r="G53" s="28">
        <v>44468</v>
      </c>
      <c r="H53" s="16">
        <v>2021</v>
      </c>
      <c r="I53" s="135" t="s">
        <v>33</v>
      </c>
      <c r="J53" s="135">
        <v>10</v>
      </c>
      <c r="K53" s="140">
        <v>0.79</v>
      </c>
      <c r="L53" s="5" t="s">
        <v>159</v>
      </c>
      <c r="M53" s="90">
        <f>0.5*0.038</f>
        <v>1.9E-2</v>
      </c>
      <c r="N53" s="80">
        <v>7.1106008419441258E-2</v>
      </c>
      <c r="O53" s="76">
        <v>0.58649062380405659</v>
      </c>
      <c r="P53" s="76">
        <v>0.44921546115575967</v>
      </c>
      <c r="Q53" s="77">
        <v>1.9432548794489093</v>
      </c>
      <c r="R53" s="77">
        <v>1.6513298890164561</v>
      </c>
      <c r="S53" s="76">
        <v>0.65186567164179099</v>
      </c>
      <c r="T53" s="77">
        <f t="shared" si="25"/>
        <v>5.3722625334864142</v>
      </c>
      <c r="U53" s="17">
        <f t="shared" si="32"/>
        <v>31.158525774244652</v>
      </c>
      <c r="V53" s="82">
        <f>0.5*0.024</f>
        <v>1.2E-2</v>
      </c>
      <c r="W53" s="82">
        <v>5.5E-2</v>
      </c>
      <c r="X53" s="84">
        <v>1.2999999999999999E-2</v>
      </c>
      <c r="Y53" s="80">
        <v>3.5999999999999997E-2</v>
      </c>
      <c r="Z53" s="92">
        <f>0.5*0.024</f>
        <v>1.2E-2</v>
      </c>
      <c r="AA53" s="79">
        <v>1.4E-2</v>
      </c>
      <c r="AB53" s="79">
        <v>8.2000000000000007E-3</v>
      </c>
      <c r="AC53" s="76">
        <f>0.5*0.1</f>
        <v>0.05</v>
      </c>
      <c r="AD53" s="76">
        <v>0.12620000000000001</v>
      </c>
      <c r="AE53" s="17">
        <f t="shared" si="37"/>
        <v>0.13820000000000002</v>
      </c>
      <c r="AF53" s="81">
        <v>1.6934557979334099E-2</v>
      </c>
      <c r="AG53" s="18">
        <f t="shared" si="28"/>
        <v>0.1071807467046462</v>
      </c>
      <c r="AH53" s="96">
        <v>53.550483038014562</v>
      </c>
      <c r="AI53" s="97">
        <f t="shared" si="33"/>
        <v>7.4999999999999997E-2</v>
      </c>
      <c r="AJ53" s="97" t="s">
        <v>158</v>
      </c>
      <c r="AK53" s="97" t="s">
        <v>158</v>
      </c>
      <c r="AL53" s="97">
        <f t="shared" si="34"/>
        <v>0.05</v>
      </c>
      <c r="AM53" s="97">
        <f>0.5*0.1</f>
        <v>0.05</v>
      </c>
      <c r="AN53" s="98">
        <v>2.1734686005385333</v>
      </c>
      <c r="AO53" s="97">
        <v>0.55321730038434525</v>
      </c>
      <c r="AP53" s="16" t="s">
        <v>158</v>
      </c>
      <c r="AQ53" s="97">
        <v>0.80002732054220238</v>
      </c>
      <c r="AR53" s="97">
        <f t="shared" si="38"/>
        <v>0.1</v>
      </c>
      <c r="AS53" s="97">
        <v>0.89471199679138869</v>
      </c>
      <c r="AT53" s="97">
        <v>0.4157430922076526</v>
      </c>
      <c r="AU53" s="97">
        <v>0.16020400753658412</v>
      </c>
      <c r="AV53" s="97">
        <f t="shared" si="36"/>
        <v>7.4999999999999997E-2</v>
      </c>
      <c r="AW53" s="96">
        <f>0.5*0.112</f>
        <v>5.6000000000000001E-2</v>
      </c>
      <c r="AX53" s="96"/>
      <c r="AY53" s="96"/>
      <c r="AZ53" s="96"/>
      <c r="BA53" s="96"/>
      <c r="BB53" s="96"/>
      <c r="BC53" s="5" t="s">
        <v>158</v>
      </c>
      <c r="BD53" s="5" t="s">
        <v>158</v>
      </c>
      <c r="BE53" s="5" t="s">
        <v>158</v>
      </c>
      <c r="BF53" s="5" t="s">
        <v>158</v>
      </c>
      <c r="BG53" s="5" t="s">
        <v>158</v>
      </c>
      <c r="BH53" s="5" t="s">
        <v>158</v>
      </c>
      <c r="BI53" s="5" t="s">
        <v>158</v>
      </c>
      <c r="BJ53" s="5" t="s">
        <v>158</v>
      </c>
      <c r="BK53" s="5" t="s">
        <v>158</v>
      </c>
      <c r="BL53" s="5" t="s">
        <v>158</v>
      </c>
      <c r="BM53" s="5" t="s">
        <v>158</v>
      </c>
      <c r="BN53" s="1">
        <v>160</v>
      </c>
      <c r="BO53" s="64" t="s">
        <v>158</v>
      </c>
      <c r="BP53" s="64" t="s">
        <v>158</v>
      </c>
      <c r="BQ53" s="64" t="s">
        <v>158</v>
      </c>
      <c r="BR53" s="64" t="s">
        <v>158</v>
      </c>
      <c r="BS53" s="64" t="s">
        <v>158</v>
      </c>
      <c r="BT53" s="64" t="s">
        <v>158</v>
      </c>
      <c r="BU53" s="64" t="s">
        <v>158</v>
      </c>
      <c r="BV53" s="64" t="s">
        <v>158</v>
      </c>
      <c r="BW53" s="64" t="s">
        <v>158</v>
      </c>
      <c r="BX53" s="64" t="s">
        <v>158</v>
      </c>
      <c r="BY53" s="64" t="s">
        <v>158</v>
      </c>
      <c r="BZ53" s="64" t="s">
        <v>158</v>
      </c>
      <c r="CA53" s="64" t="s">
        <v>158</v>
      </c>
      <c r="CB53" s="64" t="s">
        <v>158</v>
      </c>
      <c r="CC53" s="64" t="s">
        <v>158</v>
      </c>
      <c r="CD53" s="64" t="s">
        <v>158</v>
      </c>
      <c r="CE53" s="64" t="s">
        <v>158</v>
      </c>
      <c r="CF53" s="64" t="s">
        <v>158</v>
      </c>
      <c r="CG53" s="64" t="s">
        <v>158</v>
      </c>
      <c r="CH53" s="64" t="s">
        <v>158</v>
      </c>
      <c r="CI53" s="64" t="s">
        <v>158</v>
      </c>
      <c r="CJ53" s="64" t="s">
        <v>158</v>
      </c>
      <c r="CK53" s="64" t="s">
        <v>158</v>
      </c>
      <c r="CL53" s="64" t="s">
        <v>158</v>
      </c>
      <c r="CM53" s="64" t="s">
        <v>158</v>
      </c>
      <c r="CN53" s="64" t="s">
        <v>158</v>
      </c>
      <c r="CO53" s="64" t="s">
        <v>158</v>
      </c>
      <c r="CP53" s="64" t="s">
        <v>158</v>
      </c>
      <c r="CQ53" s="64" t="s">
        <v>158</v>
      </c>
      <c r="CR53" s="64" t="s">
        <v>158</v>
      </c>
      <c r="CS53" s="64" t="s">
        <v>158</v>
      </c>
      <c r="CT53" s="64" t="s">
        <v>158</v>
      </c>
      <c r="CU53" s="64" t="s">
        <v>158</v>
      </c>
      <c r="CV53" s="64" t="s">
        <v>158</v>
      </c>
      <c r="CW53" s="64" t="s">
        <v>158</v>
      </c>
      <c r="CX53" s="64" t="s">
        <v>158</v>
      </c>
      <c r="CY53" s="66" t="s">
        <v>158</v>
      </c>
      <c r="CZ53" s="73"/>
    </row>
    <row r="54" spans="1:104" x14ac:dyDescent="0.2">
      <c r="A54" s="106" t="s">
        <v>112</v>
      </c>
      <c r="B54" s="106" t="s">
        <v>112</v>
      </c>
      <c r="C54" s="14" t="s">
        <v>20</v>
      </c>
      <c r="G54" s="74">
        <v>44469</v>
      </c>
      <c r="H54" s="16">
        <v>2021</v>
      </c>
      <c r="I54" s="135" t="s">
        <v>33</v>
      </c>
      <c r="J54" s="135">
        <v>10</v>
      </c>
      <c r="K54" s="140">
        <v>0.81</v>
      </c>
      <c r="L54" s="5" t="s">
        <v>159</v>
      </c>
      <c r="M54" s="76">
        <v>0.37008076009501201</v>
      </c>
      <c r="N54" s="77">
        <v>1.0141472684085511</v>
      </c>
      <c r="O54" s="77">
        <v>3.1991543942992875</v>
      </c>
      <c r="P54" s="77">
        <v>2.4000570071258909</v>
      </c>
      <c r="Q54" s="77">
        <v>4.9784893111638953</v>
      </c>
      <c r="R54" s="77">
        <v>4.6525035629453679</v>
      </c>
      <c r="S54" s="77">
        <v>1.4676769596199524</v>
      </c>
      <c r="T54" s="78">
        <f t="shared" si="25"/>
        <v>18.082109263657955</v>
      </c>
      <c r="U54" s="17">
        <f t="shared" si="32"/>
        <v>96.802791706988074</v>
      </c>
      <c r="V54" s="82">
        <f>0.5*0.024</f>
        <v>1.2E-2</v>
      </c>
      <c r="W54" s="82">
        <v>6.2E-2</v>
      </c>
      <c r="X54" s="84">
        <v>1.6E-2</v>
      </c>
      <c r="Y54" s="80">
        <v>4.2000000000000003E-2</v>
      </c>
      <c r="Z54" s="92">
        <f>0.5*0.024</f>
        <v>1.2E-2</v>
      </c>
      <c r="AA54" s="79">
        <v>9.7000000000000003E-3</v>
      </c>
      <c r="AB54" s="79">
        <v>8.6999999999999994E-3</v>
      </c>
      <c r="AC54" s="80">
        <f>0.5*0.087</f>
        <v>4.3499999999999997E-2</v>
      </c>
      <c r="AD54" s="76">
        <v>0.13839999999999997</v>
      </c>
      <c r="AE54" s="17">
        <f t="shared" si="37"/>
        <v>0.15039999999999998</v>
      </c>
      <c r="AF54" s="81">
        <v>2.3372921615201898E-2</v>
      </c>
      <c r="AG54" s="18">
        <f t="shared" si="28"/>
        <v>0.14427729392099936</v>
      </c>
      <c r="AH54" s="96">
        <v>14.595285000036753</v>
      </c>
      <c r="AI54" s="97">
        <f t="shared" si="33"/>
        <v>7.4999999999999997E-2</v>
      </c>
      <c r="AJ54" s="97" t="s">
        <v>158</v>
      </c>
      <c r="AK54" s="97" t="s">
        <v>158</v>
      </c>
      <c r="AL54" s="97">
        <f t="shared" si="34"/>
        <v>0.05</v>
      </c>
      <c r="AM54" s="97">
        <f>0.5*0.1</f>
        <v>0.05</v>
      </c>
      <c r="AN54" s="97">
        <v>0.9648351473155965</v>
      </c>
      <c r="AO54" s="97">
        <f>0.5*0.15</f>
        <v>7.4999999999999997E-2</v>
      </c>
      <c r="AP54" s="16" t="s">
        <v>158</v>
      </c>
      <c r="AQ54" s="97">
        <v>0.71601559570550888</v>
      </c>
      <c r="AR54" s="97">
        <f t="shared" si="38"/>
        <v>0.1</v>
      </c>
      <c r="AS54" s="98">
        <v>1.5043430956399599</v>
      </c>
      <c r="AT54" s="97">
        <v>0.35278145607877065</v>
      </c>
      <c r="AU54" s="97">
        <v>0.41062659946702407</v>
      </c>
      <c r="AV54" s="97">
        <f t="shared" si="36"/>
        <v>7.4999999999999997E-2</v>
      </c>
      <c r="AW54" s="97">
        <v>0.18</v>
      </c>
      <c r="AX54" s="97"/>
      <c r="AY54" s="97"/>
      <c r="AZ54" s="97"/>
      <c r="BA54" s="97"/>
      <c r="BB54" s="97"/>
      <c r="BC54" s="5" t="s">
        <v>158</v>
      </c>
      <c r="BD54" s="5" t="s">
        <v>158</v>
      </c>
      <c r="BE54" s="5" t="s">
        <v>158</v>
      </c>
      <c r="BF54" s="5" t="s">
        <v>158</v>
      </c>
      <c r="BG54" s="5" t="s">
        <v>158</v>
      </c>
      <c r="BH54" s="5" t="s">
        <v>158</v>
      </c>
      <c r="BI54" s="5" t="s">
        <v>158</v>
      </c>
      <c r="BJ54" s="5" t="s">
        <v>158</v>
      </c>
      <c r="BK54" s="5" t="s">
        <v>158</v>
      </c>
      <c r="BL54" s="5" t="s">
        <v>158</v>
      </c>
      <c r="BM54" s="5" t="s">
        <v>158</v>
      </c>
      <c r="BN54" s="1">
        <v>150</v>
      </c>
      <c r="BO54" s="64" t="s">
        <v>158</v>
      </c>
      <c r="BP54" s="64" t="s">
        <v>158</v>
      </c>
      <c r="BQ54" s="64" t="s">
        <v>158</v>
      </c>
      <c r="BR54" s="64" t="s">
        <v>158</v>
      </c>
      <c r="BS54" s="64" t="s">
        <v>158</v>
      </c>
      <c r="BT54" s="64" t="s">
        <v>158</v>
      </c>
      <c r="BU54" s="64" t="s">
        <v>158</v>
      </c>
      <c r="BV54" s="64" t="s">
        <v>158</v>
      </c>
      <c r="BW54" s="64" t="s">
        <v>158</v>
      </c>
      <c r="BX54" s="64" t="s">
        <v>158</v>
      </c>
      <c r="BY54" s="64" t="s">
        <v>158</v>
      </c>
      <c r="BZ54" s="64" t="s">
        <v>158</v>
      </c>
      <c r="CA54" s="64" t="s">
        <v>158</v>
      </c>
      <c r="CB54" s="64" t="s">
        <v>158</v>
      </c>
      <c r="CC54" s="64" t="s">
        <v>158</v>
      </c>
      <c r="CD54" s="64" t="s">
        <v>158</v>
      </c>
      <c r="CE54" s="64" t="s">
        <v>158</v>
      </c>
      <c r="CF54" s="64" t="s">
        <v>158</v>
      </c>
      <c r="CG54" s="64" t="s">
        <v>158</v>
      </c>
      <c r="CH54" s="64" t="s">
        <v>158</v>
      </c>
      <c r="CI54" s="64" t="s">
        <v>158</v>
      </c>
      <c r="CJ54" s="64" t="s">
        <v>158</v>
      </c>
      <c r="CK54" s="64" t="s">
        <v>158</v>
      </c>
      <c r="CL54" s="64" t="s">
        <v>158</v>
      </c>
      <c r="CM54" s="64" t="s">
        <v>158</v>
      </c>
      <c r="CN54" s="64" t="s">
        <v>158</v>
      </c>
      <c r="CO54" s="64" t="s">
        <v>158</v>
      </c>
      <c r="CP54" s="64" t="s">
        <v>158</v>
      </c>
      <c r="CQ54" s="64" t="s">
        <v>158</v>
      </c>
      <c r="CR54" s="64" t="s">
        <v>158</v>
      </c>
      <c r="CS54" s="64" t="s">
        <v>158</v>
      </c>
      <c r="CT54" s="64" t="s">
        <v>158</v>
      </c>
      <c r="CU54" s="64" t="s">
        <v>158</v>
      </c>
      <c r="CV54" s="64" t="s">
        <v>158</v>
      </c>
      <c r="CW54" s="64" t="s">
        <v>158</v>
      </c>
      <c r="CX54" s="64" t="s">
        <v>158</v>
      </c>
      <c r="CY54" s="66" t="s">
        <v>158</v>
      </c>
      <c r="CZ54" s="73"/>
    </row>
    <row r="55" spans="1:104" x14ac:dyDescent="0.2">
      <c r="A55" s="106" t="s">
        <v>23</v>
      </c>
      <c r="B55" s="106" t="s">
        <v>23</v>
      </c>
      <c r="C55" s="14" t="s">
        <v>20</v>
      </c>
      <c r="G55" s="74">
        <v>44447</v>
      </c>
      <c r="H55" s="16">
        <v>2021</v>
      </c>
      <c r="I55" s="135" t="s">
        <v>33</v>
      </c>
      <c r="J55" s="135">
        <v>10</v>
      </c>
      <c r="K55" s="140">
        <v>0.72</v>
      </c>
      <c r="L55" s="5" t="s">
        <v>159</v>
      </c>
      <c r="M55" s="76">
        <v>0.16807266009852218</v>
      </c>
      <c r="N55" s="77">
        <v>1.2684113300492612</v>
      </c>
      <c r="O55" s="77">
        <v>6.1183087027914613</v>
      </c>
      <c r="P55" s="77">
        <v>5.1201867816091955</v>
      </c>
      <c r="Q55" s="78">
        <v>12.398983990147784</v>
      </c>
      <c r="R55" s="78">
        <v>11.493257389162562</v>
      </c>
      <c r="S55" s="77">
        <v>4.0024425287356324</v>
      </c>
      <c r="T55" s="78">
        <f t="shared" si="25"/>
        <v>40.56966338259442</v>
      </c>
      <c r="U55" s="17">
        <f t="shared" si="32"/>
        <v>246.17692084017514</v>
      </c>
      <c r="V55" s="82">
        <f>0.5*0.026</f>
        <v>1.2999999999999999E-2</v>
      </c>
      <c r="W55" s="82">
        <v>7.0999999999999994E-2</v>
      </c>
      <c r="X55" s="84">
        <v>1.4999999999999999E-2</v>
      </c>
      <c r="Y55" s="82">
        <v>3.4000000000000002E-2</v>
      </c>
      <c r="Z55" s="92">
        <f>0.5*0.026</f>
        <v>1.2999999999999999E-2</v>
      </c>
      <c r="AA55" s="79">
        <v>1.2E-2</v>
      </c>
      <c r="AB55" s="79">
        <v>1.2E-2</v>
      </c>
      <c r="AC55" s="80">
        <f>0.5*0.094</f>
        <v>4.7E-2</v>
      </c>
      <c r="AD55" s="76">
        <v>0.14400000000000002</v>
      </c>
      <c r="AE55" s="17">
        <f t="shared" si="37"/>
        <v>0.15700000000000003</v>
      </c>
      <c r="AF55" s="80">
        <v>2.0525451559934321E-2</v>
      </c>
      <c r="AG55" s="18">
        <f t="shared" si="28"/>
        <v>0.14253785805509947</v>
      </c>
      <c r="AH55" s="96">
        <v>89.383142303732086</v>
      </c>
      <c r="AI55" s="97">
        <f t="shared" si="33"/>
        <v>7.4999999999999997E-2</v>
      </c>
      <c r="AJ55" s="97" t="s">
        <v>158</v>
      </c>
      <c r="AK55" s="97" t="s">
        <v>158</v>
      </c>
      <c r="AL55" s="97">
        <f t="shared" si="34"/>
        <v>0.05</v>
      </c>
      <c r="AM55" s="97">
        <v>0.10435360318770343</v>
      </c>
      <c r="AN55" s="98">
        <v>2.9659740410781943</v>
      </c>
      <c r="AO55" s="97">
        <v>0.99273532175378953</v>
      </c>
      <c r="AP55" s="16" t="s">
        <v>158</v>
      </c>
      <c r="AQ55" s="97">
        <v>3.278576153484436</v>
      </c>
      <c r="AR55" s="97">
        <f t="shared" si="38"/>
        <v>0.1</v>
      </c>
      <c r="AS55" s="98">
        <v>6.7247678930414283</v>
      </c>
      <c r="AT55" s="98">
        <v>1.8747335048867817</v>
      </c>
      <c r="AU55" s="98">
        <v>3.3278478730847838</v>
      </c>
      <c r="AV55" s="97">
        <f t="shared" si="36"/>
        <v>7.4999999999999997E-2</v>
      </c>
      <c r="AW55" s="96">
        <f>0.5*0.112</f>
        <v>5.6000000000000001E-2</v>
      </c>
      <c r="AX55" s="96"/>
      <c r="AY55" s="96"/>
      <c r="AZ55" s="96"/>
      <c r="BA55" s="96"/>
      <c r="BB55" s="96"/>
      <c r="BC55" s="5" t="s">
        <v>158</v>
      </c>
      <c r="BD55" s="5" t="s">
        <v>158</v>
      </c>
      <c r="BE55" s="5" t="s">
        <v>158</v>
      </c>
      <c r="BF55" s="5" t="s">
        <v>158</v>
      </c>
      <c r="BG55" s="5" t="s">
        <v>158</v>
      </c>
      <c r="BH55" s="5" t="s">
        <v>158</v>
      </c>
      <c r="BI55" s="5" t="s">
        <v>158</v>
      </c>
      <c r="BJ55" s="5" t="s">
        <v>158</v>
      </c>
      <c r="BK55" s="5" t="s">
        <v>158</v>
      </c>
      <c r="BL55" s="5" t="s">
        <v>158</v>
      </c>
      <c r="BM55" s="5" t="s">
        <v>158</v>
      </c>
      <c r="BN55" s="1">
        <v>590</v>
      </c>
      <c r="BO55" s="64" t="s">
        <v>158</v>
      </c>
      <c r="BP55" s="64" t="s">
        <v>158</v>
      </c>
      <c r="BQ55" s="64" t="s">
        <v>158</v>
      </c>
      <c r="BR55" s="64" t="s">
        <v>158</v>
      </c>
      <c r="BS55" s="64" t="s">
        <v>158</v>
      </c>
      <c r="BT55" s="64" t="s">
        <v>158</v>
      </c>
      <c r="BU55" s="64" t="s">
        <v>158</v>
      </c>
      <c r="BV55" s="64" t="s">
        <v>158</v>
      </c>
      <c r="BW55" s="64" t="s">
        <v>158</v>
      </c>
      <c r="BX55" s="64" t="s">
        <v>158</v>
      </c>
      <c r="BY55" s="64" t="s">
        <v>158</v>
      </c>
      <c r="BZ55" s="64" t="s">
        <v>158</v>
      </c>
      <c r="CA55" s="64" t="s">
        <v>158</v>
      </c>
      <c r="CB55" s="64" t="s">
        <v>158</v>
      </c>
      <c r="CC55" s="64" t="s">
        <v>158</v>
      </c>
      <c r="CD55" s="64" t="s">
        <v>158</v>
      </c>
      <c r="CE55" s="64" t="s">
        <v>158</v>
      </c>
      <c r="CF55" s="64" t="s">
        <v>158</v>
      </c>
      <c r="CG55" s="64" t="s">
        <v>158</v>
      </c>
      <c r="CH55" s="64" t="s">
        <v>158</v>
      </c>
      <c r="CI55" s="64" t="s">
        <v>158</v>
      </c>
      <c r="CJ55" s="64" t="s">
        <v>158</v>
      </c>
      <c r="CK55" s="64" t="s">
        <v>158</v>
      </c>
      <c r="CL55" s="64" t="s">
        <v>158</v>
      </c>
      <c r="CM55" s="64" t="s">
        <v>158</v>
      </c>
      <c r="CN55" s="64" t="s">
        <v>158</v>
      </c>
      <c r="CO55" s="64" t="s">
        <v>158</v>
      </c>
      <c r="CP55" s="64" t="s">
        <v>158</v>
      </c>
      <c r="CQ55" s="64" t="s">
        <v>158</v>
      </c>
      <c r="CR55" s="64" t="s">
        <v>158</v>
      </c>
      <c r="CS55" s="64" t="s">
        <v>158</v>
      </c>
      <c r="CT55" s="64" t="s">
        <v>158</v>
      </c>
      <c r="CU55" s="64" t="s">
        <v>158</v>
      </c>
      <c r="CV55" s="64" t="s">
        <v>158</v>
      </c>
      <c r="CW55" s="64" t="s">
        <v>158</v>
      </c>
      <c r="CX55" s="64" t="s">
        <v>158</v>
      </c>
      <c r="CY55" s="66" t="s">
        <v>158</v>
      </c>
      <c r="CZ55" s="73"/>
    </row>
    <row r="56" spans="1:104" x14ac:dyDescent="0.2">
      <c r="A56" s="106" t="s">
        <v>27</v>
      </c>
      <c r="B56" s="106" t="s">
        <v>27</v>
      </c>
      <c r="C56" s="14" t="s">
        <v>20</v>
      </c>
      <c r="G56" s="74">
        <v>44480</v>
      </c>
      <c r="H56" s="16">
        <v>2021</v>
      </c>
      <c r="I56" s="135" t="s">
        <v>33</v>
      </c>
      <c r="J56" s="135">
        <v>10</v>
      </c>
      <c r="K56" s="140">
        <v>0.78</v>
      </c>
      <c r="L56" s="5" t="s">
        <v>159</v>
      </c>
      <c r="M56" s="80">
        <v>6.4667730991817995E-2</v>
      </c>
      <c r="N56" s="76">
        <v>0.23233885452005587</v>
      </c>
      <c r="O56" s="76">
        <v>0.55007982438635006</v>
      </c>
      <c r="P56" s="76">
        <v>0.57785871083616036</v>
      </c>
      <c r="Q56" s="77">
        <v>1.1316703252843743</v>
      </c>
      <c r="R56" s="77">
        <v>0.99814408301736168</v>
      </c>
      <c r="S56" s="76">
        <v>0.32330872081420875</v>
      </c>
      <c r="T56" s="77">
        <f t="shared" si="25"/>
        <v>3.8780682498503292</v>
      </c>
      <c r="U56" s="17">
        <f t="shared" si="32"/>
        <v>21.155189352654926</v>
      </c>
      <c r="V56" s="82">
        <f>0.5*0.025</f>
        <v>1.2500000000000001E-2</v>
      </c>
      <c r="W56" s="80">
        <v>3.7999999999999999E-2</v>
      </c>
      <c r="X56" s="79">
        <v>8.8000000000000005E-3</v>
      </c>
      <c r="Y56" s="80">
        <v>3.4000000000000002E-2</v>
      </c>
      <c r="Z56" s="92">
        <f>0.5*0.025</f>
        <v>1.2500000000000001E-2</v>
      </c>
      <c r="AA56" s="79">
        <v>9.2999999999999992E-3</v>
      </c>
      <c r="AB56" s="79">
        <v>7.7999999999999996E-3</v>
      </c>
      <c r="AC56" s="80">
        <f>0.5*0.092</f>
        <v>4.5999999999999999E-2</v>
      </c>
      <c r="AD56" s="76">
        <v>9.7900000000000015E-2</v>
      </c>
      <c r="AE56" s="17">
        <f t="shared" si="37"/>
        <v>0.11040000000000001</v>
      </c>
      <c r="AF56" s="81">
        <f>0.5*0.004989</f>
        <v>2.4945000000000002E-3</v>
      </c>
      <c r="AG56" s="18" t="s">
        <v>158</v>
      </c>
      <c r="AH56" s="96">
        <v>19.842468523640925</v>
      </c>
      <c r="AI56" s="97">
        <v>0.22641262881234236</v>
      </c>
      <c r="AJ56" s="97" t="s">
        <v>158</v>
      </c>
      <c r="AK56" s="97" t="s">
        <v>158</v>
      </c>
      <c r="AL56" s="97">
        <f t="shared" si="34"/>
        <v>0.05</v>
      </c>
      <c r="AM56" s="97">
        <f>0.5*0.1</f>
        <v>0.05</v>
      </c>
      <c r="AN56" s="97">
        <f>0.5*0.5</f>
        <v>0.25</v>
      </c>
      <c r="AO56" s="97">
        <f>0.5*0.15</f>
        <v>7.4999999999999997E-2</v>
      </c>
      <c r="AP56" s="16" t="s">
        <v>158</v>
      </c>
      <c r="AQ56" s="97">
        <v>0.69689128171697434</v>
      </c>
      <c r="AR56" s="97">
        <f t="shared" si="38"/>
        <v>0.1</v>
      </c>
      <c r="AS56" s="97">
        <v>0.26511430307991918</v>
      </c>
      <c r="AT56" s="97">
        <f>0.5*0.2</f>
        <v>0.1</v>
      </c>
      <c r="AU56" s="97">
        <f>0.5*0.15</f>
        <v>7.4999999999999997E-2</v>
      </c>
      <c r="AV56" s="97">
        <f t="shared" si="36"/>
        <v>7.4999999999999997E-2</v>
      </c>
      <c r="AW56" s="96">
        <f>0.5*0.112</f>
        <v>5.6000000000000001E-2</v>
      </c>
      <c r="AX56" s="96"/>
      <c r="AY56" s="96"/>
      <c r="AZ56" s="96"/>
      <c r="BA56" s="96"/>
      <c r="BB56" s="96"/>
      <c r="BC56" s="5" t="s">
        <v>158</v>
      </c>
      <c r="BD56" s="5" t="s">
        <v>158</v>
      </c>
      <c r="BE56" s="5" t="s">
        <v>158</v>
      </c>
      <c r="BF56" s="5" t="s">
        <v>158</v>
      </c>
      <c r="BG56" s="5" t="s">
        <v>158</v>
      </c>
      <c r="BH56" s="5" t="s">
        <v>158</v>
      </c>
      <c r="BI56" s="5" t="s">
        <v>158</v>
      </c>
      <c r="BJ56" s="5" t="s">
        <v>158</v>
      </c>
      <c r="BK56" s="5" t="s">
        <v>158</v>
      </c>
      <c r="BL56" s="5" t="s">
        <v>158</v>
      </c>
      <c r="BM56" s="5" t="s">
        <v>158</v>
      </c>
      <c r="BN56" s="1">
        <v>89</v>
      </c>
      <c r="BO56" s="64" t="s">
        <v>158</v>
      </c>
      <c r="BP56" s="64" t="s">
        <v>158</v>
      </c>
      <c r="BQ56" s="64" t="s">
        <v>158</v>
      </c>
      <c r="BR56" s="64" t="s">
        <v>158</v>
      </c>
      <c r="BS56" s="64" t="s">
        <v>158</v>
      </c>
      <c r="BT56" s="64" t="s">
        <v>158</v>
      </c>
      <c r="BU56" s="64" t="s">
        <v>158</v>
      </c>
      <c r="BV56" s="64" t="s">
        <v>158</v>
      </c>
      <c r="BW56" s="64" t="s">
        <v>158</v>
      </c>
      <c r="BX56" s="64" t="s">
        <v>158</v>
      </c>
      <c r="BY56" s="64" t="s">
        <v>158</v>
      </c>
      <c r="BZ56" s="64" t="s">
        <v>158</v>
      </c>
      <c r="CA56" s="64" t="s">
        <v>158</v>
      </c>
      <c r="CB56" s="64" t="s">
        <v>158</v>
      </c>
      <c r="CC56" s="64" t="s">
        <v>158</v>
      </c>
      <c r="CD56" s="64" t="s">
        <v>158</v>
      </c>
      <c r="CE56" s="64" t="s">
        <v>158</v>
      </c>
      <c r="CF56" s="64" t="s">
        <v>158</v>
      </c>
      <c r="CG56" s="64" t="s">
        <v>158</v>
      </c>
      <c r="CH56" s="64" t="s">
        <v>158</v>
      </c>
      <c r="CI56" s="64" t="s">
        <v>158</v>
      </c>
      <c r="CJ56" s="64" t="s">
        <v>158</v>
      </c>
      <c r="CK56" s="64" t="s">
        <v>158</v>
      </c>
      <c r="CL56" s="64" t="s">
        <v>158</v>
      </c>
      <c r="CM56" s="64" t="s">
        <v>158</v>
      </c>
      <c r="CN56" s="64" t="s">
        <v>158</v>
      </c>
      <c r="CO56" s="64" t="s">
        <v>158</v>
      </c>
      <c r="CP56" s="64" t="s">
        <v>158</v>
      </c>
      <c r="CQ56" s="64" t="s">
        <v>158</v>
      </c>
      <c r="CR56" s="64" t="s">
        <v>158</v>
      </c>
      <c r="CS56" s="64" t="s">
        <v>158</v>
      </c>
      <c r="CT56" s="64" t="s">
        <v>158</v>
      </c>
      <c r="CU56" s="64" t="s">
        <v>158</v>
      </c>
      <c r="CV56" s="64" t="s">
        <v>158</v>
      </c>
      <c r="CW56" s="64" t="s">
        <v>158</v>
      </c>
      <c r="CX56" s="64" t="s">
        <v>158</v>
      </c>
      <c r="CY56" s="66" t="s">
        <v>158</v>
      </c>
      <c r="CZ56" s="73"/>
    </row>
    <row r="57" spans="1:104" x14ac:dyDescent="0.2">
      <c r="A57" s="106" t="s">
        <v>6</v>
      </c>
      <c r="B57" s="106" t="s">
        <v>132</v>
      </c>
      <c r="C57" s="14" t="s">
        <v>20</v>
      </c>
      <c r="G57" s="74">
        <v>44435</v>
      </c>
      <c r="H57" s="16">
        <v>2021</v>
      </c>
      <c r="I57" s="135" t="s">
        <v>33</v>
      </c>
      <c r="J57" s="135">
        <v>10</v>
      </c>
      <c r="K57" s="140">
        <v>0.77</v>
      </c>
      <c r="L57" s="5" t="s">
        <v>159</v>
      </c>
      <c r="M57" s="79">
        <v>2.7494766224703416E-2</v>
      </c>
      <c r="N57" s="76">
        <v>0.20184428272355698</v>
      </c>
      <c r="O57" s="77">
        <v>1.0788356096102083</v>
      </c>
      <c r="P57" s="76">
        <v>0.93971687767919443</v>
      </c>
      <c r="Q57" s="77">
        <v>2.7371548200578206</v>
      </c>
      <c r="R57" s="77">
        <v>2.2223008673113345</v>
      </c>
      <c r="S57" s="76">
        <v>0.89186521782474337</v>
      </c>
      <c r="T57" s="77">
        <f t="shared" si="25"/>
        <v>8.0992124414315629</v>
      </c>
      <c r="U57" s="17">
        <f t="shared" si="32"/>
        <v>46.490230933456928</v>
      </c>
      <c r="V57" s="82">
        <f>0.5*0.025</f>
        <v>1.2500000000000001E-2</v>
      </c>
      <c r="W57" s="76">
        <v>0.1</v>
      </c>
      <c r="X57" s="80">
        <v>2.1999999999999999E-2</v>
      </c>
      <c r="Y57" s="80">
        <v>6.8000000000000005E-2</v>
      </c>
      <c r="Z57" s="92">
        <f>0.5*0.025</f>
        <v>1.2500000000000001E-2</v>
      </c>
      <c r="AA57" s="79">
        <v>1.9E-2</v>
      </c>
      <c r="AB57" s="79">
        <v>1.2999999999999999E-2</v>
      </c>
      <c r="AC57" s="80">
        <f>0.5*0.097</f>
        <v>4.8500000000000001E-2</v>
      </c>
      <c r="AD57" s="76">
        <v>0.222</v>
      </c>
      <c r="AE57" s="17">
        <f t="shared" si="37"/>
        <v>0.23449999999999999</v>
      </c>
      <c r="AF57" s="81">
        <v>2.213139268268368E-2</v>
      </c>
      <c r="AG57" s="18">
        <f t="shared" si="28"/>
        <v>0.14371034209534858</v>
      </c>
      <c r="AH57" s="98">
        <v>8.9967972601242625</v>
      </c>
      <c r="AI57" s="97">
        <f>0.5*0.15</f>
        <v>7.4999999999999997E-2</v>
      </c>
      <c r="AJ57" s="97" t="s">
        <v>158</v>
      </c>
      <c r="AK57" s="97" t="s">
        <v>158</v>
      </c>
      <c r="AL57" s="97">
        <f t="shared" si="34"/>
        <v>0.05</v>
      </c>
      <c r="AM57" s="97">
        <f>0.5*0.1</f>
        <v>0.05</v>
      </c>
      <c r="AN57" s="98">
        <v>1.7456987752757778</v>
      </c>
      <c r="AO57" s="97">
        <f>0.5*0.15</f>
        <v>7.4999999999999997E-2</v>
      </c>
      <c r="AP57" s="16" t="s">
        <v>158</v>
      </c>
      <c r="AQ57" s="97">
        <v>0.35805761924028495</v>
      </c>
      <c r="AR57" s="97">
        <f t="shared" si="38"/>
        <v>0.1</v>
      </c>
      <c r="AS57" s="97">
        <v>0.40433534818721278</v>
      </c>
      <c r="AT57" s="97">
        <f>0.5*0.2</f>
        <v>0.1</v>
      </c>
      <c r="AU57" s="97">
        <f>0.5*0.15</f>
        <v>7.4999999999999997E-2</v>
      </c>
      <c r="AV57" s="97">
        <f t="shared" si="36"/>
        <v>7.4999999999999997E-2</v>
      </c>
      <c r="AW57" s="97">
        <v>0.25775083361236673</v>
      </c>
      <c r="AX57" s="97"/>
      <c r="AY57" s="97"/>
      <c r="AZ57" s="97"/>
      <c r="BA57" s="97"/>
      <c r="BB57" s="97"/>
      <c r="BC57" s="5" t="s">
        <v>158</v>
      </c>
      <c r="BD57" s="5" t="s">
        <v>158</v>
      </c>
      <c r="BE57" s="5" t="s">
        <v>158</v>
      </c>
      <c r="BF57" s="5" t="s">
        <v>158</v>
      </c>
      <c r="BG57" s="5" t="s">
        <v>158</v>
      </c>
      <c r="BH57" s="5" t="s">
        <v>158</v>
      </c>
      <c r="BI57" s="5" t="s">
        <v>158</v>
      </c>
      <c r="BJ57" s="5" t="s">
        <v>158</v>
      </c>
      <c r="BK57" s="5" t="s">
        <v>158</v>
      </c>
      <c r="BL57" s="5" t="s">
        <v>158</v>
      </c>
      <c r="BM57" s="5" t="s">
        <v>158</v>
      </c>
      <c r="BN57" s="1">
        <v>37</v>
      </c>
      <c r="BO57" s="64" t="s">
        <v>158</v>
      </c>
      <c r="BP57" s="64" t="s">
        <v>158</v>
      </c>
      <c r="BQ57" s="64" t="s">
        <v>158</v>
      </c>
      <c r="BR57" s="64" t="s">
        <v>158</v>
      </c>
      <c r="BS57" s="64" t="s">
        <v>158</v>
      </c>
      <c r="BT57" s="64" t="s">
        <v>158</v>
      </c>
      <c r="BU57" s="64" t="s">
        <v>158</v>
      </c>
      <c r="BV57" s="64" t="s">
        <v>158</v>
      </c>
      <c r="BW57" s="64" t="s">
        <v>158</v>
      </c>
      <c r="BX57" s="64" t="s">
        <v>158</v>
      </c>
      <c r="BY57" s="64" t="s">
        <v>158</v>
      </c>
      <c r="BZ57" s="64" t="s">
        <v>158</v>
      </c>
      <c r="CA57" s="64" t="s">
        <v>158</v>
      </c>
      <c r="CB57" s="64" t="s">
        <v>158</v>
      </c>
      <c r="CC57" s="64" t="s">
        <v>158</v>
      </c>
      <c r="CD57" s="64" t="s">
        <v>158</v>
      </c>
      <c r="CE57" s="64" t="s">
        <v>158</v>
      </c>
      <c r="CF57" s="64" t="s">
        <v>158</v>
      </c>
      <c r="CG57" s="64" t="s">
        <v>158</v>
      </c>
      <c r="CH57" s="64" t="s">
        <v>158</v>
      </c>
      <c r="CI57" s="64" t="s">
        <v>158</v>
      </c>
      <c r="CJ57" s="64" t="s">
        <v>158</v>
      </c>
      <c r="CK57" s="64" t="s">
        <v>158</v>
      </c>
      <c r="CL57" s="64" t="s">
        <v>158</v>
      </c>
      <c r="CM57" s="64" t="s">
        <v>158</v>
      </c>
      <c r="CN57" s="64" t="s">
        <v>158</v>
      </c>
      <c r="CO57" s="64" t="s">
        <v>158</v>
      </c>
      <c r="CP57" s="64" t="s">
        <v>158</v>
      </c>
      <c r="CQ57" s="64" t="s">
        <v>158</v>
      </c>
      <c r="CR57" s="64" t="s">
        <v>158</v>
      </c>
      <c r="CS57" s="64" t="s">
        <v>158</v>
      </c>
      <c r="CT57" s="64" t="s">
        <v>158</v>
      </c>
      <c r="CU57" s="64" t="s">
        <v>158</v>
      </c>
      <c r="CV57" s="64" t="s">
        <v>158</v>
      </c>
      <c r="CW57" s="64" t="s">
        <v>158</v>
      </c>
      <c r="CX57" s="64" t="s">
        <v>158</v>
      </c>
      <c r="CY57" s="66" t="s">
        <v>158</v>
      </c>
      <c r="CZ57" s="73"/>
    </row>
    <row r="58" spans="1:104" x14ac:dyDescent="0.2">
      <c r="A58" s="106" t="s">
        <v>30</v>
      </c>
      <c r="B58" s="106" t="s">
        <v>30</v>
      </c>
      <c r="C58" s="14" t="s">
        <v>20</v>
      </c>
      <c r="G58" s="74">
        <v>44480</v>
      </c>
      <c r="H58" s="16">
        <v>2021</v>
      </c>
      <c r="I58" s="135" t="s">
        <v>33</v>
      </c>
      <c r="J58" s="135">
        <v>10</v>
      </c>
      <c r="K58" s="141">
        <v>0.9</v>
      </c>
      <c r="L58" s="5" t="s">
        <v>159</v>
      </c>
      <c r="M58" s="80">
        <v>5.7567093977681456E-2</v>
      </c>
      <c r="N58" s="76">
        <v>0.41581204463709309</v>
      </c>
      <c r="O58" s="77">
        <v>1.7456239048233884</v>
      </c>
      <c r="P58" s="77">
        <v>1.548621230286821</v>
      </c>
      <c r="Q58" s="77">
        <v>3.3733330259153371</v>
      </c>
      <c r="R58" s="77">
        <v>2.950700913031449</v>
      </c>
      <c r="S58" s="76">
        <v>0.92762150696301759</v>
      </c>
      <c r="T58" s="78">
        <f t="shared" si="25"/>
        <v>11.019279719634788</v>
      </c>
      <c r="U58" s="17">
        <f t="shared" si="32"/>
        <v>52.614769385266477</v>
      </c>
      <c r="V58" s="80">
        <f>0.5*0.023</f>
        <v>1.15E-2</v>
      </c>
      <c r="W58" s="80">
        <v>6.3E-2</v>
      </c>
      <c r="X58" s="84">
        <v>1.4999999999999999E-2</v>
      </c>
      <c r="Y58" s="80">
        <v>3.7999999999999999E-2</v>
      </c>
      <c r="Z58" s="83">
        <f>0.5*0.023</f>
        <v>1.15E-2</v>
      </c>
      <c r="AA58" s="79">
        <v>1.2E-2</v>
      </c>
      <c r="AB58" s="79">
        <v>0.01</v>
      </c>
      <c r="AC58" s="80">
        <f>0.5*0.096</f>
        <v>4.8000000000000001E-2</v>
      </c>
      <c r="AD58" s="76">
        <v>0.13800000000000001</v>
      </c>
      <c r="AE58" s="17">
        <f t="shared" si="37"/>
        <v>0.14950000000000002</v>
      </c>
      <c r="AF58" s="81">
        <v>2.0381813151341882E-2</v>
      </c>
      <c r="AG58" s="18">
        <f t="shared" si="28"/>
        <v>0.11323229528523267</v>
      </c>
      <c r="AH58" s="96">
        <v>29.001725415787913</v>
      </c>
      <c r="AI58" s="97">
        <f>0.5*0.15</f>
        <v>7.4999999999999997E-2</v>
      </c>
      <c r="AJ58" s="97" t="s">
        <v>158</v>
      </c>
      <c r="AK58" s="97" t="s">
        <v>158</v>
      </c>
      <c r="AL58" s="97">
        <f t="shared" si="34"/>
        <v>0.05</v>
      </c>
      <c r="AM58" s="97">
        <v>0.1098294067044067</v>
      </c>
      <c r="AN58" s="97">
        <v>3.0447726463351463</v>
      </c>
      <c r="AO58" s="97">
        <v>0.62757815101565095</v>
      </c>
      <c r="AP58" s="16" t="s">
        <v>158</v>
      </c>
      <c r="AQ58" s="98">
        <v>1.7689425736300735</v>
      </c>
      <c r="AR58" s="97">
        <f t="shared" si="38"/>
        <v>0.1</v>
      </c>
      <c r="AS58" s="98">
        <v>2.2795847092722092</v>
      </c>
      <c r="AT58" s="97">
        <v>0.28921743765493763</v>
      </c>
      <c r="AU58" s="97">
        <v>0.38504897879897881</v>
      </c>
      <c r="AV58" s="97">
        <f t="shared" si="36"/>
        <v>7.4999999999999997E-2</v>
      </c>
      <c r="AW58" s="96">
        <f>0.5*0.112</f>
        <v>5.6000000000000001E-2</v>
      </c>
      <c r="AX58" s="96"/>
      <c r="AY58" s="96"/>
      <c r="AZ58" s="96"/>
      <c r="BA58" s="96"/>
      <c r="BB58" s="96"/>
      <c r="BC58" s="5" t="s">
        <v>158</v>
      </c>
      <c r="BD58" s="5" t="s">
        <v>158</v>
      </c>
      <c r="BE58" s="5" t="s">
        <v>158</v>
      </c>
      <c r="BF58" s="5" t="s">
        <v>158</v>
      </c>
      <c r="BG58" s="5" t="s">
        <v>158</v>
      </c>
      <c r="BH58" s="5" t="s">
        <v>158</v>
      </c>
      <c r="BI58" s="5" t="s">
        <v>158</v>
      </c>
      <c r="BJ58" s="5" t="s">
        <v>158</v>
      </c>
      <c r="BK58" s="5" t="s">
        <v>158</v>
      </c>
      <c r="BL58" s="5" t="s">
        <v>158</v>
      </c>
      <c r="BM58" s="5" t="s">
        <v>158</v>
      </c>
      <c r="BN58" s="1">
        <v>64</v>
      </c>
      <c r="BO58" s="64" t="s">
        <v>158</v>
      </c>
      <c r="BP58" s="64" t="s">
        <v>158</v>
      </c>
      <c r="BQ58" s="64" t="s">
        <v>158</v>
      </c>
      <c r="BR58" s="64" t="s">
        <v>158</v>
      </c>
      <c r="BS58" s="64" t="s">
        <v>158</v>
      </c>
      <c r="BT58" s="64" t="s">
        <v>158</v>
      </c>
      <c r="BU58" s="64" t="s">
        <v>158</v>
      </c>
      <c r="BV58" s="64" t="s">
        <v>158</v>
      </c>
      <c r="BW58" s="64" t="s">
        <v>158</v>
      </c>
      <c r="BX58" s="64" t="s">
        <v>158</v>
      </c>
      <c r="BY58" s="64" t="s">
        <v>158</v>
      </c>
      <c r="BZ58" s="64" t="s">
        <v>158</v>
      </c>
      <c r="CA58" s="64" t="s">
        <v>158</v>
      </c>
      <c r="CB58" s="64" t="s">
        <v>158</v>
      </c>
      <c r="CC58" s="64" t="s">
        <v>158</v>
      </c>
      <c r="CD58" s="64" t="s">
        <v>158</v>
      </c>
      <c r="CE58" s="64" t="s">
        <v>158</v>
      </c>
      <c r="CF58" s="64" t="s">
        <v>158</v>
      </c>
      <c r="CG58" s="64" t="s">
        <v>158</v>
      </c>
      <c r="CH58" s="64" t="s">
        <v>158</v>
      </c>
      <c r="CI58" s="64" t="s">
        <v>158</v>
      </c>
      <c r="CJ58" s="64" t="s">
        <v>158</v>
      </c>
      <c r="CK58" s="64" t="s">
        <v>158</v>
      </c>
      <c r="CL58" s="64" t="s">
        <v>158</v>
      </c>
      <c r="CM58" s="64" t="s">
        <v>158</v>
      </c>
      <c r="CN58" s="64" t="s">
        <v>158</v>
      </c>
      <c r="CO58" s="64" t="s">
        <v>158</v>
      </c>
      <c r="CP58" s="64" t="s">
        <v>158</v>
      </c>
      <c r="CQ58" s="64" t="s">
        <v>158</v>
      </c>
      <c r="CR58" s="64" t="s">
        <v>158</v>
      </c>
      <c r="CS58" s="64" t="s">
        <v>158</v>
      </c>
      <c r="CT58" s="64" t="s">
        <v>158</v>
      </c>
      <c r="CU58" s="64" t="s">
        <v>158</v>
      </c>
      <c r="CV58" s="64" t="s">
        <v>158</v>
      </c>
      <c r="CW58" s="64" t="s">
        <v>158</v>
      </c>
      <c r="CX58" s="64" t="s">
        <v>158</v>
      </c>
      <c r="CY58" s="66" t="s">
        <v>158</v>
      </c>
      <c r="CZ58" s="73"/>
    </row>
    <row r="59" spans="1:104" x14ac:dyDescent="0.2">
      <c r="A59" s="106" t="s">
        <v>21</v>
      </c>
      <c r="B59" s="106" t="s">
        <v>21</v>
      </c>
      <c r="C59" s="14" t="s">
        <v>20</v>
      </c>
      <c r="G59" s="28">
        <v>44441</v>
      </c>
      <c r="H59" s="16">
        <v>2021</v>
      </c>
      <c r="I59" s="135" t="s">
        <v>33</v>
      </c>
      <c r="J59" s="135">
        <v>10</v>
      </c>
      <c r="K59" s="140">
        <v>0.69</v>
      </c>
      <c r="L59" s="5" t="s">
        <v>159</v>
      </c>
      <c r="M59" s="80">
        <f>0.5*0.038</f>
        <v>1.9E-2</v>
      </c>
      <c r="N59" s="80">
        <v>6.0800913155141252E-2</v>
      </c>
      <c r="O59" s="76">
        <v>0.79586226576619423</v>
      </c>
      <c r="P59" s="76">
        <v>0.78854751260344325</v>
      </c>
      <c r="Q59" s="77">
        <v>4.4577570626842959</v>
      </c>
      <c r="R59" s="77">
        <v>3.7758013887567774</v>
      </c>
      <c r="S59" s="77">
        <v>1.7199467326167603</v>
      </c>
      <c r="T59" s="78">
        <f t="shared" si="25"/>
        <v>11.617715875582613</v>
      </c>
      <c r="U59" s="17">
        <f t="shared" si="32"/>
        <v>78.472234514341807</v>
      </c>
      <c r="V59" s="82">
        <f>0.5*0.024</f>
        <v>1.2E-2</v>
      </c>
      <c r="W59" s="76">
        <v>0.13</v>
      </c>
      <c r="X59" s="80">
        <v>4.2000000000000003E-2</v>
      </c>
      <c r="Y59" s="80">
        <v>9.2999999999999999E-2</v>
      </c>
      <c r="Z59" s="83">
        <f>0.5*0.024</f>
        <v>1.2E-2</v>
      </c>
      <c r="AA59" s="80">
        <v>4.2999999999999997E-2</v>
      </c>
      <c r="AB59" s="80">
        <v>2.5000000000000001E-2</v>
      </c>
      <c r="AC59" s="80">
        <f>0.5*0.095</f>
        <v>4.7500000000000001E-2</v>
      </c>
      <c r="AD59" s="76">
        <v>0.33300000000000002</v>
      </c>
      <c r="AE59" s="17">
        <f t="shared" si="37"/>
        <v>0.34500000000000003</v>
      </c>
      <c r="AF59" s="85">
        <v>1.5409493008655951E-2</v>
      </c>
      <c r="AG59" s="18">
        <f t="shared" si="28"/>
        <v>0.11166299281634748</v>
      </c>
      <c r="AH59" s="96">
        <v>24.592638662346452</v>
      </c>
      <c r="AI59" s="97">
        <f>0.5*0.15</f>
        <v>7.4999999999999997E-2</v>
      </c>
      <c r="AJ59" s="97" t="s">
        <v>158</v>
      </c>
      <c r="AK59" s="97" t="s">
        <v>158</v>
      </c>
      <c r="AL59" s="97">
        <f t="shared" si="34"/>
        <v>0.05</v>
      </c>
      <c r="AM59" s="97">
        <f>0.5*0.1</f>
        <v>0.05</v>
      </c>
      <c r="AN59" s="98">
        <v>1.2511164105765862</v>
      </c>
      <c r="AO59" s="97">
        <v>0.70566506769182502</v>
      </c>
      <c r="AP59" s="16" t="s">
        <v>158</v>
      </c>
      <c r="AQ59" s="97">
        <v>0.50656524180661899</v>
      </c>
      <c r="AR59" s="97">
        <f t="shared" si="38"/>
        <v>0.1</v>
      </c>
      <c r="AS59" s="97">
        <v>0.76677713432375694</v>
      </c>
      <c r="AT59" s="97">
        <f>0.5*0.2</f>
        <v>0.1</v>
      </c>
      <c r="AU59" s="97">
        <f>0.5*0.15</f>
        <v>7.4999999999999997E-2</v>
      </c>
      <c r="AV59" s="97">
        <f t="shared" si="36"/>
        <v>7.4999999999999997E-2</v>
      </c>
      <c r="AW59" s="97">
        <v>0.17582793254065004</v>
      </c>
      <c r="AX59" s="97"/>
      <c r="AY59" s="97"/>
      <c r="AZ59" s="97"/>
      <c r="BA59" s="97"/>
      <c r="BB59" s="97"/>
      <c r="BC59" s="5" t="s">
        <v>158</v>
      </c>
      <c r="BD59" s="5" t="s">
        <v>158</v>
      </c>
      <c r="BE59" s="5" t="s">
        <v>158</v>
      </c>
      <c r="BF59" s="5" t="s">
        <v>158</v>
      </c>
      <c r="BG59" s="5" t="s">
        <v>158</v>
      </c>
      <c r="BH59" s="5" t="s">
        <v>158</v>
      </c>
      <c r="BI59" s="5" t="s">
        <v>158</v>
      </c>
      <c r="BJ59" s="5" t="s">
        <v>158</v>
      </c>
      <c r="BK59" s="5" t="s">
        <v>158</v>
      </c>
      <c r="BL59" s="5" t="s">
        <v>158</v>
      </c>
      <c r="BM59" s="5" t="s">
        <v>158</v>
      </c>
      <c r="BN59" s="1">
        <v>56</v>
      </c>
      <c r="BO59" s="64" t="s">
        <v>158</v>
      </c>
      <c r="BP59" s="64" t="s">
        <v>158</v>
      </c>
      <c r="BQ59" s="64" t="s">
        <v>158</v>
      </c>
      <c r="BR59" s="64" t="s">
        <v>158</v>
      </c>
      <c r="BS59" s="64" t="s">
        <v>158</v>
      </c>
      <c r="BT59" s="64" t="s">
        <v>158</v>
      </c>
      <c r="BU59" s="64" t="s">
        <v>158</v>
      </c>
      <c r="BV59" s="64" t="s">
        <v>158</v>
      </c>
      <c r="BW59" s="64" t="s">
        <v>158</v>
      </c>
      <c r="BX59" s="64" t="s">
        <v>158</v>
      </c>
      <c r="BY59" s="64" t="s">
        <v>158</v>
      </c>
      <c r="BZ59" s="64" t="s">
        <v>158</v>
      </c>
      <c r="CA59" s="64" t="s">
        <v>158</v>
      </c>
      <c r="CB59" s="64" t="s">
        <v>158</v>
      </c>
      <c r="CC59" s="64" t="s">
        <v>158</v>
      </c>
      <c r="CD59" s="64" t="s">
        <v>158</v>
      </c>
      <c r="CE59" s="64" t="s">
        <v>158</v>
      </c>
      <c r="CF59" s="64" t="s">
        <v>158</v>
      </c>
      <c r="CG59" s="64" t="s">
        <v>158</v>
      </c>
      <c r="CH59" s="64" t="s">
        <v>158</v>
      </c>
      <c r="CI59" s="64" t="s">
        <v>158</v>
      </c>
      <c r="CJ59" s="64" t="s">
        <v>158</v>
      </c>
      <c r="CK59" s="64" t="s">
        <v>158</v>
      </c>
      <c r="CL59" s="64" t="s">
        <v>158</v>
      </c>
      <c r="CM59" s="64" t="s">
        <v>158</v>
      </c>
      <c r="CN59" s="64" t="s">
        <v>158</v>
      </c>
      <c r="CO59" s="64" t="s">
        <v>158</v>
      </c>
      <c r="CP59" s="64" t="s">
        <v>158</v>
      </c>
      <c r="CQ59" s="64" t="s">
        <v>158</v>
      </c>
      <c r="CR59" s="64" t="s">
        <v>158</v>
      </c>
      <c r="CS59" s="64" t="s">
        <v>158</v>
      </c>
      <c r="CT59" s="64" t="s">
        <v>158</v>
      </c>
      <c r="CU59" s="64" t="s">
        <v>158</v>
      </c>
      <c r="CV59" s="64" t="s">
        <v>158</v>
      </c>
      <c r="CW59" s="64" t="s">
        <v>158</v>
      </c>
      <c r="CX59" s="64" t="s">
        <v>158</v>
      </c>
      <c r="CY59" s="66" t="s">
        <v>158</v>
      </c>
      <c r="CZ59" s="73"/>
    </row>
    <row r="60" spans="1:104" x14ac:dyDescent="0.2">
      <c r="A60" s="106" t="s">
        <v>22</v>
      </c>
      <c r="B60" s="106" t="s">
        <v>22</v>
      </c>
      <c r="C60" s="14" t="s">
        <v>20</v>
      </c>
      <c r="G60" s="28">
        <v>44483</v>
      </c>
      <c r="H60" s="16">
        <v>2021</v>
      </c>
      <c r="I60" s="135" t="s">
        <v>33</v>
      </c>
      <c r="J60" s="135">
        <v>10</v>
      </c>
      <c r="K60" s="140">
        <v>0.79</v>
      </c>
      <c r="L60" s="5" t="s">
        <v>159</v>
      </c>
      <c r="M60" s="97">
        <v>0.86932926228700869</v>
      </c>
      <c r="N60" s="98">
        <v>2.1528809218950062</v>
      </c>
      <c r="O60" s="98">
        <v>6.0998719590268884</v>
      </c>
      <c r="P60" s="98">
        <v>4.7044321875307791</v>
      </c>
      <c r="Q60" s="96">
        <v>12.175032010243278</v>
      </c>
      <c r="R60" s="96">
        <v>10.840441248891953</v>
      </c>
      <c r="S60" s="98">
        <v>3.9812764700088641</v>
      </c>
      <c r="T60" s="78">
        <f>SUM(M60:S60)</f>
        <v>40.823264059883783</v>
      </c>
      <c r="U60" s="17">
        <f t="shared" si="32"/>
        <v>228.60020172375314</v>
      </c>
      <c r="V60" s="82">
        <f>0.5*0.025</f>
        <v>1.2500000000000001E-2</v>
      </c>
      <c r="W60" s="76">
        <v>0.65</v>
      </c>
      <c r="X60" s="76">
        <v>0.19</v>
      </c>
      <c r="Y60" s="76">
        <v>0.75</v>
      </c>
      <c r="Z60" s="92">
        <f>0.5*0.025</f>
        <v>1.2500000000000001E-2</v>
      </c>
      <c r="AA60" s="80">
        <v>7.0000000000000007E-2</v>
      </c>
      <c r="AB60" s="80">
        <v>7.5999999999999998E-2</v>
      </c>
      <c r="AC60" s="97">
        <f>0.5*0.1</f>
        <v>0.05</v>
      </c>
      <c r="AD60" s="98">
        <v>1.7360000000000002</v>
      </c>
      <c r="AE60" s="17">
        <f t="shared" si="37"/>
        <v>1.7485000000000002</v>
      </c>
      <c r="AF60" s="93">
        <f>0.5*0.00492</f>
        <v>2.4599999999999999E-3</v>
      </c>
      <c r="AG60" s="18" t="s">
        <v>158</v>
      </c>
      <c r="AH60" s="96">
        <v>16.159588361583342</v>
      </c>
      <c r="AI60" s="97">
        <f>0.5*0.15</f>
        <v>7.4999999999999997E-2</v>
      </c>
      <c r="AJ60" s="97" t="s">
        <v>158</v>
      </c>
      <c r="AK60" s="97" t="s">
        <v>158</v>
      </c>
      <c r="AL60" s="97">
        <f t="shared" si="34"/>
        <v>0.05</v>
      </c>
      <c r="AM60" s="97">
        <f>0.5*0.1</f>
        <v>0.05</v>
      </c>
      <c r="AN60" s="97">
        <f>0.5*0.5</f>
        <v>0.25</v>
      </c>
      <c r="AO60" s="97">
        <f>0.5*0.15</f>
        <v>7.4999999999999997E-2</v>
      </c>
      <c r="AP60" s="16" t="s">
        <v>158</v>
      </c>
      <c r="AQ60" s="97">
        <v>0.40502219361521219</v>
      </c>
      <c r="AR60" s="97">
        <f t="shared" si="38"/>
        <v>0.1</v>
      </c>
      <c r="AS60" s="98">
        <v>2.2059365109833307</v>
      </c>
      <c r="AT60" s="97">
        <v>0.37097384730440375</v>
      </c>
      <c r="AU60" s="97">
        <v>0.32656687711596838</v>
      </c>
      <c r="AV60" s="97">
        <f t="shared" si="36"/>
        <v>7.4999999999999997E-2</v>
      </c>
      <c r="AW60" s="96">
        <f>0.5*0.112</f>
        <v>5.6000000000000001E-2</v>
      </c>
      <c r="AX60" s="96"/>
      <c r="AY60" s="96"/>
      <c r="AZ60" s="96"/>
      <c r="BA60" s="96"/>
      <c r="BB60" s="96"/>
      <c r="BC60" s="5" t="s">
        <v>158</v>
      </c>
      <c r="BD60" s="5" t="s">
        <v>158</v>
      </c>
      <c r="BE60" s="5" t="s">
        <v>158</v>
      </c>
      <c r="BF60" s="5" t="s">
        <v>158</v>
      </c>
      <c r="BG60" s="5" t="s">
        <v>158</v>
      </c>
      <c r="BH60" s="5" t="s">
        <v>158</v>
      </c>
      <c r="BI60" s="5" t="s">
        <v>158</v>
      </c>
      <c r="BJ60" s="5" t="s">
        <v>158</v>
      </c>
      <c r="BK60" s="5" t="s">
        <v>158</v>
      </c>
      <c r="BL60" s="5" t="s">
        <v>158</v>
      </c>
      <c r="BM60" s="5" t="s">
        <v>158</v>
      </c>
      <c r="BN60" s="86">
        <v>75</v>
      </c>
      <c r="BO60" s="64" t="s">
        <v>158</v>
      </c>
      <c r="BP60" s="64" t="s">
        <v>158</v>
      </c>
      <c r="BQ60" s="64" t="s">
        <v>158</v>
      </c>
      <c r="BR60" s="64" t="s">
        <v>158</v>
      </c>
      <c r="BS60" s="64" t="s">
        <v>158</v>
      </c>
      <c r="BT60" s="64" t="s">
        <v>158</v>
      </c>
      <c r="BU60" s="64" t="s">
        <v>158</v>
      </c>
      <c r="BV60" s="64" t="s">
        <v>158</v>
      </c>
      <c r="BW60" s="64" t="s">
        <v>158</v>
      </c>
      <c r="BX60" s="64" t="s">
        <v>158</v>
      </c>
      <c r="BY60" s="64" t="s">
        <v>158</v>
      </c>
      <c r="BZ60" s="64" t="s">
        <v>158</v>
      </c>
      <c r="CA60" s="64" t="s">
        <v>158</v>
      </c>
      <c r="CB60" s="64" t="s">
        <v>158</v>
      </c>
      <c r="CC60" s="64" t="s">
        <v>158</v>
      </c>
      <c r="CD60" s="64" t="s">
        <v>158</v>
      </c>
      <c r="CE60" s="64" t="s">
        <v>158</v>
      </c>
      <c r="CF60" s="64" t="s">
        <v>158</v>
      </c>
      <c r="CG60" s="64" t="s">
        <v>158</v>
      </c>
      <c r="CH60" s="64" t="s">
        <v>158</v>
      </c>
      <c r="CI60" s="64" t="s">
        <v>158</v>
      </c>
      <c r="CJ60" s="64" t="s">
        <v>158</v>
      </c>
      <c r="CK60" s="64" t="s">
        <v>158</v>
      </c>
      <c r="CL60" s="64" t="s">
        <v>158</v>
      </c>
      <c r="CM60" s="64" t="s">
        <v>158</v>
      </c>
      <c r="CN60" s="64" t="s">
        <v>158</v>
      </c>
      <c r="CO60" s="64" t="s">
        <v>158</v>
      </c>
      <c r="CP60" s="64" t="s">
        <v>158</v>
      </c>
      <c r="CQ60" s="64" t="s">
        <v>158</v>
      </c>
      <c r="CR60" s="64" t="s">
        <v>158</v>
      </c>
      <c r="CS60" s="64" t="s">
        <v>158</v>
      </c>
      <c r="CT60" s="64" t="s">
        <v>158</v>
      </c>
      <c r="CU60" s="64" t="s">
        <v>158</v>
      </c>
      <c r="CV60" s="64" t="s">
        <v>158</v>
      </c>
      <c r="CW60" s="64" t="s">
        <v>158</v>
      </c>
      <c r="CX60" s="64" t="s">
        <v>158</v>
      </c>
      <c r="CY60" s="66" t="s">
        <v>158</v>
      </c>
      <c r="CZ60" s="73"/>
    </row>
    <row r="61" spans="1:104" x14ac:dyDescent="0.2">
      <c r="A61" s="71" t="s">
        <v>21</v>
      </c>
      <c r="B61" s="71" t="s">
        <v>21</v>
      </c>
      <c r="C61" s="14" t="s">
        <v>20</v>
      </c>
      <c r="G61" s="74">
        <v>44097</v>
      </c>
      <c r="H61" s="16">
        <v>2020</v>
      </c>
      <c r="I61" s="135" t="s">
        <v>33</v>
      </c>
      <c r="J61" s="135">
        <v>10</v>
      </c>
      <c r="K61" s="141">
        <v>0.60671298561505971</v>
      </c>
      <c r="L61" s="5" t="s">
        <v>159</v>
      </c>
      <c r="M61" s="5">
        <v>1.7459385398316696E-2</v>
      </c>
      <c r="N61" s="5">
        <v>7.0229007633587789E-2</v>
      </c>
      <c r="O61" s="5">
        <v>0.81794871794871793</v>
      </c>
      <c r="P61" s="5">
        <v>0.72689371697005278</v>
      </c>
      <c r="Q61" s="5">
        <v>3.6975631238990019</v>
      </c>
      <c r="R61" s="5">
        <v>3.1140144842434916</v>
      </c>
      <c r="S61" s="5">
        <v>1.5226560970835781</v>
      </c>
      <c r="T61" s="5">
        <v>9.9667645331767467</v>
      </c>
      <c r="U61" s="17">
        <f t="shared" si="32"/>
        <v>76.146967637751374</v>
      </c>
      <c r="V61" s="5">
        <f>0.5*0.024</f>
        <v>1.2E-2</v>
      </c>
      <c r="W61" s="5">
        <v>0.11257878679695517</v>
      </c>
      <c r="X61" s="5">
        <v>3.6787205148025991E-2</v>
      </c>
      <c r="Y61" s="5">
        <v>6.0628168373504557E-2</v>
      </c>
      <c r="Z61" s="5">
        <v>7.0000000000000001E-3</v>
      </c>
      <c r="AA61" s="5">
        <v>2.5765060204124886E-2</v>
      </c>
      <c r="AB61" s="5">
        <v>2.8096912833875061E-2</v>
      </c>
      <c r="AC61" s="5">
        <v>0.36530093660514545</v>
      </c>
      <c r="AD61" s="5">
        <v>0.63615706996163113</v>
      </c>
      <c r="AE61" s="17">
        <f>SUM(V61,W61,Y61,X61,AB61,AA61)</f>
        <v>0.27585613335648568</v>
      </c>
      <c r="AF61" s="75">
        <v>1.1548248189469562E-2</v>
      </c>
      <c r="AG61" s="18">
        <f t="shared" ref="AG61:AG75" si="39">AF61*(5/K61)</f>
        <v>9.5170603425954722E-2</v>
      </c>
      <c r="AH61" s="98">
        <v>16.567728819998116</v>
      </c>
      <c r="AI61" s="97">
        <f t="shared" ref="AI61:AI76" si="40">0.5*0.2</f>
        <v>0.1</v>
      </c>
      <c r="AJ61" s="97" t="s">
        <v>158</v>
      </c>
      <c r="AK61" s="97" t="s">
        <v>158</v>
      </c>
      <c r="AL61" s="97">
        <f t="shared" ref="AL61:AL76" si="41">0.5*0.2</f>
        <v>0.1</v>
      </c>
      <c r="AM61" s="97">
        <f t="shared" ref="AM61:AM76" si="42">0.5*0.3</f>
        <v>0.15</v>
      </c>
      <c r="AN61" s="97">
        <v>0.64326484101515002</v>
      </c>
      <c r="AO61" s="99">
        <v>0.39806280583162135</v>
      </c>
      <c r="AP61" s="16" t="s">
        <v>158</v>
      </c>
      <c r="AQ61" s="99">
        <v>0.40883376517992498</v>
      </c>
      <c r="AR61" s="99">
        <f t="shared" ref="AR61:AR69" si="43">0.5*0.1</f>
        <v>0.05</v>
      </c>
      <c r="AS61" s="99">
        <f t="shared" ref="AS61:AU62" si="44">0.5*0.51</f>
        <v>0.255</v>
      </c>
      <c r="AT61" s="99">
        <f t="shared" si="44"/>
        <v>0.255</v>
      </c>
      <c r="AU61" s="99">
        <f t="shared" si="44"/>
        <v>0.255</v>
      </c>
      <c r="AV61" s="99">
        <f>0.5*0.1</f>
        <v>0.05</v>
      </c>
      <c r="AW61" s="97">
        <f t="shared" ref="AW61:AW76" si="45">0.5*0.3</f>
        <v>0.15</v>
      </c>
      <c r="AX61" s="97"/>
      <c r="AY61" s="97"/>
      <c r="AZ61" s="97"/>
      <c r="BA61" s="97"/>
      <c r="BB61" s="97"/>
      <c r="BC61" s="5" t="s">
        <v>158</v>
      </c>
      <c r="BD61" s="5" t="s">
        <v>158</v>
      </c>
      <c r="BE61" s="5" t="s">
        <v>158</v>
      </c>
      <c r="BF61" s="5" t="s">
        <v>158</v>
      </c>
      <c r="BG61" s="5" t="s">
        <v>158</v>
      </c>
      <c r="BH61" s="5" t="s">
        <v>158</v>
      </c>
      <c r="BI61" s="5" t="s">
        <v>158</v>
      </c>
      <c r="BJ61" s="5" t="s">
        <v>158</v>
      </c>
      <c r="BK61" s="5" t="s">
        <v>158</v>
      </c>
      <c r="BL61" s="5" t="s">
        <v>158</v>
      </c>
      <c r="BM61" s="5" t="s">
        <v>158</v>
      </c>
      <c r="BN61" s="5">
        <v>71</v>
      </c>
      <c r="BO61" s="64" t="s">
        <v>158</v>
      </c>
      <c r="BP61" s="64" t="s">
        <v>158</v>
      </c>
      <c r="BQ61" s="64" t="s">
        <v>158</v>
      </c>
      <c r="BR61" s="64" t="s">
        <v>158</v>
      </c>
      <c r="BS61" s="64" t="s">
        <v>158</v>
      </c>
      <c r="BT61" s="64" t="s">
        <v>158</v>
      </c>
      <c r="BU61" s="64" t="s">
        <v>158</v>
      </c>
      <c r="BV61" s="64" t="s">
        <v>158</v>
      </c>
      <c r="BW61" s="64" t="s">
        <v>158</v>
      </c>
      <c r="BX61" s="64" t="s">
        <v>158</v>
      </c>
      <c r="BY61" s="64" t="s">
        <v>158</v>
      </c>
      <c r="BZ61" s="64" t="s">
        <v>158</v>
      </c>
      <c r="CA61" s="64" t="s">
        <v>158</v>
      </c>
      <c r="CB61" s="64" t="s">
        <v>158</v>
      </c>
      <c r="CC61" s="64" t="s">
        <v>158</v>
      </c>
      <c r="CD61" s="64" t="s">
        <v>158</v>
      </c>
      <c r="CE61" s="64" t="s">
        <v>158</v>
      </c>
      <c r="CF61" s="64" t="s">
        <v>158</v>
      </c>
      <c r="CG61" s="64" t="s">
        <v>158</v>
      </c>
      <c r="CH61" s="64" t="s">
        <v>158</v>
      </c>
      <c r="CI61" s="64" t="s">
        <v>158</v>
      </c>
      <c r="CJ61" s="64" t="s">
        <v>158</v>
      </c>
      <c r="CK61" s="64" t="s">
        <v>158</v>
      </c>
      <c r="CL61" s="64" t="s">
        <v>158</v>
      </c>
      <c r="CM61" s="64" t="s">
        <v>158</v>
      </c>
      <c r="CN61" s="64" t="s">
        <v>158</v>
      </c>
      <c r="CO61" s="64" t="s">
        <v>158</v>
      </c>
      <c r="CP61" s="64" t="s">
        <v>158</v>
      </c>
      <c r="CQ61" s="64" t="s">
        <v>158</v>
      </c>
      <c r="CR61" s="64" t="s">
        <v>158</v>
      </c>
      <c r="CS61" s="64" t="s">
        <v>158</v>
      </c>
      <c r="CT61" s="64" t="s">
        <v>158</v>
      </c>
      <c r="CU61" s="64" t="s">
        <v>158</v>
      </c>
      <c r="CV61" s="64" t="s">
        <v>158</v>
      </c>
      <c r="CW61" s="64" t="s">
        <v>158</v>
      </c>
      <c r="CX61" s="64" t="s">
        <v>158</v>
      </c>
      <c r="CY61" s="66" t="s">
        <v>158</v>
      </c>
    </row>
    <row r="62" spans="1:104" x14ac:dyDescent="0.2">
      <c r="A62" s="71" t="s">
        <v>30</v>
      </c>
      <c r="B62" s="71" t="s">
        <v>30</v>
      </c>
      <c r="C62" s="14" t="s">
        <v>20</v>
      </c>
      <c r="G62" s="74">
        <v>44077</v>
      </c>
      <c r="H62" s="16">
        <v>2020</v>
      </c>
      <c r="I62" s="135" t="s">
        <v>33</v>
      </c>
      <c r="J62" s="135">
        <v>10</v>
      </c>
      <c r="K62" s="141">
        <v>0.43851798818687371</v>
      </c>
      <c r="L62" s="5" t="s">
        <v>159</v>
      </c>
      <c r="M62" s="5">
        <v>5.4271682727946635E-2</v>
      </c>
      <c r="N62" s="5">
        <v>0.30381764269829503</v>
      </c>
      <c r="O62" s="5">
        <v>2.104966641957005</v>
      </c>
      <c r="P62" s="5">
        <v>2.66890752409192</v>
      </c>
      <c r="Q62" s="5">
        <v>5.4643346923647149</v>
      </c>
      <c r="R62" s="5">
        <v>4.5874722016308382</v>
      </c>
      <c r="S62" s="5">
        <v>1.6819171608598964</v>
      </c>
      <c r="T62" s="5">
        <v>16.865687546330616</v>
      </c>
      <c r="U62" s="17">
        <f t="shared" si="32"/>
        <v>161.8722652739705</v>
      </c>
      <c r="V62" s="5">
        <f>0.5*0.024</f>
        <v>1.2E-2</v>
      </c>
      <c r="W62" s="5">
        <v>4.1707016419202839E-2</v>
      </c>
      <c r="X62" s="5">
        <v>1.5733358416001847E-2</v>
      </c>
      <c r="Y62" s="5">
        <v>2.5052444865203624E-2</v>
      </c>
      <c r="Z62" s="5">
        <v>8.0000000000000002E-3</v>
      </c>
      <c r="AA62" s="5">
        <v>1.409222441209124E-2</v>
      </c>
      <c r="AB62" s="5">
        <v>1.7498859264261788E-2</v>
      </c>
      <c r="AC62" s="5">
        <v>0.34257739051548147</v>
      </c>
      <c r="AD62" s="5">
        <v>0.46466129389224281</v>
      </c>
      <c r="AE62" s="17">
        <f t="shared" ref="AE62:AE75" si="46">SUM(V62,W62,Y62,X62,AB62,AA62)</f>
        <v>0.12608390337676134</v>
      </c>
      <c r="AF62" s="75">
        <v>8.0615270570793176E-3</v>
      </c>
      <c r="AG62" s="18">
        <f t="shared" si="39"/>
        <v>9.1917860546736702E-2</v>
      </c>
      <c r="AH62" s="100">
        <v>1.0783181778163478</v>
      </c>
      <c r="AI62" s="97">
        <f t="shared" si="40"/>
        <v>0.1</v>
      </c>
      <c r="AJ62" s="97" t="s">
        <v>158</v>
      </c>
      <c r="AK62" s="97" t="s">
        <v>158</v>
      </c>
      <c r="AL62" s="97">
        <f t="shared" si="41"/>
        <v>0.1</v>
      </c>
      <c r="AM62" s="97">
        <f t="shared" si="42"/>
        <v>0.15</v>
      </c>
      <c r="AN62" s="97">
        <f>0.5*0.2</f>
        <v>0.1</v>
      </c>
      <c r="AO62" s="99">
        <f>0.5*0.3</f>
        <v>0.15</v>
      </c>
      <c r="AP62" s="16" t="s">
        <v>158</v>
      </c>
      <c r="AQ62" s="99">
        <f>0.5*0.2</f>
        <v>0.1</v>
      </c>
      <c r="AR62" s="99">
        <f t="shared" si="43"/>
        <v>0.05</v>
      </c>
      <c r="AS62" s="99">
        <f t="shared" si="44"/>
        <v>0.255</v>
      </c>
      <c r="AT62" s="99">
        <f t="shared" si="44"/>
        <v>0.255</v>
      </c>
      <c r="AU62" s="99">
        <f t="shared" si="44"/>
        <v>0.255</v>
      </c>
      <c r="AV62" s="99">
        <f>0.5*0.1</f>
        <v>0.05</v>
      </c>
      <c r="AW62" s="97">
        <f t="shared" si="45"/>
        <v>0.15</v>
      </c>
      <c r="AX62" s="97"/>
      <c r="AY62" s="97"/>
      <c r="AZ62" s="97"/>
      <c r="BA62" s="97"/>
      <c r="BB62" s="97"/>
      <c r="BC62" s="5" t="s">
        <v>158</v>
      </c>
      <c r="BD62" s="5" t="s">
        <v>158</v>
      </c>
      <c r="BE62" s="5" t="s">
        <v>158</v>
      </c>
      <c r="BF62" s="5" t="s">
        <v>158</v>
      </c>
      <c r="BG62" s="5" t="s">
        <v>158</v>
      </c>
      <c r="BH62" s="5" t="s">
        <v>158</v>
      </c>
      <c r="BI62" s="5" t="s">
        <v>158</v>
      </c>
      <c r="BJ62" s="5" t="s">
        <v>158</v>
      </c>
      <c r="BK62" s="5" t="s">
        <v>158</v>
      </c>
      <c r="BL62" s="5" t="s">
        <v>158</v>
      </c>
      <c r="BM62" s="5" t="s">
        <v>158</v>
      </c>
      <c r="BN62" s="5">
        <v>73</v>
      </c>
      <c r="BO62" s="64" t="s">
        <v>158</v>
      </c>
      <c r="BP62" s="64" t="s">
        <v>158</v>
      </c>
      <c r="BQ62" s="64" t="s">
        <v>158</v>
      </c>
      <c r="BR62" s="64" t="s">
        <v>158</v>
      </c>
      <c r="BS62" s="64" t="s">
        <v>158</v>
      </c>
      <c r="BT62" s="64" t="s">
        <v>158</v>
      </c>
      <c r="BU62" s="64" t="s">
        <v>158</v>
      </c>
      <c r="BV62" s="64" t="s">
        <v>158</v>
      </c>
      <c r="BW62" s="64" t="s">
        <v>158</v>
      </c>
      <c r="BX62" s="64" t="s">
        <v>158</v>
      </c>
      <c r="BY62" s="64" t="s">
        <v>158</v>
      </c>
      <c r="BZ62" s="64" t="s">
        <v>158</v>
      </c>
      <c r="CA62" s="64" t="s">
        <v>158</v>
      </c>
      <c r="CB62" s="64" t="s">
        <v>158</v>
      </c>
      <c r="CC62" s="64" t="s">
        <v>158</v>
      </c>
      <c r="CD62" s="64" t="s">
        <v>158</v>
      </c>
      <c r="CE62" s="64" t="s">
        <v>158</v>
      </c>
      <c r="CF62" s="64" t="s">
        <v>158</v>
      </c>
      <c r="CG62" s="64" t="s">
        <v>158</v>
      </c>
      <c r="CH62" s="64" t="s">
        <v>158</v>
      </c>
      <c r="CI62" s="64" t="s">
        <v>158</v>
      </c>
      <c r="CJ62" s="64" t="s">
        <v>158</v>
      </c>
      <c r="CK62" s="64" t="s">
        <v>158</v>
      </c>
      <c r="CL62" s="64" t="s">
        <v>158</v>
      </c>
      <c r="CM62" s="64" t="s">
        <v>158</v>
      </c>
      <c r="CN62" s="64" t="s">
        <v>158</v>
      </c>
      <c r="CO62" s="64" t="s">
        <v>158</v>
      </c>
      <c r="CP62" s="64" t="s">
        <v>158</v>
      </c>
      <c r="CQ62" s="64" t="s">
        <v>158</v>
      </c>
      <c r="CR62" s="64" t="s">
        <v>158</v>
      </c>
      <c r="CS62" s="64" t="s">
        <v>158</v>
      </c>
      <c r="CT62" s="64" t="s">
        <v>158</v>
      </c>
      <c r="CU62" s="64" t="s">
        <v>158</v>
      </c>
      <c r="CV62" s="64" t="s">
        <v>158</v>
      </c>
      <c r="CW62" s="64" t="s">
        <v>158</v>
      </c>
      <c r="CX62" s="64" t="s">
        <v>158</v>
      </c>
      <c r="CY62" s="66" t="s">
        <v>158</v>
      </c>
    </row>
    <row r="63" spans="1:104" x14ac:dyDescent="0.2">
      <c r="A63" s="71" t="s">
        <v>7</v>
      </c>
      <c r="B63" s="71" t="s">
        <v>7</v>
      </c>
      <c r="C63" s="14" t="s">
        <v>20</v>
      </c>
      <c r="G63" s="74">
        <v>44076</v>
      </c>
      <c r="H63" s="16">
        <v>2020</v>
      </c>
      <c r="I63" s="135" t="s">
        <v>33</v>
      </c>
      <c r="J63" s="135">
        <v>10</v>
      </c>
      <c r="K63" s="141">
        <v>0.52770448548813109</v>
      </c>
      <c r="L63" s="5" t="s">
        <v>159</v>
      </c>
      <c r="M63" s="5">
        <v>4.2523582702904635E-2</v>
      </c>
      <c r="N63" s="5">
        <v>0.23705986737648263</v>
      </c>
      <c r="O63" s="5">
        <v>1.3099280844307462</v>
      </c>
      <c r="P63" s="5">
        <v>1.4793125992341458</v>
      </c>
      <c r="Q63" s="5">
        <v>3.7289343420192393</v>
      </c>
      <c r="R63" s="5">
        <v>3.2616045577659469</v>
      </c>
      <c r="S63" s="5">
        <v>1.3299990660315679</v>
      </c>
      <c r="T63" s="5">
        <v>11.389362099561033</v>
      </c>
      <c r="U63" s="17">
        <f t="shared" si="32"/>
        <v>93.897719015596465</v>
      </c>
      <c r="V63" s="5">
        <v>1.1459018423260735E-2</v>
      </c>
      <c r="W63" s="5">
        <v>0.2540326066550147</v>
      </c>
      <c r="X63" s="5">
        <v>9.1683392742732864E-2</v>
      </c>
      <c r="Y63" s="5">
        <v>0.23208167048013253</v>
      </c>
      <c r="Z63" s="5">
        <v>8.0000000000000002E-3</v>
      </c>
      <c r="AA63" s="5">
        <v>4.1146759971257142E-2</v>
      </c>
      <c r="AB63" s="5">
        <v>4.4880218378050632E-2</v>
      </c>
      <c r="AC63" s="5">
        <v>0.35680039844952444</v>
      </c>
      <c r="AD63" s="5">
        <v>1.0400840650999732</v>
      </c>
      <c r="AE63" s="17">
        <f t="shared" si="46"/>
        <v>0.6752836666504487</v>
      </c>
      <c r="AF63" s="75">
        <v>0.15840104604464367</v>
      </c>
      <c r="AG63" s="18">
        <f t="shared" si="39"/>
        <v>1.5008499112729861</v>
      </c>
      <c r="AH63" s="100">
        <v>12.137726807731655</v>
      </c>
      <c r="AI63" s="97">
        <f t="shared" si="40"/>
        <v>0.1</v>
      </c>
      <c r="AJ63" s="97" t="s">
        <v>158</v>
      </c>
      <c r="AK63" s="97" t="s">
        <v>158</v>
      </c>
      <c r="AL63" s="97">
        <f t="shared" si="41"/>
        <v>0.1</v>
      </c>
      <c r="AM63" s="97">
        <f t="shared" si="42"/>
        <v>0.15</v>
      </c>
      <c r="AN63" s="98">
        <v>3.3358773488397135</v>
      </c>
      <c r="AO63" s="99">
        <v>0.68203171270123297</v>
      </c>
      <c r="AP63" s="16" t="s">
        <v>158</v>
      </c>
      <c r="AQ63" s="99">
        <v>0.97818069240295047</v>
      </c>
      <c r="AR63" s="99">
        <f t="shared" si="43"/>
        <v>0.05</v>
      </c>
      <c r="AS63" s="99">
        <v>0.77935713131965745</v>
      </c>
      <c r="AT63" s="99">
        <f t="shared" ref="AT63:AU69" si="47">0.5*0.51</f>
        <v>0.255</v>
      </c>
      <c r="AU63" s="99">
        <f t="shared" si="47"/>
        <v>0.255</v>
      </c>
      <c r="AV63" s="99">
        <v>0.22723846443762449</v>
      </c>
      <c r="AW63" s="97">
        <f t="shared" si="45"/>
        <v>0.15</v>
      </c>
      <c r="AX63" s="97"/>
      <c r="AY63" s="97"/>
      <c r="AZ63" s="97"/>
      <c r="BA63" s="97"/>
      <c r="BB63" s="97"/>
      <c r="BC63" s="5" t="s">
        <v>158</v>
      </c>
      <c r="BD63" s="5" t="s">
        <v>158</v>
      </c>
      <c r="BE63" s="5" t="s">
        <v>158</v>
      </c>
      <c r="BF63" s="5" t="s">
        <v>158</v>
      </c>
      <c r="BG63" s="5" t="s">
        <v>158</v>
      </c>
      <c r="BH63" s="5" t="s">
        <v>158</v>
      </c>
      <c r="BI63" s="5" t="s">
        <v>158</v>
      </c>
      <c r="BJ63" s="5" t="s">
        <v>158</v>
      </c>
      <c r="BK63" s="5" t="s">
        <v>158</v>
      </c>
      <c r="BL63" s="5" t="s">
        <v>158</v>
      </c>
      <c r="BM63" s="5" t="s">
        <v>158</v>
      </c>
      <c r="BN63" s="5">
        <v>150</v>
      </c>
      <c r="BO63" s="64" t="s">
        <v>158</v>
      </c>
      <c r="BP63" s="64" t="s">
        <v>158</v>
      </c>
      <c r="BQ63" s="64" t="s">
        <v>158</v>
      </c>
      <c r="BR63" s="64" t="s">
        <v>158</v>
      </c>
      <c r="BS63" s="64" t="s">
        <v>158</v>
      </c>
      <c r="BT63" s="64" t="s">
        <v>158</v>
      </c>
      <c r="BU63" s="64" t="s">
        <v>158</v>
      </c>
      <c r="BV63" s="64" t="s">
        <v>158</v>
      </c>
      <c r="BW63" s="64" t="s">
        <v>158</v>
      </c>
      <c r="BX63" s="64" t="s">
        <v>158</v>
      </c>
      <c r="BY63" s="64" t="s">
        <v>158</v>
      </c>
      <c r="BZ63" s="64" t="s">
        <v>158</v>
      </c>
      <c r="CA63" s="64" t="s">
        <v>158</v>
      </c>
      <c r="CB63" s="64" t="s">
        <v>158</v>
      </c>
      <c r="CC63" s="64" t="s">
        <v>158</v>
      </c>
      <c r="CD63" s="64" t="s">
        <v>158</v>
      </c>
      <c r="CE63" s="64" t="s">
        <v>158</v>
      </c>
      <c r="CF63" s="64" t="s">
        <v>158</v>
      </c>
      <c r="CG63" s="64" t="s">
        <v>158</v>
      </c>
      <c r="CH63" s="64" t="s">
        <v>158</v>
      </c>
      <c r="CI63" s="64" t="s">
        <v>158</v>
      </c>
      <c r="CJ63" s="64" t="s">
        <v>158</v>
      </c>
      <c r="CK63" s="64" t="s">
        <v>158</v>
      </c>
      <c r="CL63" s="64" t="s">
        <v>158</v>
      </c>
      <c r="CM63" s="64" t="s">
        <v>158</v>
      </c>
      <c r="CN63" s="64" t="s">
        <v>158</v>
      </c>
      <c r="CO63" s="64" t="s">
        <v>158</v>
      </c>
      <c r="CP63" s="64" t="s">
        <v>158</v>
      </c>
      <c r="CQ63" s="64" t="s">
        <v>158</v>
      </c>
      <c r="CR63" s="64" t="s">
        <v>158</v>
      </c>
      <c r="CS63" s="64" t="s">
        <v>158</v>
      </c>
      <c r="CT63" s="64" t="s">
        <v>158</v>
      </c>
      <c r="CU63" s="64" t="s">
        <v>158</v>
      </c>
      <c r="CV63" s="64" t="s">
        <v>158</v>
      </c>
      <c r="CW63" s="64" t="s">
        <v>158</v>
      </c>
      <c r="CX63" s="64" t="s">
        <v>158</v>
      </c>
      <c r="CY63" s="66" t="s">
        <v>158</v>
      </c>
    </row>
    <row r="64" spans="1:104" x14ac:dyDescent="0.2">
      <c r="A64" s="71" t="s">
        <v>5</v>
      </c>
      <c r="B64" s="71" t="s">
        <v>5</v>
      </c>
      <c r="C64" s="14" t="s">
        <v>20</v>
      </c>
      <c r="G64" s="74">
        <v>44067</v>
      </c>
      <c r="H64" s="16">
        <v>2020</v>
      </c>
      <c r="I64" s="135" t="s">
        <v>33</v>
      </c>
      <c r="J64" s="135">
        <v>10</v>
      </c>
      <c r="K64" s="141">
        <v>0.54378398649917126</v>
      </c>
      <c r="L64" s="5" t="s">
        <v>159</v>
      </c>
      <c r="M64" s="5">
        <v>0.82592342559552512</v>
      </c>
      <c r="N64" s="5">
        <v>2.4838267913974348</v>
      </c>
      <c r="O64" s="5">
        <v>9.7939531295206876</v>
      </c>
      <c r="P64" s="5">
        <v>8.814215449898736</v>
      </c>
      <c r="Q64" s="5">
        <v>15.305670749349021</v>
      </c>
      <c r="R64" s="5">
        <v>14.554055357315073</v>
      </c>
      <c r="S64" s="5">
        <v>3.7771626964991802</v>
      </c>
      <c r="T64" s="5">
        <v>55.554807599575661</v>
      </c>
      <c r="U64" s="17">
        <f t="shared" si="32"/>
        <v>429.77168609348297</v>
      </c>
      <c r="V64" s="5">
        <v>2.0900971351692679E-2</v>
      </c>
      <c r="W64" s="5">
        <v>0.33061536501768424</v>
      </c>
      <c r="X64" s="5">
        <v>9.9862724852371604E-2</v>
      </c>
      <c r="Y64" s="5">
        <v>0.17976883361826038</v>
      </c>
      <c r="Z64" s="5">
        <v>1.3732973555521536E-2</v>
      </c>
      <c r="AA64" s="5">
        <v>5.4135450022511578E-2</v>
      </c>
      <c r="AB64" s="5">
        <v>6.4534735714099553E-2</v>
      </c>
      <c r="AC64" s="5">
        <v>0.95651074359259103</v>
      </c>
      <c r="AD64" s="5">
        <v>1.7200617977247326</v>
      </c>
      <c r="AE64" s="17">
        <f t="shared" si="46"/>
        <v>0.74981808057661992</v>
      </c>
      <c r="AF64" s="75">
        <v>3.8865850130195778E-2</v>
      </c>
      <c r="AG64" s="18">
        <f t="shared" si="39"/>
        <v>0.35736479093849716</v>
      </c>
      <c r="AH64" s="100">
        <v>9.4605074687947628</v>
      </c>
      <c r="AI64" s="97">
        <f t="shared" si="40"/>
        <v>0.1</v>
      </c>
      <c r="AJ64" s="97" t="s">
        <v>158</v>
      </c>
      <c r="AK64" s="97" t="s">
        <v>158</v>
      </c>
      <c r="AL64" s="97">
        <f t="shared" si="41"/>
        <v>0.1</v>
      </c>
      <c r="AM64" s="97">
        <f t="shared" si="42"/>
        <v>0.15</v>
      </c>
      <c r="AN64" s="97">
        <v>0.54134694086351554</v>
      </c>
      <c r="AO64" s="99">
        <f>0.5*0.3</f>
        <v>0.15</v>
      </c>
      <c r="AP64" s="16" t="s">
        <v>158</v>
      </c>
      <c r="AQ64" s="99">
        <v>0.47282330673214651</v>
      </c>
      <c r="AR64" s="99">
        <f t="shared" si="43"/>
        <v>0.05</v>
      </c>
      <c r="AS64" s="99">
        <v>0.82489257213014122</v>
      </c>
      <c r="AT64" s="99">
        <f t="shared" si="47"/>
        <v>0.255</v>
      </c>
      <c r="AU64" s="99">
        <f t="shared" si="47"/>
        <v>0.255</v>
      </c>
      <c r="AV64" s="99">
        <f>0.5*0.1</f>
        <v>0.05</v>
      </c>
      <c r="AW64" s="97">
        <f t="shared" si="45"/>
        <v>0.15</v>
      </c>
      <c r="AX64" s="97"/>
      <c r="AY64" s="97"/>
      <c r="AZ64" s="97"/>
      <c r="BA64" s="97"/>
      <c r="BB64" s="97"/>
      <c r="BC64" s="5" t="s">
        <v>158</v>
      </c>
      <c r="BD64" s="5" t="s">
        <v>158</v>
      </c>
      <c r="BE64" s="5" t="s">
        <v>158</v>
      </c>
      <c r="BF64" s="5" t="s">
        <v>158</v>
      </c>
      <c r="BG64" s="5" t="s">
        <v>158</v>
      </c>
      <c r="BH64" s="5" t="s">
        <v>158</v>
      </c>
      <c r="BI64" s="5" t="s">
        <v>158</v>
      </c>
      <c r="BJ64" s="5" t="s">
        <v>158</v>
      </c>
      <c r="BK64" s="5" t="s">
        <v>158</v>
      </c>
      <c r="BL64" s="5" t="s">
        <v>158</v>
      </c>
      <c r="BM64" s="5" t="s">
        <v>158</v>
      </c>
      <c r="BN64" s="5">
        <v>96</v>
      </c>
      <c r="BO64" s="64" t="s">
        <v>158</v>
      </c>
      <c r="BP64" s="64" t="s">
        <v>158</v>
      </c>
      <c r="BQ64" s="64" t="s">
        <v>158</v>
      </c>
      <c r="BR64" s="64" t="s">
        <v>158</v>
      </c>
      <c r="BS64" s="64" t="s">
        <v>158</v>
      </c>
      <c r="BT64" s="64" t="s">
        <v>158</v>
      </c>
      <c r="BU64" s="64" t="s">
        <v>158</v>
      </c>
      <c r="BV64" s="64" t="s">
        <v>158</v>
      </c>
      <c r="BW64" s="64" t="s">
        <v>158</v>
      </c>
      <c r="BX64" s="64" t="s">
        <v>158</v>
      </c>
      <c r="BY64" s="64" t="s">
        <v>158</v>
      </c>
      <c r="BZ64" s="64" t="s">
        <v>158</v>
      </c>
      <c r="CA64" s="64" t="s">
        <v>158</v>
      </c>
      <c r="CB64" s="64" t="s">
        <v>158</v>
      </c>
      <c r="CC64" s="64" t="s">
        <v>158</v>
      </c>
      <c r="CD64" s="64" t="s">
        <v>158</v>
      </c>
      <c r="CE64" s="64" t="s">
        <v>158</v>
      </c>
      <c r="CF64" s="64" t="s">
        <v>158</v>
      </c>
      <c r="CG64" s="64" t="s">
        <v>158</v>
      </c>
      <c r="CH64" s="64" t="s">
        <v>158</v>
      </c>
      <c r="CI64" s="64" t="s">
        <v>158</v>
      </c>
      <c r="CJ64" s="64" t="s">
        <v>158</v>
      </c>
      <c r="CK64" s="64" t="s">
        <v>158</v>
      </c>
      <c r="CL64" s="64" t="s">
        <v>158</v>
      </c>
      <c r="CM64" s="64" t="s">
        <v>158</v>
      </c>
      <c r="CN64" s="64" t="s">
        <v>158</v>
      </c>
      <c r="CO64" s="64" t="s">
        <v>158</v>
      </c>
      <c r="CP64" s="64" t="s">
        <v>158</v>
      </c>
      <c r="CQ64" s="64" t="s">
        <v>158</v>
      </c>
      <c r="CR64" s="64" t="s">
        <v>158</v>
      </c>
      <c r="CS64" s="64" t="s">
        <v>158</v>
      </c>
      <c r="CT64" s="64" t="s">
        <v>158</v>
      </c>
      <c r="CU64" s="64" t="s">
        <v>158</v>
      </c>
      <c r="CV64" s="64" t="s">
        <v>158</v>
      </c>
      <c r="CW64" s="64" t="s">
        <v>158</v>
      </c>
      <c r="CX64" s="64" t="s">
        <v>158</v>
      </c>
      <c r="CY64" s="66" t="s">
        <v>158</v>
      </c>
    </row>
    <row r="65" spans="1:103" x14ac:dyDescent="0.2">
      <c r="A65" s="71" t="s">
        <v>79</v>
      </c>
      <c r="B65" s="71" t="s">
        <v>79</v>
      </c>
      <c r="C65" s="14" t="s">
        <v>20</v>
      </c>
      <c r="G65" s="74">
        <v>44075</v>
      </c>
      <c r="H65" s="16">
        <v>2020</v>
      </c>
      <c r="I65" s="135" t="s">
        <v>33</v>
      </c>
      <c r="J65" s="135">
        <v>10</v>
      </c>
      <c r="K65" s="141">
        <v>0.78185411117794557</v>
      </c>
      <c r="L65" s="5" t="s">
        <v>159</v>
      </c>
      <c r="M65" s="5">
        <v>0.22215909090909092</v>
      </c>
      <c r="N65" s="5">
        <v>0.66855739599383668</v>
      </c>
      <c r="O65" s="5">
        <v>2.8267623266563944</v>
      </c>
      <c r="P65" s="5">
        <v>2.4805855161787367</v>
      </c>
      <c r="Q65" s="5">
        <v>5.4529275808936823</v>
      </c>
      <c r="R65" s="5">
        <v>5.0670261941448382</v>
      </c>
      <c r="S65" s="5">
        <v>1.8378466872110939</v>
      </c>
      <c r="T65" s="5">
        <v>18.555864791987673</v>
      </c>
      <c r="U65" s="17">
        <f t="shared" si="32"/>
        <v>102.80229422589998</v>
      </c>
      <c r="V65" s="5">
        <v>8.0000000000000002E-3</v>
      </c>
      <c r="W65" s="5">
        <v>6.9937751761792247E-2</v>
      </c>
      <c r="X65" s="5">
        <v>2.0207775316541651E-2</v>
      </c>
      <c r="Y65" s="5">
        <v>2.6560189241002657E-2</v>
      </c>
      <c r="Z65" s="5">
        <v>8.0000000000000002E-3</v>
      </c>
      <c r="AA65" s="5">
        <v>1.1529814868674887E-2</v>
      </c>
      <c r="AB65" s="5">
        <v>2.9093810979660514E-2</v>
      </c>
      <c r="AC65" s="5">
        <f>0.5*0.19</f>
        <v>9.5000000000000001E-2</v>
      </c>
      <c r="AD65" s="5">
        <v>0.17332934216767196</v>
      </c>
      <c r="AE65" s="17">
        <f t="shared" si="46"/>
        <v>0.16532934216767195</v>
      </c>
      <c r="AF65" s="75">
        <v>1.9356702619414485E-2</v>
      </c>
      <c r="AG65" s="18">
        <f t="shared" si="39"/>
        <v>0.12378717680624314</v>
      </c>
      <c r="AH65" s="100">
        <v>4.0276958045631215</v>
      </c>
      <c r="AI65" s="97">
        <f t="shared" si="40"/>
        <v>0.1</v>
      </c>
      <c r="AJ65" s="97" t="s">
        <v>158</v>
      </c>
      <c r="AK65" s="97" t="s">
        <v>158</v>
      </c>
      <c r="AL65" s="97">
        <f t="shared" si="41"/>
        <v>0.1</v>
      </c>
      <c r="AM65" s="97">
        <f t="shared" si="42"/>
        <v>0.15</v>
      </c>
      <c r="AN65" s="97">
        <v>0.46155535818315518</v>
      </c>
      <c r="AO65" s="99">
        <f>0.5*0.3</f>
        <v>0.15</v>
      </c>
      <c r="AP65" s="16" t="s">
        <v>158</v>
      </c>
      <c r="AQ65" s="99">
        <v>0.29864672568738121</v>
      </c>
      <c r="AR65" s="99">
        <f t="shared" si="43"/>
        <v>0.05</v>
      </c>
      <c r="AS65" s="99">
        <f>0.5*0.51</f>
        <v>0.255</v>
      </c>
      <c r="AT65" s="99">
        <f t="shared" si="47"/>
        <v>0.255</v>
      </c>
      <c r="AU65" s="99">
        <f t="shared" si="47"/>
        <v>0.255</v>
      </c>
      <c r="AV65" s="99">
        <f>0.5*0.1</f>
        <v>0.05</v>
      </c>
      <c r="AW65" s="97">
        <f t="shared" si="45"/>
        <v>0.15</v>
      </c>
      <c r="AX65" s="97"/>
      <c r="AY65" s="97"/>
      <c r="AZ65" s="97"/>
      <c r="BA65" s="97"/>
      <c r="BB65" s="97"/>
      <c r="BC65" s="5" t="s">
        <v>158</v>
      </c>
      <c r="BD65" s="5" t="s">
        <v>158</v>
      </c>
      <c r="BE65" s="5" t="s">
        <v>158</v>
      </c>
      <c r="BF65" s="5" t="s">
        <v>158</v>
      </c>
      <c r="BG65" s="5" t="s">
        <v>158</v>
      </c>
      <c r="BH65" s="5" t="s">
        <v>158</v>
      </c>
      <c r="BI65" s="5" t="s">
        <v>158</v>
      </c>
      <c r="BJ65" s="5" t="s">
        <v>158</v>
      </c>
      <c r="BK65" s="5" t="s">
        <v>158</v>
      </c>
      <c r="BL65" s="5" t="s">
        <v>158</v>
      </c>
      <c r="BM65" s="5" t="s">
        <v>158</v>
      </c>
      <c r="BN65" s="5">
        <v>260</v>
      </c>
      <c r="BO65" s="64" t="s">
        <v>158</v>
      </c>
      <c r="BP65" s="64" t="s">
        <v>158</v>
      </c>
      <c r="BQ65" s="64" t="s">
        <v>158</v>
      </c>
      <c r="BR65" s="64" t="s">
        <v>158</v>
      </c>
      <c r="BS65" s="64" t="s">
        <v>158</v>
      </c>
      <c r="BT65" s="64" t="s">
        <v>158</v>
      </c>
      <c r="BU65" s="64" t="s">
        <v>158</v>
      </c>
      <c r="BV65" s="64" t="s">
        <v>158</v>
      </c>
      <c r="BW65" s="64" t="s">
        <v>158</v>
      </c>
      <c r="BX65" s="64" t="s">
        <v>158</v>
      </c>
      <c r="BY65" s="64" t="s">
        <v>158</v>
      </c>
      <c r="BZ65" s="64" t="s">
        <v>158</v>
      </c>
      <c r="CA65" s="64" t="s">
        <v>158</v>
      </c>
      <c r="CB65" s="64" t="s">
        <v>158</v>
      </c>
      <c r="CC65" s="64" t="s">
        <v>158</v>
      </c>
      <c r="CD65" s="64" t="s">
        <v>158</v>
      </c>
      <c r="CE65" s="64" t="s">
        <v>158</v>
      </c>
      <c r="CF65" s="64" t="s">
        <v>158</v>
      </c>
      <c r="CG65" s="64" t="s">
        <v>158</v>
      </c>
      <c r="CH65" s="64" t="s">
        <v>158</v>
      </c>
      <c r="CI65" s="64" t="s">
        <v>158</v>
      </c>
      <c r="CJ65" s="64" t="s">
        <v>158</v>
      </c>
      <c r="CK65" s="64" t="s">
        <v>158</v>
      </c>
      <c r="CL65" s="64" t="s">
        <v>158</v>
      </c>
      <c r="CM65" s="64" t="s">
        <v>158</v>
      </c>
      <c r="CN65" s="64" t="s">
        <v>158</v>
      </c>
      <c r="CO65" s="64" t="s">
        <v>158</v>
      </c>
      <c r="CP65" s="64" t="s">
        <v>158</v>
      </c>
      <c r="CQ65" s="64" t="s">
        <v>158</v>
      </c>
      <c r="CR65" s="64" t="s">
        <v>158</v>
      </c>
      <c r="CS65" s="64" t="s">
        <v>158</v>
      </c>
      <c r="CT65" s="64" t="s">
        <v>158</v>
      </c>
      <c r="CU65" s="64" t="s">
        <v>158</v>
      </c>
      <c r="CV65" s="64" t="s">
        <v>158</v>
      </c>
      <c r="CW65" s="64" t="s">
        <v>158</v>
      </c>
      <c r="CX65" s="64" t="s">
        <v>158</v>
      </c>
      <c r="CY65" s="66" t="s">
        <v>158</v>
      </c>
    </row>
    <row r="66" spans="1:103" x14ac:dyDescent="0.2">
      <c r="A66" s="71" t="s">
        <v>25</v>
      </c>
      <c r="B66" s="71" t="s">
        <v>25</v>
      </c>
      <c r="C66" s="14" t="s">
        <v>20</v>
      </c>
      <c r="G66" s="74">
        <v>44098</v>
      </c>
      <c r="H66" s="16">
        <v>2020</v>
      </c>
      <c r="I66" s="135" t="s">
        <v>33</v>
      </c>
      <c r="J66" s="135">
        <v>10</v>
      </c>
      <c r="K66" s="141">
        <v>0.54760303583437775</v>
      </c>
      <c r="L66" s="5" t="s">
        <v>159</v>
      </c>
      <c r="M66" s="5">
        <v>1.8796321100098223E-2</v>
      </c>
      <c r="N66" s="5">
        <v>7.5033485132601122E-2</v>
      </c>
      <c r="O66" s="5">
        <v>0.82873470845611219</v>
      </c>
      <c r="P66" s="5">
        <v>0.75546923832485047</v>
      </c>
      <c r="Q66" s="5">
        <v>3.31597464059291</v>
      </c>
      <c r="R66" s="5">
        <v>2.8135547816769355</v>
      </c>
      <c r="S66" s="5">
        <v>1.3719171354585231</v>
      </c>
      <c r="T66" s="5">
        <v>9.1794803107420311</v>
      </c>
      <c r="U66" s="17">
        <f t="shared" si="32"/>
        <v>76.917132677885817</v>
      </c>
      <c r="V66" s="5">
        <v>8.0000000000000002E-3</v>
      </c>
      <c r="W66" s="5">
        <v>0.11117678962745009</v>
      </c>
      <c r="X66" s="5">
        <v>4.2714013793579503E-2</v>
      </c>
      <c r="Y66" s="5">
        <v>7.3809260356393958E-2</v>
      </c>
      <c r="Z66" s="5">
        <v>7.0000000000000001E-3</v>
      </c>
      <c r="AA66" s="5">
        <v>3.2692248433178563E-2</v>
      </c>
      <c r="AB66" s="5">
        <v>2.969497680691547E-2</v>
      </c>
      <c r="AC66" s="5">
        <f>0.5*0.18</f>
        <v>0.09</v>
      </c>
      <c r="AD66" s="5">
        <v>0.30508728901751758</v>
      </c>
      <c r="AE66" s="17">
        <f t="shared" si="46"/>
        <v>0.29808728901751763</v>
      </c>
      <c r="AF66" s="75">
        <f>0.5*0.005</f>
        <v>2.5000000000000001E-3</v>
      </c>
      <c r="AG66" s="18" t="s">
        <v>158</v>
      </c>
      <c r="AH66" s="100">
        <v>28.368659883225693</v>
      </c>
      <c r="AI66" s="97">
        <f t="shared" si="40"/>
        <v>0.1</v>
      </c>
      <c r="AJ66" s="97" t="s">
        <v>158</v>
      </c>
      <c r="AK66" s="97" t="s">
        <v>158</v>
      </c>
      <c r="AL66" s="97">
        <f t="shared" si="41"/>
        <v>0.1</v>
      </c>
      <c r="AM66" s="97">
        <f t="shared" si="42"/>
        <v>0.15</v>
      </c>
      <c r="AN66" s="98">
        <v>1.0644272019080363</v>
      </c>
      <c r="AO66" s="99">
        <v>0.43859282318140275</v>
      </c>
      <c r="AP66" s="16" t="s">
        <v>158</v>
      </c>
      <c r="AQ66" s="99">
        <v>0.49359599807957372</v>
      </c>
      <c r="AR66" s="99">
        <f t="shared" si="43"/>
        <v>0.05</v>
      </c>
      <c r="AS66" s="99">
        <f>0.5*0.51</f>
        <v>0.255</v>
      </c>
      <c r="AT66" s="99">
        <f t="shared" si="47"/>
        <v>0.255</v>
      </c>
      <c r="AU66" s="99">
        <f t="shared" si="47"/>
        <v>0.255</v>
      </c>
      <c r="AV66" s="99">
        <v>0.42128575632269344</v>
      </c>
      <c r="AW66" s="97">
        <f t="shared" si="45"/>
        <v>0.15</v>
      </c>
      <c r="AX66" s="97"/>
      <c r="AY66" s="97"/>
      <c r="AZ66" s="97"/>
      <c r="BA66" s="97"/>
      <c r="BB66" s="97"/>
      <c r="BC66" s="5" t="s">
        <v>158</v>
      </c>
      <c r="BD66" s="5" t="s">
        <v>158</v>
      </c>
      <c r="BE66" s="5" t="s">
        <v>158</v>
      </c>
      <c r="BF66" s="5" t="s">
        <v>158</v>
      </c>
      <c r="BG66" s="5" t="s">
        <v>158</v>
      </c>
      <c r="BH66" s="5" t="s">
        <v>158</v>
      </c>
      <c r="BI66" s="5" t="s">
        <v>158</v>
      </c>
      <c r="BJ66" s="5" t="s">
        <v>158</v>
      </c>
      <c r="BK66" s="5" t="s">
        <v>158</v>
      </c>
      <c r="BL66" s="5" t="s">
        <v>158</v>
      </c>
      <c r="BM66" s="5" t="s">
        <v>158</v>
      </c>
      <c r="BN66" s="5">
        <v>91</v>
      </c>
      <c r="BO66" s="64" t="s">
        <v>158</v>
      </c>
      <c r="BP66" s="64" t="s">
        <v>158</v>
      </c>
      <c r="BQ66" s="64" t="s">
        <v>158</v>
      </c>
      <c r="BR66" s="64" t="s">
        <v>158</v>
      </c>
      <c r="BS66" s="64" t="s">
        <v>158</v>
      </c>
      <c r="BT66" s="64" t="s">
        <v>158</v>
      </c>
      <c r="BU66" s="64" t="s">
        <v>158</v>
      </c>
      <c r="BV66" s="64" t="s">
        <v>158</v>
      </c>
      <c r="BW66" s="64" t="s">
        <v>158</v>
      </c>
      <c r="BX66" s="64" t="s">
        <v>158</v>
      </c>
      <c r="BY66" s="64" t="s">
        <v>158</v>
      </c>
      <c r="BZ66" s="64" t="s">
        <v>158</v>
      </c>
      <c r="CA66" s="64" t="s">
        <v>158</v>
      </c>
      <c r="CB66" s="64" t="s">
        <v>158</v>
      </c>
      <c r="CC66" s="64" t="s">
        <v>158</v>
      </c>
      <c r="CD66" s="64" t="s">
        <v>158</v>
      </c>
      <c r="CE66" s="64" t="s">
        <v>158</v>
      </c>
      <c r="CF66" s="64" t="s">
        <v>158</v>
      </c>
      <c r="CG66" s="64" t="s">
        <v>158</v>
      </c>
      <c r="CH66" s="64" t="s">
        <v>158</v>
      </c>
      <c r="CI66" s="64" t="s">
        <v>158</v>
      </c>
      <c r="CJ66" s="64" t="s">
        <v>158</v>
      </c>
      <c r="CK66" s="64" t="s">
        <v>158</v>
      </c>
      <c r="CL66" s="64" t="s">
        <v>158</v>
      </c>
      <c r="CM66" s="64" t="s">
        <v>158</v>
      </c>
      <c r="CN66" s="64" t="s">
        <v>158</v>
      </c>
      <c r="CO66" s="64" t="s">
        <v>158</v>
      </c>
      <c r="CP66" s="64" t="s">
        <v>158</v>
      </c>
      <c r="CQ66" s="64" t="s">
        <v>158</v>
      </c>
      <c r="CR66" s="64" t="s">
        <v>158</v>
      </c>
      <c r="CS66" s="64" t="s">
        <v>158</v>
      </c>
      <c r="CT66" s="64" t="s">
        <v>158</v>
      </c>
      <c r="CU66" s="64" t="s">
        <v>158</v>
      </c>
      <c r="CV66" s="64" t="s">
        <v>158</v>
      </c>
      <c r="CW66" s="64" t="s">
        <v>158</v>
      </c>
      <c r="CX66" s="64" t="s">
        <v>158</v>
      </c>
      <c r="CY66" s="66" t="s">
        <v>158</v>
      </c>
    </row>
    <row r="67" spans="1:103" x14ac:dyDescent="0.2">
      <c r="A67" s="71" t="s">
        <v>9</v>
      </c>
      <c r="B67" s="71" t="s">
        <v>9</v>
      </c>
      <c r="C67" s="14" t="s">
        <v>20</v>
      </c>
      <c r="G67" s="74">
        <v>44088</v>
      </c>
      <c r="H67" s="16">
        <v>2020</v>
      </c>
      <c r="I67" s="135" t="s">
        <v>33</v>
      </c>
      <c r="J67" s="135">
        <v>10</v>
      </c>
      <c r="K67" s="141">
        <v>0.52518053080745719</v>
      </c>
      <c r="L67" s="5" t="s">
        <v>159</v>
      </c>
      <c r="M67" s="5">
        <v>2.6367475203770994E-2</v>
      </c>
      <c r="N67" s="5">
        <v>7.952469802612197E-2</v>
      </c>
      <c r="O67" s="5">
        <v>0.68976725915741921</v>
      </c>
      <c r="P67" s="5">
        <v>0.52974565452224287</v>
      </c>
      <c r="Q67" s="5">
        <v>2.674722576843759</v>
      </c>
      <c r="R67" s="5">
        <v>2.1255032897967201</v>
      </c>
      <c r="S67" s="5">
        <v>1.0491210841598742</v>
      </c>
      <c r="T67" s="5">
        <v>7.1747520377099088</v>
      </c>
      <c r="U67" s="17">
        <f t="shared" si="32"/>
        <v>63.264020592795667</v>
      </c>
      <c r="V67" s="5">
        <v>8.9999999999999993E-3</v>
      </c>
      <c r="W67" s="5">
        <v>5.5685877009316591E-2</v>
      </c>
      <c r="X67" s="5">
        <v>2.3870542645258036E-2</v>
      </c>
      <c r="Y67" s="5">
        <v>3.6722057018917162E-2</v>
      </c>
      <c r="Z67" s="5">
        <f>0.5*0.024</f>
        <v>1.2E-2</v>
      </c>
      <c r="AA67" s="5">
        <v>1.626331415578439E-2</v>
      </c>
      <c r="AB67" s="5">
        <v>1.7637678732329552E-2</v>
      </c>
      <c r="AC67" s="5">
        <f>0.5*0.2</f>
        <v>0.1</v>
      </c>
      <c r="AD67" s="5">
        <v>0.15917946956160572</v>
      </c>
      <c r="AE67" s="17">
        <f t="shared" si="46"/>
        <v>0.15917946956160572</v>
      </c>
      <c r="AF67" s="75">
        <v>6.6777963272120202E-3</v>
      </c>
      <c r="AG67" s="18">
        <f t="shared" si="39"/>
        <v>6.3576198425948971E-2</v>
      </c>
      <c r="AH67" s="100">
        <v>1.9434212505298278</v>
      </c>
      <c r="AI67" s="97">
        <f t="shared" si="40"/>
        <v>0.1</v>
      </c>
      <c r="AJ67" s="97" t="s">
        <v>158</v>
      </c>
      <c r="AK67" s="97" t="s">
        <v>158</v>
      </c>
      <c r="AL67" s="97">
        <f t="shared" si="41"/>
        <v>0.1</v>
      </c>
      <c r="AM67" s="97">
        <f t="shared" si="42"/>
        <v>0.15</v>
      </c>
      <c r="AN67" s="97">
        <f>0.5*0.2</f>
        <v>0.1</v>
      </c>
      <c r="AO67" s="99">
        <f>0.5*0.3</f>
        <v>0.15</v>
      </c>
      <c r="AP67" s="16" t="s">
        <v>158</v>
      </c>
      <c r="AQ67" s="99">
        <f>0.5*0.2</f>
        <v>0.1</v>
      </c>
      <c r="AR67" s="99">
        <f t="shared" si="43"/>
        <v>0.05</v>
      </c>
      <c r="AS67" s="99">
        <f>0.5*0.51</f>
        <v>0.255</v>
      </c>
      <c r="AT67" s="99">
        <f t="shared" si="47"/>
        <v>0.255</v>
      </c>
      <c r="AU67" s="99">
        <f t="shared" si="47"/>
        <v>0.255</v>
      </c>
      <c r="AV67" s="99">
        <v>0.21852140503438749</v>
      </c>
      <c r="AW67" s="97">
        <f t="shared" si="45"/>
        <v>0.15</v>
      </c>
      <c r="AX67" s="97"/>
      <c r="AY67" s="97"/>
      <c r="AZ67" s="97"/>
      <c r="BA67" s="97"/>
      <c r="BB67" s="97"/>
      <c r="BC67" s="5" t="s">
        <v>158</v>
      </c>
      <c r="BD67" s="5" t="s">
        <v>158</v>
      </c>
      <c r="BE67" s="5" t="s">
        <v>158</v>
      </c>
      <c r="BF67" s="5" t="s">
        <v>158</v>
      </c>
      <c r="BG67" s="5" t="s">
        <v>158</v>
      </c>
      <c r="BH67" s="5" t="s">
        <v>158</v>
      </c>
      <c r="BI67" s="5" t="s">
        <v>158</v>
      </c>
      <c r="BJ67" s="5" t="s">
        <v>158</v>
      </c>
      <c r="BK67" s="5" t="s">
        <v>158</v>
      </c>
      <c r="BL67" s="5" t="s">
        <v>158</v>
      </c>
      <c r="BM67" s="5" t="s">
        <v>158</v>
      </c>
      <c r="BN67" s="5">
        <v>31</v>
      </c>
      <c r="BO67" s="64" t="s">
        <v>158</v>
      </c>
      <c r="BP67" s="64" t="s">
        <v>158</v>
      </c>
      <c r="BQ67" s="64" t="s">
        <v>158</v>
      </c>
      <c r="BR67" s="64" t="s">
        <v>158</v>
      </c>
      <c r="BS67" s="64" t="s">
        <v>158</v>
      </c>
      <c r="BT67" s="64" t="s">
        <v>158</v>
      </c>
      <c r="BU67" s="64" t="s">
        <v>158</v>
      </c>
      <c r="BV67" s="64" t="s">
        <v>158</v>
      </c>
      <c r="BW67" s="64" t="s">
        <v>158</v>
      </c>
      <c r="BX67" s="64" t="s">
        <v>158</v>
      </c>
      <c r="BY67" s="64" t="s">
        <v>158</v>
      </c>
      <c r="BZ67" s="64" t="s">
        <v>158</v>
      </c>
      <c r="CA67" s="64" t="s">
        <v>158</v>
      </c>
      <c r="CB67" s="64" t="s">
        <v>158</v>
      </c>
      <c r="CC67" s="64" t="s">
        <v>158</v>
      </c>
      <c r="CD67" s="64" t="s">
        <v>158</v>
      </c>
      <c r="CE67" s="64" t="s">
        <v>158</v>
      </c>
      <c r="CF67" s="64" t="s">
        <v>158</v>
      </c>
      <c r="CG67" s="64" t="s">
        <v>158</v>
      </c>
      <c r="CH67" s="64" t="s">
        <v>158</v>
      </c>
      <c r="CI67" s="64" t="s">
        <v>158</v>
      </c>
      <c r="CJ67" s="64" t="s">
        <v>158</v>
      </c>
      <c r="CK67" s="64" t="s">
        <v>158</v>
      </c>
      <c r="CL67" s="64" t="s">
        <v>158</v>
      </c>
      <c r="CM67" s="64" t="s">
        <v>158</v>
      </c>
      <c r="CN67" s="64" t="s">
        <v>158</v>
      </c>
      <c r="CO67" s="64" t="s">
        <v>158</v>
      </c>
      <c r="CP67" s="64" t="s">
        <v>158</v>
      </c>
      <c r="CQ67" s="64" t="s">
        <v>158</v>
      </c>
      <c r="CR67" s="64" t="s">
        <v>158</v>
      </c>
      <c r="CS67" s="64" t="s">
        <v>158</v>
      </c>
      <c r="CT67" s="64" t="s">
        <v>158</v>
      </c>
      <c r="CU67" s="64" t="s">
        <v>158</v>
      </c>
      <c r="CV67" s="64" t="s">
        <v>158</v>
      </c>
      <c r="CW67" s="64" t="s">
        <v>158</v>
      </c>
      <c r="CX67" s="64" t="s">
        <v>158</v>
      </c>
      <c r="CY67" s="66" t="s">
        <v>158</v>
      </c>
    </row>
    <row r="68" spans="1:103" x14ac:dyDescent="0.2">
      <c r="A68" s="71" t="s">
        <v>8</v>
      </c>
      <c r="B68" s="71" t="s">
        <v>8</v>
      </c>
      <c r="C68" s="14" t="s">
        <v>20</v>
      </c>
      <c r="G68" s="74">
        <v>44097</v>
      </c>
      <c r="H68" s="16">
        <v>2020</v>
      </c>
      <c r="I68" s="135" t="s">
        <v>33</v>
      </c>
      <c r="J68" s="135">
        <v>10</v>
      </c>
      <c r="K68" s="141">
        <v>0.52333562113932686</v>
      </c>
      <c r="L68" s="5" t="s">
        <v>159</v>
      </c>
      <c r="M68" s="5">
        <v>0.17406816822802471</v>
      </c>
      <c r="N68" s="5">
        <v>0.37479569463822998</v>
      </c>
      <c r="O68" s="5">
        <v>1.5110723539964122</v>
      </c>
      <c r="P68" s="5">
        <v>1.5094179788718356</v>
      </c>
      <c r="Q68" s="5">
        <v>4.9955949770779347</v>
      </c>
      <c r="R68" s="5">
        <v>4.0142515447478573</v>
      </c>
      <c r="S68" s="5">
        <v>1.9149093083516047</v>
      </c>
      <c r="T68" s="5">
        <v>14.494110025911899</v>
      </c>
      <c r="U68" s="17">
        <f t="shared" si="32"/>
        <v>124.0570250002452</v>
      </c>
      <c r="V68" s="5">
        <v>3.8571368420217238E-2</v>
      </c>
      <c r="W68" s="5">
        <v>0.19398858474323516</v>
      </c>
      <c r="X68" s="5">
        <v>5.1704846988411303E-2</v>
      </c>
      <c r="Y68" s="5">
        <v>8.1419671243904479E-2</v>
      </c>
      <c r="Z68" s="5">
        <v>8.9999999999999993E-3</v>
      </c>
      <c r="AA68" s="5">
        <v>3.0083298604099834E-2</v>
      </c>
      <c r="AB68" s="5">
        <v>3.4399712402063416E-2</v>
      </c>
      <c r="AC68" s="5">
        <f>0.5*0.2</f>
        <v>0.1</v>
      </c>
      <c r="AD68" s="5">
        <v>0.43916748240193149</v>
      </c>
      <c r="AE68" s="17">
        <f t="shared" si="46"/>
        <v>0.43016748240193148</v>
      </c>
      <c r="AF68" s="75">
        <v>1.5547139724935219E-2</v>
      </c>
      <c r="AG68" s="18">
        <f t="shared" si="39"/>
        <v>0.14853890215888943</v>
      </c>
      <c r="AH68" s="100">
        <v>13.046184738955827</v>
      </c>
      <c r="AI68" s="97">
        <f t="shared" si="40"/>
        <v>0.1</v>
      </c>
      <c r="AJ68" s="97" t="s">
        <v>158</v>
      </c>
      <c r="AK68" s="97" t="s">
        <v>158</v>
      </c>
      <c r="AL68" s="97">
        <f t="shared" si="41"/>
        <v>0.1</v>
      </c>
      <c r="AM68" s="97">
        <f t="shared" si="42"/>
        <v>0.15</v>
      </c>
      <c r="AN68" s="98">
        <v>1.7599717050018255</v>
      </c>
      <c r="AO68" s="99">
        <v>0.32309921504198613</v>
      </c>
      <c r="AP68" s="16" t="s">
        <v>158</v>
      </c>
      <c r="AQ68" s="99">
        <v>0.63620390653523184</v>
      </c>
      <c r="AR68" s="99">
        <f t="shared" si="43"/>
        <v>0.05</v>
      </c>
      <c r="AS68" s="99">
        <f>0.5*0.51</f>
        <v>0.255</v>
      </c>
      <c r="AT68" s="99">
        <f t="shared" si="47"/>
        <v>0.255</v>
      </c>
      <c r="AU68" s="99">
        <f t="shared" si="47"/>
        <v>0.255</v>
      </c>
      <c r="AV68" s="99">
        <v>0.27021723256663016</v>
      </c>
      <c r="AW68" s="97">
        <f t="shared" si="45"/>
        <v>0.15</v>
      </c>
      <c r="AX68" s="97"/>
      <c r="AY68" s="97"/>
      <c r="AZ68" s="97"/>
      <c r="BA68" s="97"/>
      <c r="BB68" s="97"/>
      <c r="BC68" s="5" t="s">
        <v>158</v>
      </c>
      <c r="BD68" s="5" t="s">
        <v>158</v>
      </c>
      <c r="BE68" s="5" t="s">
        <v>158</v>
      </c>
      <c r="BF68" s="5" t="s">
        <v>158</v>
      </c>
      <c r="BG68" s="5" t="s">
        <v>158</v>
      </c>
      <c r="BH68" s="5" t="s">
        <v>158</v>
      </c>
      <c r="BI68" s="5" t="s">
        <v>158</v>
      </c>
      <c r="BJ68" s="5" t="s">
        <v>158</v>
      </c>
      <c r="BK68" s="5" t="s">
        <v>158</v>
      </c>
      <c r="BL68" s="5" t="s">
        <v>158</v>
      </c>
      <c r="BM68" s="5" t="s">
        <v>158</v>
      </c>
      <c r="BN68" s="5">
        <v>160</v>
      </c>
      <c r="BO68" s="64" t="s">
        <v>158</v>
      </c>
      <c r="BP68" s="64" t="s">
        <v>158</v>
      </c>
      <c r="BQ68" s="64" t="s">
        <v>158</v>
      </c>
      <c r="BR68" s="64" t="s">
        <v>158</v>
      </c>
      <c r="BS68" s="64" t="s">
        <v>158</v>
      </c>
      <c r="BT68" s="64" t="s">
        <v>158</v>
      </c>
      <c r="BU68" s="64" t="s">
        <v>158</v>
      </c>
      <c r="BV68" s="64" t="s">
        <v>158</v>
      </c>
      <c r="BW68" s="64" t="s">
        <v>158</v>
      </c>
      <c r="BX68" s="64" t="s">
        <v>158</v>
      </c>
      <c r="BY68" s="64" t="s">
        <v>158</v>
      </c>
      <c r="BZ68" s="64" t="s">
        <v>158</v>
      </c>
      <c r="CA68" s="64" t="s">
        <v>158</v>
      </c>
      <c r="CB68" s="64" t="s">
        <v>158</v>
      </c>
      <c r="CC68" s="64" t="s">
        <v>158</v>
      </c>
      <c r="CD68" s="64" t="s">
        <v>158</v>
      </c>
      <c r="CE68" s="64" t="s">
        <v>158</v>
      </c>
      <c r="CF68" s="64" t="s">
        <v>158</v>
      </c>
      <c r="CG68" s="64" t="s">
        <v>158</v>
      </c>
      <c r="CH68" s="64" t="s">
        <v>158</v>
      </c>
      <c r="CI68" s="64" t="s">
        <v>158</v>
      </c>
      <c r="CJ68" s="64" t="s">
        <v>158</v>
      </c>
      <c r="CK68" s="64" t="s">
        <v>158</v>
      </c>
      <c r="CL68" s="64" t="s">
        <v>158</v>
      </c>
      <c r="CM68" s="64" t="s">
        <v>158</v>
      </c>
      <c r="CN68" s="64" t="s">
        <v>158</v>
      </c>
      <c r="CO68" s="64" t="s">
        <v>158</v>
      </c>
      <c r="CP68" s="64" t="s">
        <v>158</v>
      </c>
      <c r="CQ68" s="64" t="s">
        <v>158</v>
      </c>
      <c r="CR68" s="64" t="s">
        <v>158</v>
      </c>
      <c r="CS68" s="64" t="s">
        <v>158</v>
      </c>
      <c r="CT68" s="64" t="s">
        <v>158</v>
      </c>
      <c r="CU68" s="64" t="s">
        <v>158</v>
      </c>
      <c r="CV68" s="64" t="s">
        <v>158</v>
      </c>
      <c r="CW68" s="64" t="s">
        <v>158</v>
      </c>
      <c r="CX68" s="64" t="s">
        <v>158</v>
      </c>
      <c r="CY68" s="66" t="s">
        <v>158</v>
      </c>
    </row>
    <row r="69" spans="1:103" x14ac:dyDescent="0.2">
      <c r="A69" s="71" t="s">
        <v>6</v>
      </c>
      <c r="B69" s="71" t="s">
        <v>6</v>
      </c>
      <c r="C69" s="14" t="s">
        <v>20</v>
      </c>
      <c r="G69" s="74">
        <v>44076</v>
      </c>
      <c r="H69" s="16">
        <v>2020</v>
      </c>
      <c r="I69" s="135" t="s">
        <v>33</v>
      </c>
      <c r="J69" s="135">
        <v>10</v>
      </c>
      <c r="K69" s="141">
        <v>0.47424214245862151</v>
      </c>
      <c r="L69" s="5" t="s">
        <v>159</v>
      </c>
      <c r="M69" s="5">
        <v>4.192823394048277E-2</v>
      </c>
      <c r="N69" s="5">
        <v>0.20180579148326977</v>
      </c>
      <c r="O69" s="5">
        <v>1.1352431503818072</v>
      </c>
      <c r="P69" s="5">
        <v>0.98619574324897774</v>
      </c>
      <c r="Q69" s="5">
        <v>2.8460301510541921</v>
      </c>
      <c r="R69" s="5">
        <v>2.2701489999932774</v>
      </c>
      <c r="S69" s="5">
        <v>0.8815410952932754</v>
      </c>
      <c r="T69" s="5">
        <v>8.3628931653952829</v>
      </c>
      <c r="U69" s="17">
        <f t="shared" si="32"/>
        <v>77.773533409569708</v>
      </c>
      <c r="V69" s="5">
        <v>8.9999999999999993E-3</v>
      </c>
      <c r="W69" s="5">
        <v>0.109100068376923</v>
      </c>
      <c r="X69" s="5">
        <v>3.0029546545661603E-2</v>
      </c>
      <c r="Y69" s="5">
        <v>8.7190345600406199E-2</v>
      </c>
      <c r="Z69" s="5">
        <f>0.5*0.024</f>
        <v>1.2E-2</v>
      </c>
      <c r="AA69" s="5">
        <v>1.6630687209891491E-2</v>
      </c>
      <c r="AB69" s="5">
        <v>1.7838309725132572E-2</v>
      </c>
      <c r="AC69" s="5">
        <f>0.5*0.19</f>
        <v>9.5000000000000001E-2</v>
      </c>
      <c r="AD69" s="5">
        <v>0.26978895745801484</v>
      </c>
      <c r="AE69" s="17">
        <f t="shared" si="46"/>
        <v>0.26978895745801484</v>
      </c>
      <c r="AF69" s="75">
        <v>2.6104041916167664E-2</v>
      </c>
      <c r="AG69" s="18">
        <f t="shared" si="39"/>
        <v>0.27521849682986882</v>
      </c>
      <c r="AH69" s="100">
        <v>4.4276682550063837</v>
      </c>
      <c r="AI69" s="97">
        <f t="shared" si="40"/>
        <v>0.1</v>
      </c>
      <c r="AJ69" s="97" t="s">
        <v>158</v>
      </c>
      <c r="AK69" s="97" t="s">
        <v>158</v>
      </c>
      <c r="AL69" s="97">
        <f t="shared" si="41"/>
        <v>0.1</v>
      </c>
      <c r="AM69" s="97">
        <f t="shared" si="42"/>
        <v>0.15</v>
      </c>
      <c r="AN69" s="97">
        <v>0.6124295368899686</v>
      </c>
      <c r="AO69" s="99">
        <f>0.5*0.3</f>
        <v>0.15</v>
      </c>
      <c r="AP69" s="16" t="s">
        <v>158</v>
      </c>
      <c r="AQ69" s="99">
        <v>0.21646578840823447</v>
      </c>
      <c r="AR69" s="99">
        <f t="shared" si="43"/>
        <v>0.05</v>
      </c>
      <c r="AS69" s="99">
        <f>0.5*0.51</f>
        <v>0.255</v>
      </c>
      <c r="AT69" s="99">
        <f t="shared" si="47"/>
        <v>0.255</v>
      </c>
      <c r="AU69" s="99">
        <f t="shared" si="47"/>
        <v>0.255</v>
      </c>
      <c r="AV69" s="99">
        <v>0.22037434987075274</v>
      </c>
      <c r="AW69" s="97">
        <f t="shared" si="45"/>
        <v>0.15</v>
      </c>
      <c r="AX69" s="97"/>
      <c r="AY69" s="97"/>
      <c r="AZ69" s="97"/>
      <c r="BA69" s="97"/>
      <c r="BB69" s="97"/>
      <c r="BC69" s="5" t="s">
        <v>158</v>
      </c>
      <c r="BD69" s="5" t="s">
        <v>158</v>
      </c>
      <c r="BE69" s="5" t="s">
        <v>158</v>
      </c>
      <c r="BF69" s="5" t="s">
        <v>158</v>
      </c>
      <c r="BG69" s="5" t="s">
        <v>158</v>
      </c>
      <c r="BH69" s="5" t="s">
        <v>158</v>
      </c>
      <c r="BI69" s="5" t="s">
        <v>158</v>
      </c>
      <c r="BJ69" s="5" t="s">
        <v>158</v>
      </c>
      <c r="BK69" s="5" t="s">
        <v>158</v>
      </c>
      <c r="BL69" s="5" t="s">
        <v>158</v>
      </c>
      <c r="BM69" s="5" t="s">
        <v>158</v>
      </c>
      <c r="BN69" s="5">
        <v>42</v>
      </c>
      <c r="BO69" s="64" t="s">
        <v>158</v>
      </c>
      <c r="BP69" s="64" t="s">
        <v>158</v>
      </c>
      <c r="BQ69" s="64" t="s">
        <v>158</v>
      </c>
      <c r="BR69" s="64" t="s">
        <v>158</v>
      </c>
      <c r="BS69" s="64" t="s">
        <v>158</v>
      </c>
      <c r="BT69" s="64" t="s">
        <v>158</v>
      </c>
      <c r="BU69" s="64" t="s">
        <v>158</v>
      </c>
      <c r="BV69" s="64" t="s">
        <v>158</v>
      </c>
      <c r="BW69" s="64" t="s">
        <v>158</v>
      </c>
      <c r="BX69" s="64" t="s">
        <v>158</v>
      </c>
      <c r="BY69" s="64" t="s">
        <v>158</v>
      </c>
      <c r="BZ69" s="64" t="s">
        <v>158</v>
      </c>
      <c r="CA69" s="64" t="s">
        <v>158</v>
      </c>
      <c r="CB69" s="64" t="s">
        <v>158</v>
      </c>
      <c r="CC69" s="64" t="s">
        <v>158</v>
      </c>
      <c r="CD69" s="64" t="s">
        <v>158</v>
      </c>
      <c r="CE69" s="64" t="s">
        <v>158</v>
      </c>
      <c r="CF69" s="64" t="s">
        <v>158</v>
      </c>
      <c r="CG69" s="64" t="s">
        <v>158</v>
      </c>
      <c r="CH69" s="64" t="s">
        <v>158</v>
      </c>
      <c r="CI69" s="64" t="s">
        <v>158</v>
      </c>
      <c r="CJ69" s="64" t="s">
        <v>158</v>
      </c>
      <c r="CK69" s="64" t="s">
        <v>158</v>
      </c>
      <c r="CL69" s="64" t="s">
        <v>158</v>
      </c>
      <c r="CM69" s="64" t="s">
        <v>158</v>
      </c>
      <c r="CN69" s="64" t="s">
        <v>158</v>
      </c>
      <c r="CO69" s="64" t="s">
        <v>158</v>
      </c>
      <c r="CP69" s="64" t="s">
        <v>158</v>
      </c>
      <c r="CQ69" s="64" t="s">
        <v>158</v>
      </c>
      <c r="CR69" s="64" t="s">
        <v>158</v>
      </c>
      <c r="CS69" s="64" t="s">
        <v>158</v>
      </c>
      <c r="CT69" s="64" t="s">
        <v>158</v>
      </c>
      <c r="CU69" s="64" t="s">
        <v>158</v>
      </c>
      <c r="CV69" s="64" t="s">
        <v>158</v>
      </c>
      <c r="CW69" s="64" t="s">
        <v>158</v>
      </c>
      <c r="CX69" s="64" t="s">
        <v>158</v>
      </c>
      <c r="CY69" s="66" t="s">
        <v>158</v>
      </c>
    </row>
    <row r="70" spans="1:103" x14ac:dyDescent="0.2">
      <c r="A70" s="71" t="s">
        <v>22</v>
      </c>
      <c r="B70" s="71" t="s">
        <v>22</v>
      </c>
      <c r="C70" s="14" t="s">
        <v>20</v>
      </c>
      <c r="G70" s="74">
        <v>44103</v>
      </c>
      <c r="H70" s="16">
        <v>2020</v>
      </c>
      <c r="I70" s="135" t="s">
        <v>33</v>
      </c>
      <c r="J70" s="135">
        <v>10</v>
      </c>
      <c r="K70" s="141">
        <v>0.65979754157628701</v>
      </c>
      <c r="L70" s="5" t="s">
        <v>159</v>
      </c>
      <c r="M70" s="5">
        <v>0.45874618902439024</v>
      </c>
      <c r="N70" s="5">
        <v>0.93237423780487794</v>
      </c>
      <c r="O70" s="5">
        <v>3.1314119664634146</v>
      </c>
      <c r="P70" s="5">
        <v>3.0152629573170735</v>
      </c>
      <c r="Q70" s="5">
        <v>7.9381442316852437</v>
      </c>
      <c r="R70" s="5">
        <v>6.8494808040392492</v>
      </c>
      <c r="S70" s="5">
        <v>2.7946169969512193</v>
      </c>
      <c r="T70" s="5">
        <v>25.120037383285471</v>
      </c>
      <c r="U70" s="17">
        <f t="shared" si="32"/>
        <v>167.51179743076233</v>
      </c>
      <c r="V70" s="5">
        <v>1.4133504577920449E-2</v>
      </c>
      <c r="W70" s="5">
        <v>0.37347665254112311</v>
      </c>
      <c r="X70" s="5">
        <v>8.7080235970276074E-2</v>
      </c>
      <c r="Y70" s="5">
        <v>0.14503725218314784</v>
      </c>
      <c r="Z70" s="5">
        <v>1.0949848256614138E-2</v>
      </c>
      <c r="AA70" s="5">
        <v>4.171313339166112E-2</v>
      </c>
      <c r="AB70" s="5">
        <v>5.8813226814435189E-2</v>
      </c>
      <c r="AC70" s="5">
        <f>0.5*0.19</f>
        <v>9.5000000000000001E-2</v>
      </c>
      <c r="AD70" s="5">
        <v>0.73120385373517804</v>
      </c>
      <c r="AE70" s="17">
        <f t="shared" si="46"/>
        <v>0.72025400547856377</v>
      </c>
      <c r="AF70" s="75">
        <v>1.5053353658536585E-2</v>
      </c>
      <c r="AG70" s="18">
        <f t="shared" si="39"/>
        <v>0.11407555128633416</v>
      </c>
      <c r="AH70" s="100">
        <v>10.870383897410928</v>
      </c>
      <c r="AI70" s="97">
        <f t="shared" si="40"/>
        <v>0.1</v>
      </c>
      <c r="AJ70" s="97" t="s">
        <v>158</v>
      </c>
      <c r="AK70" s="97" t="s">
        <v>158</v>
      </c>
      <c r="AL70" s="97">
        <f t="shared" si="41"/>
        <v>0.1</v>
      </c>
      <c r="AM70" s="97">
        <f t="shared" si="42"/>
        <v>0.15</v>
      </c>
      <c r="AN70" s="97">
        <v>0.73104861618375161</v>
      </c>
      <c r="AO70" s="99">
        <f>0.5*0.3</f>
        <v>0.15</v>
      </c>
      <c r="AP70" s="16" t="s">
        <v>158</v>
      </c>
      <c r="AQ70" s="99">
        <v>0.57972161350539753</v>
      </c>
      <c r="AR70" s="99">
        <v>0.17805170034899773</v>
      </c>
      <c r="AS70" s="99">
        <v>0.80959337716094493</v>
      </c>
      <c r="AT70" s="99">
        <v>0.52775748721694682</v>
      </c>
      <c r="AU70" s="99">
        <f>0.5*0.51</f>
        <v>0.255</v>
      </c>
      <c r="AV70" s="99">
        <v>0.11062413765116472</v>
      </c>
      <c r="AW70" s="97">
        <f t="shared" si="45"/>
        <v>0.15</v>
      </c>
      <c r="AX70" s="97"/>
      <c r="AY70" s="97"/>
      <c r="AZ70" s="97"/>
      <c r="BA70" s="97"/>
      <c r="BB70" s="97"/>
      <c r="BC70" s="5" t="s">
        <v>158</v>
      </c>
      <c r="BD70" s="5" t="s">
        <v>158</v>
      </c>
      <c r="BE70" s="5" t="s">
        <v>158</v>
      </c>
      <c r="BF70" s="5" t="s">
        <v>158</v>
      </c>
      <c r="BG70" s="5" t="s">
        <v>158</v>
      </c>
      <c r="BH70" s="5" t="s">
        <v>158</v>
      </c>
      <c r="BI70" s="5" t="s">
        <v>158</v>
      </c>
      <c r="BJ70" s="5" t="s">
        <v>158</v>
      </c>
      <c r="BK70" s="5" t="s">
        <v>158</v>
      </c>
      <c r="BL70" s="5" t="s">
        <v>158</v>
      </c>
      <c r="BM70" s="5" t="s">
        <v>158</v>
      </c>
      <c r="BN70" s="5">
        <v>150</v>
      </c>
      <c r="BO70" s="64" t="s">
        <v>158</v>
      </c>
      <c r="BP70" s="64" t="s">
        <v>158</v>
      </c>
      <c r="BQ70" s="64" t="s">
        <v>158</v>
      </c>
      <c r="BR70" s="64" t="s">
        <v>158</v>
      </c>
      <c r="BS70" s="64" t="s">
        <v>158</v>
      </c>
      <c r="BT70" s="64" t="s">
        <v>158</v>
      </c>
      <c r="BU70" s="64" t="s">
        <v>158</v>
      </c>
      <c r="BV70" s="64" t="s">
        <v>158</v>
      </c>
      <c r="BW70" s="64" t="s">
        <v>158</v>
      </c>
      <c r="BX70" s="64" t="s">
        <v>158</v>
      </c>
      <c r="BY70" s="64" t="s">
        <v>158</v>
      </c>
      <c r="BZ70" s="64" t="s">
        <v>158</v>
      </c>
      <c r="CA70" s="64" t="s">
        <v>158</v>
      </c>
      <c r="CB70" s="64" t="s">
        <v>158</v>
      </c>
      <c r="CC70" s="64" t="s">
        <v>158</v>
      </c>
      <c r="CD70" s="64" t="s">
        <v>158</v>
      </c>
      <c r="CE70" s="64" t="s">
        <v>158</v>
      </c>
      <c r="CF70" s="64" t="s">
        <v>158</v>
      </c>
      <c r="CG70" s="64" t="s">
        <v>158</v>
      </c>
      <c r="CH70" s="64" t="s">
        <v>158</v>
      </c>
      <c r="CI70" s="64" t="s">
        <v>158</v>
      </c>
      <c r="CJ70" s="64" t="s">
        <v>158</v>
      </c>
      <c r="CK70" s="64" t="s">
        <v>158</v>
      </c>
      <c r="CL70" s="64" t="s">
        <v>158</v>
      </c>
      <c r="CM70" s="64" t="s">
        <v>158</v>
      </c>
      <c r="CN70" s="64" t="s">
        <v>158</v>
      </c>
      <c r="CO70" s="64" t="s">
        <v>158</v>
      </c>
      <c r="CP70" s="64" t="s">
        <v>158</v>
      </c>
      <c r="CQ70" s="64" t="s">
        <v>158</v>
      </c>
      <c r="CR70" s="64" t="s">
        <v>158</v>
      </c>
      <c r="CS70" s="64" t="s">
        <v>158</v>
      </c>
      <c r="CT70" s="64" t="s">
        <v>158</v>
      </c>
      <c r="CU70" s="64" t="s">
        <v>158</v>
      </c>
      <c r="CV70" s="64" t="s">
        <v>158</v>
      </c>
      <c r="CW70" s="64" t="s">
        <v>158</v>
      </c>
      <c r="CX70" s="64" t="s">
        <v>158</v>
      </c>
      <c r="CY70" s="66" t="s">
        <v>158</v>
      </c>
    </row>
    <row r="71" spans="1:103" x14ac:dyDescent="0.2">
      <c r="A71" s="71" t="s">
        <v>81</v>
      </c>
      <c r="B71" s="71" t="s">
        <v>81</v>
      </c>
      <c r="C71" s="14" t="s">
        <v>20</v>
      </c>
      <c r="G71" s="74">
        <v>44049</v>
      </c>
      <c r="H71" s="16">
        <v>2020</v>
      </c>
      <c r="I71" s="135" t="s">
        <v>33</v>
      </c>
      <c r="J71" s="135">
        <v>10</v>
      </c>
      <c r="K71" s="141">
        <v>0.64485081809432299</v>
      </c>
      <c r="L71" s="5" t="s">
        <v>159</v>
      </c>
      <c r="M71" s="5">
        <v>3.3809662681053752E-2</v>
      </c>
      <c r="N71" s="5">
        <v>5.7135219208710016E-2</v>
      </c>
      <c r="O71" s="5">
        <v>0.21169437153689122</v>
      </c>
      <c r="P71" s="5">
        <v>0.14997569748225914</v>
      </c>
      <c r="Q71" s="5">
        <v>0.44368620589093022</v>
      </c>
      <c r="R71" s="5">
        <v>0.42281520365509861</v>
      </c>
      <c r="S71" s="5">
        <v>0.178973461650627</v>
      </c>
      <c r="T71" s="5">
        <v>1.4980898221055701</v>
      </c>
      <c r="U71" s="17">
        <f t="shared" si="32"/>
        <v>10.45291474241505</v>
      </c>
      <c r="V71" s="5">
        <f>0.5*0.024</f>
        <v>1.2E-2</v>
      </c>
      <c r="W71" s="5">
        <v>4.5224689706991783E-2</v>
      </c>
      <c r="X71" s="5">
        <v>2.2460421010083532E-2</v>
      </c>
      <c r="Y71" s="5">
        <v>4.6513003899128609E-2</v>
      </c>
      <c r="Z71" s="5">
        <f>0.5*0.024</f>
        <v>1.2E-2</v>
      </c>
      <c r="AA71" s="5">
        <v>1.5982388326980436E-2</v>
      </c>
      <c r="AB71" s="5">
        <v>1.4572535060113722E-2</v>
      </c>
      <c r="AC71" s="5">
        <v>0.33111939123632167</v>
      </c>
      <c r="AD71" s="5">
        <v>0.4758724292396197</v>
      </c>
      <c r="AE71" s="17">
        <f t="shared" si="46"/>
        <v>0.15675303800329807</v>
      </c>
      <c r="AF71" s="75">
        <v>5.084826988476808E-2</v>
      </c>
      <c r="AG71" s="18">
        <f t="shared" si="39"/>
        <v>0.39426382395726794</v>
      </c>
      <c r="AH71" s="100">
        <v>4.3348077743252302</v>
      </c>
      <c r="AI71" s="97">
        <f t="shared" si="40"/>
        <v>0.1</v>
      </c>
      <c r="AJ71" s="97" t="s">
        <v>158</v>
      </c>
      <c r="AK71" s="97" t="s">
        <v>158</v>
      </c>
      <c r="AL71" s="97">
        <f t="shared" si="41"/>
        <v>0.1</v>
      </c>
      <c r="AM71" s="97">
        <f t="shared" si="42"/>
        <v>0.15</v>
      </c>
      <c r="AN71" s="97">
        <v>0.4682751477487358</v>
      </c>
      <c r="AO71" s="99">
        <v>0.80752452324377033</v>
      </c>
      <c r="AP71" s="16" t="s">
        <v>158</v>
      </c>
      <c r="AQ71" s="99">
        <v>0.75027112654603045</v>
      </c>
      <c r="AR71" s="99">
        <f>0.5*0.1</f>
        <v>0.05</v>
      </c>
      <c r="AS71" s="101">
        <v>1.6304149150063973</v>
      </c>
      <c r="AT71" s="99">
        <v>0.55200146225552915</v>
      </c>
      <c r="AU71" s="99">
        <v>0.71650520928532258</v>
      </c>
      <c r="AV71" s="99">
        <f>0.5*0.1</f>
        <v>0.05</v>
      </c>
      <c r="AW71" s="97">
        <f t="shared" si="45"/>
        <v>0.15</v>
      </c>
      <c r="AX71" s="97"/>
      <c r="AY71" s="97"/>
      <c r="AZ71" s="97"/>
      <c r="BA71" s="97"/>
      <c r="BB71" s="97"/>
      <c r="BC71" s="5" t="s">
        <v>158</v>
      </c>
      <c r="BD71" s="5" t="s">
        <v>158</v>
      </c>
      <c r="BE71" s="5" t="s">
        <v>158</v>
      </c>
      <c r="BF71" s="5" t="s">
        <v>158</v>
      </c>
      <c r="BG71" s="5" t="s">
        <v>158</v>
      </c>
      <c r="BH71" s="5" t="s">
        <v>158</v>
      </c>
      <c r="BI71" s="5" t="s">
        <v>158</v>
      </c>
      <c r="BJ71" s="5" t="s">
        <v>158</v>
      </c>
      <c r="BK71" s="5" t="s">
        <v>158</v>
      </c>
      <c r="BL71" s="5" t="s">
        <v>158</v>
      </c>
      <c r="BM71" s="5" t="s">
        <v>158</v>
      </c>
      <c r="BN71" s="5">
        <v>29</v>
      </c>
      <c r="BO71" s="64" t="s">
        <v>158</v>
      </c>
      <c r="BP71" s="64" t="s">
        <v>158</v>
      </c>
      <c r="BQ71" s="64" t="s">
        <v>158</v>
      </c>
      <c r="BR71" s="64" t="s">
        <v>158</v>
      </c>
      <c r="BS71" s="64" t="s">
        <v>158</v>
      </c>
      <c r="BT71" s="64" t="s">
        <v>158</v>
      </c>
      <c r="BU71" s="64" t="s">
        <v>158</v>
      </c>
      <c r="BV71" s="64" t="s">
        <v>158</v>
      </c>
      <c r="BW71" s="64" t="s">
        <v>158</v>
      </c>
      <c r="BX71" s="64" t="s">
        <v>158</v>
      </c>
      <c r="BY71" s="64" t="s">
        <v>158</v>
      </c>
      <c r="BZ71" s="64" t="s">
        <v>158</v>
      </c>
      <c r="CA71" s="64" t="s">
        <v>158</v>
      </c>
      <c r="CB71" s="64" t="s">
        <v>158</v>
      </c>
      <c r="CC71" s="64" t="s">
        <v>158</v>
      </c>
      <c r="CD71" s="64" t="s">
        <v>158</v>
      </c>
      <c r="CE71" s="64" t="s">
        <v>158</v>
      </c>
      <c r="CF71" s="64" t="s">
        <v>158</v>
      </c>
      <c r="CG71" s="64" t="s">
        <v>158</v>
      </c>
      <c r="CH71" s="64" t="s">
        <v>158</v>
      </c>
      <c r="CI71" s="64" t="s">
        <v>158</v>
      </c>
      <c r="CJ71" s="64" t="s">
        <v>158</v>
      </c>
      <c r="CK71" s="64" t="s">
        <v>158</v>
      </c>
      <c r="CL71" s="64" t="s">
        <v>158</v>
      </c>
      <c r="CM71" s="64" t="s">
        <v>158</v>
      </c>
      <c r="CN71" s="64" t="s">
        <v>158</v>
      </c>
      <c r="CO71" s="64" t="s">
        <v>158</v>
      </c>
      <c r="CP71" s="64" t="s">
        <v>158</v>
      </c>
      <c r="CQ71" s="64" t="s">
        <v>158</v>
      </c>
      <c r="CR71" s="64" t="s">
        <v>158</v>
      </c>
      <c r="CS71" s="64" t="s">
        <v>158</v>
      </c>
      <c r="CT71" s="64" t="s">
        <v>158</v>
      </c>
      <c r="CU71" s="64" t="s">
        <v>158</v>
      </c>
      <c r="CV71" s="64" t="s">
        <v>158</v>
      </c>
      <c r="CW71" s="64" t="s">
        <v>158</v>
      </c>
      <c r="CX71" s="64" t="s">
        <v>158</v>
      </c>
      <c r="CY71" s="66" t="s">
        <v>158</v>
      </c>
    </row>
    <row r="72" spans="1:103" x14ac:dyDescent="0.2">
      <c r="A72" s="71" t="s">
        <v>26</v>
      </c>
      <c r="B72" s="71" t="s">
        <v>26</v>
      </c>
      <c r="C72" s="14" t="s">
        <v>20</v>
      </c>
      <c r="G72" s="74">
        <v>44047</v>
      </c>
      <c r="H72" s="16">
        <v>2020</v>
      </c>
      <c r="I72" s="135" t="s">
        <v>33</v>
      </c>
      <c r="J72" s="135">
        <v>10</v>
      </c>
      <c r="K72" s="141">
        <v>0.62780269058296567</v>
      </c>
      <c r="L72" s="5" t="s">
        <v>159</v>
      </c>
      <c r="M72" s="5">
        <v>1.6077537058152794E-2</v>
      </c>
      <c r="N72" s="5">
        <f>0.5*0.02</f>
        <v>0.01</v>
      </c>
      <c r="O72" s="5">
        <v>9.5819080197643486E-2</v>
      </c>
      <c r="P72" s="5">
        <v>9.879323451159254E-2</v>
      </c>
      <c r="Q72" s="5">
        <v>0.26313188901558349</v>
      </c>
      <c r="R72" s="5">
        <v>0.25109274040288865</v>
      </c>
      <c r="S72" s="5">
        <v>9.771949828962373E-2</v>
      </c>
      <c r="T72" s="5">
        <v>0.82263397947548467</v>
      </c>
      <c r="U72" s="17">
        <f t="shared" si="32"/>
        <v>5.8445173616766564</v>
      </c>
      <c r="V72" s="5">
        <f>0.5*0.024</f>
        <v>1.2E-2</v>
      </c>
      <c r="W72" s="5">
        <v>7.0000000000000001E-3</v>
      </c>
      <c r="X72" s="5">
        <f>0.5*0.019</f>
        <v>9.4999999999999998E-3</v>
      </c>
      <c r="Y72" s="5">
        <v>8.0000000000000002E-3</v>
      </c>
      <c r="Z72" s="5">
        <f>0.5*0.024</f>
        <v>1.2E-2</v>
      </c>
      <c r="AA72" s="5">
        <f>0.5*0.024</f>
        <v>1.2E-2</v>
      </c>
      <c r="AB72" s="5">
        <f>0.5*0.024</f>
        <v>1.2E-2</v>
      </c>
      <c r="AC72" s="5">
        <f>0.5*0.19</f>
        <v>9.5000000000000001E-2</v>
      </c>
      <c r="AD72" s="5">
        <v>1.5085729940355272E-2</v>
      </c>
      <c r="AE72" s="17">
        <f t="shared" si="46"/>
        <v>6.0499999999999998E-2</v>
      </c>
      <c r="AF72" s="75">
        <f>0.5*0.005</f>
        <v>2.5000000000000001E-3</v>
      </c>
      <c r="AG72" s="18" t="s">
        <v>158</v>
      </c>
      <c r="AH72" s="100">
        <v>2.0705039652084936</v>
      </c>
      <c r="AI72" s="97">
        <f t="shared" si="40"/>
        <v>0.1</v>
      </c>
      <c r="AJ72" s="97" t="s">
        <v>158</v>
      </c>
      <c r="AK72" s="97" t="s">
        <v>158</v>
      </c>
      <c r="AL72" s="97">
        <f t="shared" si="41"/>
        <v>0.1</v>
      </c>
      <c r="AM72" s="97">
        <f t="shared" si="42"/>
        <v>0.15</v>
      </c>
      <c r="AN72" s="97">
        <v>0.26244563827065748</v>
      </c>
      <c r="AO72" s="99">
        <f>0.5*0.3</f>
        <v>0.15</v>
      </c>
      <c r="AP72" s="16" t="s">
        <v>158</v>
      </c>
      <c r="AQ72" s="99">
        <f>0.5*0.2</f>
        <v>0.1</v>
      </c>
      <c r="AR72" s="99">
        <f>0.5*0.1</f>
        <v>0.05</v>
      </c>
      <c r="AS72" s="99">
        <f>0.5*0.51</f>
        <v>0.255</v>
      </c>
      <c r="AT72" s="99">
        <f>0.5*0.51</f>
        <v>0.255</v>
      </c>
      <c r="AU72" s="99">
        <f>0.5*0.51</f>
        <v>0.255</v>
      </c>
      <c r="AV72" s="99">
        <f>0.5*0.1</f>
        <v>0.05</v>
      </c>
      <c r="AW72" s="97">
        <f t="shared" si="45"/>
        <v>0.15</v>
      </c>
      <c r="AX72" s="97"/>
      <c r="AY72" s="97"/>
      <c r="AZ72" s="97"/>
      <c r="BA72" s="97"/>
      <c r="BB72" s="97"/>
      <c r="BC72" s="5" t="s">
        <v>158</v>
      </c>
      <c r="BD72" s="5" t="s">
        <v>158</v>
      </c>
      <c r="BE72" s="5" t="s">
        <v>158</v>
      </c>
      <c r="BF72" s="5" t="s">
        <v>158</v>
      </c>
      <c r="BG72" s="5" t="s">
        <v>158</v>
      </c>
      <c r="BH72" s="5" t="s">
        <v>158</v>
      </c>
      <c r="BI72" s="5" t="s">
        <v>158</v>
      </c>
      <c r="BJ72" s="5" t="s">
        <v>158</v>
      </c>
      <c r="BK72" s="5" t="s">
        <v>158</v>
      </c>
      <c r="BL72" s="5" t="s">
        <v>158</v>
      </c>
      <c r="BM72" s="5" t="s">
        <v>158</v>
      </c>
      <c r="BN72" s="5">
        <v>45</v>
      </c>
      <c r="BO72" s="64" t="s">
        <v>158</v>
      </c>
      <c r="BP72" s="64" t="s">
        <v>158</v>
      </c>
      <c r="BQ72" s="64" t="s">
        <v>158</v>
      </c>
      <c r="BR72" s="64" t="s">
        <v>158</v>
      </c>
      <c r="BS72" s="64" t="s">
        <v>158</v>
      </c>
      <c r="BT72" s="64" t="s">
        <v>158</v>
      </c>
      <c r="BU72" s="64" t="s">
        <v>158</v>
      </c>
      <c r="BV72" s="64" t="s">
        <v>158</v>
      </c>
      <c r="BW72" s="64" t="s">
        <v>158</v>
      </c>
      <c r="BX72" s="64" t="s">
        <v>158</v>
      </c>
      <c r="BY72" s="64" t="s">
        <v>158</v>
      </c>
      <c r="BZ72" s="64" t="s">
        <v>158</v>
      </c>
      <c r="CA72" s="64" t="s">
        <v>158</v>
      </c>
      <c r="CB72" s="64" t="s">
        <v>158</v>
      </c>
      <c r="CC72" s="64" t="s">
        <v>158</v>
      </c>
      <c r="CD72" s="64" t="s">
        <v>158</v>
      </c>
      <c r="CE72" s="64" t="s">
        <v>158</v>
      </c>
      <c r="CF72" s="64" t="s">
        <v>158</v>
      </c>
      <c r="CG72" s="64" t="s">
        <v>158</v>
      </c>
      <c r="CH72" s="64" t="s">
        <v>158</v>
      </c>
      <c r="CI72" s="64" t="s">
        <v>158</v>
      </c>
      <c r="CJ72" s="64" t="s">
        <v>158</v>
      </c>
      <c r="CK72" s="64" t="s">
        <v>158</v>
      </c>
      <c r="CL72" s="64" t="s">
        <v>158</v>
      </c>
      <c r="CM72" s="64" t="s">
        <v>158</v>
      </c>
      <c r="CN72" s="64" t="s">
        <v>158</v>
      </c>
      <c r="CO72" s="64" t="s">
        <v>158</v>
      </c>
      <c r="CP72" s="64" t="s">
        <v>158</v>
      </c>
      <c r="CQ72" s="64" t="s">
        <v>158</v>
      </c>
      <c r="CR72" s="64" t="s">
        <v>158</v>
      </c>
      <c r="CS72" s="64" t="s">
        <v>158</v>
      </c>
      <c r="CT72" s="64" t="s">
        <v>158</v>
      </c>
      <c r="CU72" s="64" t="s">
        <v>158</v>
      </c>
      <c r="CV72" s="64" t="s">
        <v>158</v>
      </c>
      <c r="CW72" s="64" t="s">
        <v>158</v>
      </c>
      <c r="CX72" s="64" t="s">
        <v>158</v>
      </c>
      <c r="CY72" s="66" t="s">
        <v>158</v>
      </c>
    </row>
    <row r="73" spans="1:103" x14ac:dyDescent="0.2">
      <c r="A73" s="72" t="s">
        <v>4</v>
      </c>
      <c r="B73" s="72" t="s">
        <v>4</v>
      </c>
      <c r="C73" s="14" t="s">
        <v>20</v>
      </c>
      <c r="G73" s="74">
        <v>44102</v>
      </c>
      <c r="H73" s="16">
        <v>2020</v>
      </c>
      <c r="I73" s="135" t="s">
        <v>33</v>
      </c>
      <c r="J73" s="135">
        <v>10</v>
      </c>
      <c r="K73" s="141">
        <v>0.71698864767975456</v>
      </c>
      <c r="L73" s="5" t="s">
        <v>159</v>
      </c>
      <c r="M73" s="5">
        <v>0.24733352832212149</v>
      </c>
      <c r="N73" s="5">
        <v>0.512513405479185</v>
      </c>
      <c r="O73" s="5">
        <v>1.2569172272594327</v>
      </c>
      <c r="P73" s="5">
        <v>1.0798089109876181</v>
      </c>
      <c r="Q73" s="5">
        <v>2.3114068441064641</v>
      </c>
      <c r="R73" s="5">
        <v>2.2461245978356246</v>
      </c>
      <c r="S73" s="5">
        <v>0.63068148581456562</v>
      </c>
      <c r="T73" s="5">
        <v>8.2847859998050115</v>
      </c>
      <c r="U73" s="17">
        <f t="shared" si="32"/>
        <v>50.244708281877294</v>
      </c>
      <c r="V73" s="5">
        <v>8.9999999999999993E-3</v>
      </c>
      <c r="W73" s="5">
        <v>6.0955815946042491E-2</v>
      </c>
      <c r="X73" s="5">
        <v>1.881897450017796E-2</v>
      </c>
      <c r="Y73" s="5">
        <v>3.7590215393507022E-2</v>
      </c>
      <c r="Z73" s="5">
        <f>0.5*0.024</f>
        <v>1.2E-2</v>
      </c>
      <c r="AA73" s="5">
        <v>1.0047924241692987E-2</v>
      </c>
      <c r="AB73" s="5">
        <v>1.5501488824179559E-2</v>
      </c>
      <c r="AC73" s="5">
        <f>0.5*0.19</f>
        <v>9.5000000000000001E-2</v>
      </c>
      <c r="AD73" s="5">
        <v>0.15150646813840163</v>
      </c>
      <c r="AE73" s="17">
        <f t="shared" si="46"/>
        <v>0.15191441890560003</v>
      </c>
      <c r="AF73" s="75">
        <v>2.0473822755191579E-2</v>
      </c>
      <c r="AG73" s="18">
        <f t="shared" si="39"/>
        <v>0.14277647785252162</v>
      </c>
      <c r="AH73" s="98">
        <v>10.3680036829162</v>
      </c>
      <c r="AI73" s="97">
        <f t="shared" si="40"/>
        <v>0.1</v>
      </c>
      <c r="AJ73" s="97" t="s">
        <v>158</v>
      </c>
      <c r="AK73" s="97" t="s">
        <v>158</v>
      </c>
      <c r="AL73" s="97">
        <f t="shared" si="41"/>
        <v>0.1</v>
      </c>
      <c r="AM73" s="97">
        <f t="shared" si="42"/>
        <v>0.15</v>
      </c>
      <c r="AN73" s="97">
        <v>0.65612384359481168</v>
      </c>
      <c r="AO73" s="99">
        <f>0.5*0.3</f>
        <v>0.15</v>
      </c>
      <c r="AP73" s="16" t="s">
        <v>158</v>
      </c>
      <c r="AQ73" s="99">
        <v>0.6652210221206496</v>
      </c>
      <c r="AR73" s="99">
        <v>0.13098934915972257</v>
      </c>
      <c r="AS73" s="99">
        <v>0.87687052395961151</v>
      </c>
      <c r="AT73" s="99">
        <v>0.52935511149704451</v>
      </c>
      <c r="AU73" s="99">
        <f>0.5*0.51</f>
        <v>0.255</v>
      </c>
      <c r="AV73" s="99">
        <f>0.5*0.1</f>
        <v>0.05</v>
      </c>
      <c r="AW73" s="97">
        <f t="shared" si="45"/>
        <v>0.15</v>
      </c>
      <c r="AX73" s="97"/>
      <c r="AY73" s="97"/>
      <c r="AZ73" s="97"/>
      <c r="BA73" s="97"/>
      <c r="BB73" s="97"/>
      <c r="BC73" s="5" t="s">
        <v>158</v>
      </c>
      <c r="BD73" s="5" t="s">
        <v>158</v>
      </c>
      <c r="BE73" s="5" t="s">
        <v>158</v>
      </c>
      <c r="BF73" s="5" t="s">
        <v>158</v>
      </c>
      <c r="BG73" s="5" t="s">
        <v>158</v>
      </c>
      <c r="BH73" s="5" t="s">
        <v>158</v>
      </c>
      <c r="BI73" s="5" t="s">
        <v>158</v>
      </c>
      <c r="BJ73" s="5" t="s">
        <v>158</v>
      </c>
      <c r="BK73" s="5" t="s">
        <v>158</v>
      </c>
      <c r="BL73" s="5" t="s">
        <v>158</v>
      </c>
      <c r="BM73" s="5" t="s">
        <v>158</v>
      </c>
      <c r="BN73" s="5">
        <v>87</v>
      </c>
      <c r="BO73" s="64" t="s">
        <v>158</v>
      </c>
      <c r="BP73" s="64" t="s">
        <v>158</v>
      </c>
      <c r="BQ73" s="64" t="s">
        <v>158</v>
      </c>
      <c r="BR73" s="64" t="s">
        <v>158</v>
      </c>
      <c r="BS73" s="64" t="s">
        <v>158</v>
      </c>
      <c r="BT73" s="64" t="s">
        <v>158</v>
      </c>
      <c r="BU73" s="64" t="s">
        <v>158</v>
      </c>
      <c r="BV73" s="64" t="s">
        <v>158</v>
      </c>
      <c r="BW73" s="64" t="s">
        <v>158</v>
      </c>
      <c r="BX73" s="64" t="s">
        <v>158</v>
      </c>
      <c r="BY73" s="64" t="s">
        <v>158</v>
      </c>
      <c r="BZ73" s="64" t="s">
        <v>158</v>
      </c>
      <c r="CA73" s="64" t="s">
        <v>158</v>
      </c>
      <c r="CB73" s="64" t="s">
        <v>158</v>
      </c>
      <c r="CC73" s="64" t="s">
        <v>158</v>
      </c>
      <c r="CD73" s="64" t="s">
        <v>158</v>
      </c>
      <c r="CE73" s="64" t="s">
        <v>158</v>
      </c>
      <c r="CF73" s="64" t="s">
        <v>158</v>
      </c>
      <c r="CG73" s="64" t="s">
        <v>158</v>
      </c>
      <c r="CH73" s="64" t="s">
        <v>158</v>
      </c>
      <c r="CI73" s="64" t="s">
        <v>158</v>
      </c>
      <c r="CJ73" s="64" t="s">
        <v>158</v>
      </c>
      <c r="CK73" s="64" t="s">
        <v>158</v>
      </c>
      <c r="CL73" s="64" t="s">
        <v>158</v>
      </c>
      <c r="CM73" s="64" t="s">
        <v>158</v>
      </c>
      <c r="CN73" s="64" t="s">
        <v>158</v>
      </c>
      <c r="CO73" s="64" t="s">
        <v>158</v>
      </c>
      <c r="CP73" s="64" t="s">
        <v>158</v>
      </c>
      <c r="CQ73" s="64" t="s">
        <v>158</v>
      </c>
      <c r="CR73" s="64" t="s">
        <v>158</v>
      </c>
      <c r="CS73" s="64" t="s">
        <v>158</v>
      </c>
      <c r="CT73" s="64" t="s">
        <v>158</v>
      </c>
      <c r="CU73" s="64" t="s">
        <v>158</v>
      </c>
      <c r="CV73" s="64" t="s">
        <v>158</v>
      </c>
      <c r="CW73" s="64" t="s">
        <v>158</v>
      </c>
      <c r="CX73" s="64" t="s">
        <v>158</v>
      </c>
      <c r="CY73" s="66" t="s">
        <v>158</v>
      </c>
    </row>
    <row r="74" spans="1:103" x14ac:dyDescent="0.2">
      <c r="A74" s="72" t="s">
        <v>112</v>
      </c>
      <c r="B74" s="72" t="s">
        <v>24</v>
      </c>
      <c r="C74" s="14" t="s">
        <v>20</v>
      </c>
      <c r="G74" s="74">
        <v>44074</v>
      </c>
      <c r="H74" s="16">
        <v>2020</v>
      </c>
      <c r="I74" s="135" t="s">
        <v>33</v>
      </c>
      <c r="J74" s="135">
        <v>10</v>
      </c>
      <c r="K74" s="141">
        <v>0.75224697147323127</v>
      </c>
      <c r="L74" s="5" t="s">
        <v>159</v>
      </c>
      <c r="M74" s="5">
        <v>0.4051540399147453</v>
      </c>
      <c r="N74" s="5">
        <v>1.0740602596396047</v>
      </c>
      <c r="O74" s="5">
        <v>4.8238325905832209</v>
      </c>
      <c r="P74" s="5">
        <v>4.1870567719434213</v>
      </c>
      <c r="Q74" s="5">
        <v>9.8106665374927342</v>
      </c>
      <c r="R74" s="5">
        <v>8.7509688044952529</v>
      </c>
      <c r="S74" s="5">
        <v>3.4272718465413683</v>
      </c>
      <c r="T74" s="5">
        <v>32.479010850610344</v>
      </c>
      <c r="U74" s="17">
        <f t="shared" si="32"/>
        <v>188.04963762937331</v>
      </c>
      <c r="V74" s="5">
        <v>5.7587019219389739E-2</v>
      </c>
      <c r="W74" s="5">
        <v>0.15397039633290222</v>
      </c>
      <c r="X74" s="5">
        <v>4.563446321850561E-2</v>
      </c>
      <c r="Y74" s="5">
        <v>6.417081484162615E-2</v>
      </c>
      <c r="Z74" s="5">
        <v>1.1669989665165831E-2</v>
      </c>
      <c r="AA74" s="5">
        <v>2.2280355571388032E-2</v>
      </c>
      <c r="AB74" s="5">
        <v>5.9211775649769968E-2</v>
      </c>
      <c r="AC74" s="5">
        <f>0.5*0.19</f>
        <v>9.5000000000000001E-2</v>
      </c>
      <c r="AD74" s="5">
        <v>0.41452481449874762</v>
      </c>
      <c r="AE74" s="17">
        <f t="shared" si="46"/>
        <v>0.40285482483358176</v>
      </c>
      <c r="AF74" s="75">
        <v>3.5264483627204031E-2</v>
      </c>
      <c r="AG74" s="18">
        <f t="shared" si="39"/>
        <v>0.23439432104419525</v>
      </c>
      <c r="AH74" s="100">
        <v>6.2167265304520178</v>
      </c>
      <c r="AI74" s="97">
        <f t="shared" si="40"/>
        <v>0.1</v>
      </c>
      <c r="AJ74" s="97" t="s">
        <v>158</v>
      </c>
      <c r="AK74" s="97" t="s">
        <v>158</v>
      </c>
      <c r="AL74" s="97">
        <f t="shared" si="41"/>
        <v>0.1</v>
      </c>
      <c r="AM74" s="97">
        <f t="shared" si="42"/>
        <v>0.15</v>
      </c>
      <c r="AN74" s="97">
        <v>0.2331547233508017</v>
      </c>
      <c r="AO74" s="99">
        <f>0.5*0.3</f>
        <v>0.15</v>
      </c>
      <c r="AP74" s="16" t="s">
        <v>158</v>
      </c>
      <c r="AQ74" s="99">
        <v>0.34173389075349847</v>
      </c>
      <c r="AR74" s="99">
        <f>0.5*0.1</f>
        <v>0.05</v>
      </c>
      <c r="AS74" s="99">
        <f>0.5*0.51</f>
        <v>0.255</v>
      </c>
      <c r="AT74" s="99">
        <f>0.5*0.51</f>
        <v>0.255</v>
      </c>
      <c r="AU74" s="99">
        <f>0.5*0.51</f>
        <v>0.255</v>
      </c>
      <c r="AV74" s="99">
        <v>0.28718914993424788</v>
      </c>
      <c r="AW74" s="97">
        <f t="shared" si="45"/>
        <v>0.15</v>
      </c>
      <c r="AX74" s="97"/>
      <c r="AY74" s="97"/>
      <c r="AZ74" s="97"/>
      <c r="BA74" s="97"/>
      <c r="BB74" s="97"/>
      <c r="BC74" s="5" t="s">
        <v>158</v>
      </c>
      <c r="BD74" s="5" t="s">
        <v>158</v>
      </c>
      <c r="BE74" s="5" t="s">
        <v>158</v>
      </c>
      <c r="BF74" s="5" t="s">
        <v>158</v>
      </c>
      <c r="BG74" s="5" t="s">
        <v>158</v>
      </c>
      <c r="BH74" s="5" t="s">
        <v>158</v>
      </c>
      <c r="BI74" s="5" t="s">
        <v>158</v>
      </c>
      <c r="BJ74" s="5" t="s">
        <v>158</v>
      </c>
      <c r="BK74" s="5" t="s">
        <v>158</v>
      </c>
      <c r="BL74" s="5" t="s">
        <v>158</v>
      </c>
      <c r="BM74" s="5" t="s">
        <v>158</v>
      </c>
      <c r="BN74" s="5">
        <v>260</v>
      </c>
      <c r="BO74" s="64" t="s">
        <v>158</v>
      </c>
      <c r="BP74" s="64" t="s">
        <v>158</v>
      </c>
      <c r="BQ74" s="64" t="s">
        <v>158</v>
      </c>
      <c r="BR74" s="64" t="s">
        <v>158</v>
      </c>
      <c r="BS74" s="64" t="s">
        <v>158</v>
      </c>
      <c r="BT74" s="64" t="s">
        <v>158</v>
      </c>
      <c r="BU74" s="64" t="s">
        <v>158</v>
      </c>
      <c r="BV74" s="64" t="s">
        <v>158</v>
      </c>
      <c r="BW74" s="64" t="s">
        <v>158</v>
      </c>
      <c r="BX74" s="64" t="s">
        <v>158</v>
      </c>
      <c r="BY74" s="64" t="s">
        <v>158</v>
      </c>
      <c r="BZ74" s="64" t="s">
        <v>158</v>
      </c>
      <c r="CA74" s="64" t="s">
        <v>158</v>
      </c>
      <c r="CB74" s="64" t="s">
        <v>158</v>
      </c>
      <c r="CC74" s="64" t="s">
        <v>158</v>
      </c>
      <c r="CD74" s="64" t="s">
        <v>158</v>
      </c>
      <c r="CE74" s="64" t="s">
        <v>158</v>
      </c>
      <c r="CF74" s="64" t="s">
        <v>158</v>
      </c>
      <c r="CG74" s="64" t="s">
        <v>158</v>
      </c>
      <c r="CH74" s="16" t="s">
        <v>158</v>
      </c>
      <c r="CI74" s="16" t="s">
        <v>158</v>
      </c>
      <c r="CJ74" s="16" t="s">
        <v>158</v>
      </c>
      <c r="CK74" s="16" t="s">
        <v>158</v>
      </c>
      <c r="CL74" s="16" t="s">
        <v>158</v>
      </c>
      <c r="CM74" s="16" t="s">
        <v>158</v>
      </c>
      <c r="CN74" s="16" t="s">
        <v>158</v>
      </c>
      <c r="CO74" s="16" t="s">
        <v>158</v>
      </c>
      <c r="CP74" s="16" t="s">
        <v>158</v>
      </c>
      <c r="CQ74" s="16" t="s">
        <v>158</v>
      </c>
      <c r="CR74" s="16" t="s">
        <v>158</v>
      </c>
      <c r="CS74" s="16" t="s">
        <v>158</v>
      </c>
      <c r="CT74" s="16" t="s">
        <v>158</v>
      </c>
      <c r="CU74" s="16" t="s">
        <v>158</v>
      </c>
      <c r="CV74" s="16" t="s">
        <v>158</v>
      </c>
      <c r="CW74" s="16" t="s">
        <v>158</v>
      </c>
      <c r="CX74" s="16" t="s">
        <v>158</v>
      </c>
      <c r="CY74" s="110" t="s">
        <v>158</v>
      </c>
    </row>
    <row r="75" spans="1:103" x14ac:dyDescent="0.2">
      <c r="A75" s="72" t="s">
        <v>23</v>
      </c>
      <c r="B75" s="72" t="s">
        <v>23</v>
      </c>
      <c r="C75" s="14" t="s">
        <v>20</v>
      </c>
      <c r="G75" s="74">
        <v>44075</v>
      </c>
      <c r="H75" s="16">
        <v>2020</v>
      </c>
      <c r="I75" s="135" t="s">
        <v>33</v>
      </c>
      <c r="J75" s="135">
        <v>10</v>
      </c>
      <c r="K75" s="141">
        <v>0.74007400740073848</v>
      </c>
      <c r="L75" s="5" t="s">
        <v>159</v>
      </c>
      <c r="M75" s="5">
        <v>0.12027608517499169</v>
      </c>
      <c r="N75" s="5">
        <v>0.71962922551022945</v>
      </c>
      <c r="O75" s="5">
        <v>2.7601247041799404</v>
      </c>
      <c r="P75" s="5">
        <v>2.1810097672893844</v>
      </c>
      <c r="Q75" s="5">
        <v>4.5397986577181211</v>
      </c>
      <c r="R75" s="5">
        <v>4.2994726749760304</v>
      </c>
      <c r="S75" s="5">
        <v>1.4090816119284386</v>
      </c>
      <c r="T75" s="5">
        <v>16.029392726777136</v>
      </c>
      <c r="U75" s="17">
        <f t="shared" si="32"/>
        <v>93.560798116161038</v>
      </c>
      <c r="V75" s="5">
        <v>3.1367494810090484E-2</v>
      </c>
      <c r="W75" s="5">
        <v>4.419965177785478E-2</v>
      </c>
      <c r="X75" s="5">
        <v>1.3319303667466453E-2</v>
      </c>
      <c r="Y75" s="5">
        <v>2.9145630594375742E-2</v>
      </c>
      <c r="Z75" s="5">
        <v>9.6122360990012132E-3</v>
      </c>
      <c r="AA75" s="5">
        <v>1.0907333422599599E-2</v>
      </c>
      <c r="AB75" s="5">
        <v>1.2653932565434229E-2</v>
      </c>
      <c r="AC75" s="5">
        <f>0.5*0.19</f>
        <v>9.5000000000000001E-2</v>
      </c>
      <c r="AD75" s="5">
        <v>0.15120558293682251</v>
      </c>
      <c r="AE75" s="17">
        <f t="shared" si="46"/>
        <v>0.14159334683782127</v>
      </c>
      <c r="AF75" s="75">
        <v>1.8603759110088224E-2</v>
      </c>
      <c r="AG75" s="18">
        <f t="shared" si="39"/>
        <v>0.12568850496065714</v>
      </c>
      <c r="AH75" s="100">
        <v>31.004514573745347</v>
      </c>
      <c r="AI75" s="97">
        <f t="shared" si="40"/>
        <v>0.1</v>
      </c>
      <c r="AJ75" s="97" t="s">
        <v>158</v>
      </c>
      <c r="AK75" s="97" t="s">
        <v>158</v>
      </c>
      <c r="AL75" s="97">
        <f t="shared" si="41"/>
        <v>0.1</v>
      </c>
      <c r="AM75" s="97">
        <f t="shared" si="42"/>
        <v>0.15</v>
      </c>
      <c r="AN75" s="98">
        <v>1.3287091825553365</v>
      </c>
      <c r="AO75" s="99">
        <v>0.31820074512382207</v>
      </c>
      <c r="AP75" s="16" t="s">
        <v>158</v>
      </c>
      <c r="AQ75" s="101">
        <v>1.5597413982029369</v>
      </c>
      <c r="AR75" s="99">
        <f>0.5*0.1</f>
        <v>0.05</v>
      </c>
      <c r="AS75" s="101">
        <v>2.1564760026298488</v>
      </c>
      <c r="AT75" s="101">
        <v>1.4464168310322156</v>
      </c>
      <c r="AU75" s="101">
        <v>1.3412228796844183</v>
      </c>
      <c r="AV75" s="99">
        <v>0.19574841113302655</v>
      </c>
      <c r="AW75" s="97">
        <f t="shared" si="45"/>
        <v>0.15</v>
      </c>
      <c r="AX75" s="97"/>
      <c r="AY75" s="97"/>
      <c r="AZ75" s="97"/>
      <c r="BA75" s="97"/>
      <c r="BB75" s="97"/>
      <c r="BC75" s="5" t="s">
        <v>158</v>
      </c>
      <c r="BD75" s="5" t="s">
        <v>158</v>
      </c>
      <c r="BE75" s="5" t="s">
        <v>158</v>
      </c>
      <c r="BF75" s="5" t="s">
        <v>158</v>
      </c>
      <c r="BG75" s="5" t="s">
        <v>158</v>
      </c>
      <c r="BH75" s="5" t="s">
        <v>158</v>
      </c>
      <c r="BI75" s="5" t="s">
        <v>158</v>
      </c>
      <c r="BJ75" s="5" t="s">
        <v>158</v>
      </c>
      <c r="BK75" s="5" t="s">
        <v>158</v>
      </c>
      <c r="BL75" s="5" t="s">
        <v>158</v>
      </c>
      <c r="BM75" s="5" t="s">
        <v>158</v>
      </c>
      <c r="BN75" s="5">
        <v>590</v>
      </c>
      <c r="BO75" s="64" t="s">
        <v>158</v>
      </c>
      <c r="BP75" s="64" t="s">
        <v>158</v>
      </c>
      <c r="BQ75" s="64" t="s">
        <v>158</v>
      </c>
      <c r="BR75" s="64" t="s">
        <v>158</v>
      </c>
      <c r="BS75" s="64" t="s">
        <v>158</v>
      </c>
      <c r="BT75" s="64" t="s">
        <v>158</v>
      </c>
      <c r="BU75" s="64" t="s">
        <v>158</v>
      </c>
      <c r="BV75" s="64" t="s">
        <v>158</v>
      </c>
      <c r="BW75" s="64" t="s">
        <v>158</v>
      </c>
      <c r="BX75" s="64" t="s">
        <v>158</v>
      </c>
      <c r="BY75" s="64" t="s">
        <v>158</v>
      </c>
      <c r="BZ75" s="64" t="s">
        <v>158</v>
      </c>
      <c r="CA75" s="64" t="s">
        <v>158</v>
      </c>
      <c r="CB75" s="64" t="s">
        <v>158</v>
      </c>
      <c r="CC75" s="64" t="s">
        <v>158</v>
      </c>
      <c r="CD75" s="64" t="s">
        <v>158</v>
      </c>
      <c r="CE75" s="64" t="s">
        <v>158</v>
      </c>
      <c r="CF75" s="64" t="s">
        <v>158</v>
      </c>
      <c r="CG75" s="64" t="s">
        <v>158</v>
      </c>
      <c r="CH75" s="16" t="s">
        <v>158</v>
      </c>
      <c r="CI75" s="16" t="s">
        <v>158</v>
      </c>
      <c r="CJ75" s="16" t="s">
        <v>158</v>
      </c>
      <c r="CK75" s="16" t="s">
        <v>158</v>
      </c>
      <c r="CL75" s="16" t="s">
        <v>158</v>
      </c>
      <c r="CM75" s="16" t="s">
        <v>158</v>
      </c>
      <c r="CN75" s="16" t="s">
        <v>158</v>
      </c>
      <c r="CO75" s="16" t="s">
        <v>158</v>
      </c>
      <c r="CP75" s="16" t="s">
        <v>158</v>
      </c>
      <c r="CQ75" s="16" t="s">
        <v>158</v>
      </c>
      <c r="CR75" s="16" t="s">
        <v>158</v>
      </c>
      <c r="CS75" s="16" t="s">
        <v>158</v>
      </c>
      <c r="CT75" s="16" t="s">
        <v>158</v>
      </c>
      <c r="CU75" s="16" t="s">
        <v>158</v>
      </c>
      <c r="CV75" s="16" t="s">
        <v>158</v>
      </c>
      <c r="CW75" s="16" t="s">
        <v>158</v>
      </c>
      <c r="CX75" s="16" t="s">
        <v>158</v>
      </c>
      <c r="CY75" s="110" t="s">
        <v>158</v>
      </c>
    </row>
    <row r="76" spans="1:103" x14ac:dyDescent="0.2">
      <c r="A76" s="72" t="s">
        <v>32</v>
      </c>
      <c r="B76" s="72" t="s">
        <v>32</v>
      </c>
      <c r="C76" s="14" t="s">
        <v>127</v>
      </c>
      <c r="G76" s="74" t="s">
        <v>127</v>
      </c>
      <c r="H76" s="16">
        <v>2020</v>
      </c>
      <c r="I76" s="135" t="s">
        <v>3</v>
      </c>
      <c r="J76" s="135" t="s">
        <v>159</v>
      </c>
      <c r="K76" s="136" t="s">
        <v>158</v>
      </c>
      <c r="L76" s="5" t="s">
        <v>158</v>
      </c>
      <c r="M76" s="5" t="s">
        <v>158</v>
      </c>
      <c r="N76" s="5" t="s">
        <v>158</v>
      </c>
      <c r="O76" s="5" t="s">
        <v>158</v>
      </c>
      <c r="P76" s="5" t="s">
        <v>158</v>
      </c>
      <c r="Q76" s="5" t="s">
        <v>158</v>
      </c>
      <c r="R76" s="5" t="s">
        <v>158</v>
      </c>
      <c r="S76" s="5" t="s">
        <v>158</v>
      </c>
      <c r="T76" s="5" t="s">
        <v>159</v>
      </c>
      <c r="U76" s="17" t="s">
        <v>158</v>
      </c>
      <c r="V76" s="5">
        <f>0.5*0.024</f>
        <v>1.2E-2</v>
      </c>
      <c r="X76" s="5">
        <f>0.5*0.019</f>
        <v>9.4999999999999998E-3</v>
      </c>
      <c r="Z76" s="5">
        <f>0.5*0.024</f>
        <v>1.2E-2</v>
      </c>
      <c r="AA76" s="5">
        <f>0.5*0.024</f>
        <v>1.2E-2</v>
      </c>
      <c r="AB76" s="5">
        <f>0.5*0.024</f>
        <v>1.2E-2</v>
      </c>
      <c r="AC76" s="5">
        <f>0.5*0.19</f>
        <v>9.5000000000000001E-2</v>
      </c>
      <c r="AD76" s="5" t="s">
        <v>159</v>
      </c>
      <c r="AE76" s="17" t="s">
        <v>159</v>
      </c>
      <c r="AF76" s="5" t="s">
        <v>158</v>
      </c>
      <c r="AG76" s="18" t="s">
        <v>158</v>
      </c>
      <c r="AH76" s="100"/>
      <c r="AI76" s="97">
        <f t="shared" si="40"/>
        <v>0.1</v>
      </c>
      <c r="AJ76" s="97" t="s">
        <v>158</v>
      </c>
      <c r="AK76" s="97" t="s">
        <v>158</v>
      </c>
      <c r="AL76" s="97">
        <f t="shared" si="41"/>
        <v>0.1</v>
      </c>
      <c r="AM76" s="97">
        <f t="shared" si="42"/>
        <v>0.15</v>
      </c>
      <c r="AN76" s="97">
        <f>0.5*0.2</f>
        <v>0.1</v>
      </c>
      <c r="AO76" s="99">
        <f>0.5*0.3</f>
        <v>0.15</v>
      </c>
      <c r="AP76" s="16" t="s">
        <v>158</v>
      </c>
      <c r="AQ76" s="99">
        <f>0.5*0.2</f>
        <v>0.1</v>
      </c>
      <c r="AR76" s="99">
        <f>0.5*0.1</f>
        <v>0.05</v>
      </c>
      <c r="AS76" s="99">
        <f>0.5*0.51</f>
        <v>0.255</v>
      </c>
      <c r="AT76" s="99">
        <f>0.5*0.51</f>
        <v>0.255</v>
      </c>
      <c r="AU76" s="99">
        <f>0.5*0.51</f>
        <v>0.255</v>
      </c>
      <c r="AV76" s="99">
        <f>0.5*0.1</f>
        <v>0.05</v>
      </c>
      <c r="AW76" s="97">
        <f t="shared" si="45"/>
        <v>0.15</v>
      </c>
      <c r="AX76" s="97"/>
      <c r="AY76" s="97"/>
      <c r="AZ76" s="97"/>
      <c r="BA76" s="97"/>
      <c r="BB76" s="97"/>
      <c r="BC76" s="5" t="s">
        <v>158</v>
      </c>
      <c r="BD76" s="5" t="s">
        <v>158</v>
      </c>
      <c r="BE76" s="5" t="s">
        <v>158</v>
      </c>
      <c r="BF76" s="5" t="s">
        <v>158</v>
      </c>
      <c r="BG76" s="5" t="s">
        <v>158</v>
      </c>
      <c r="BH76" s="5" t="s">
        <v>158</v>
      </c>
      <c r="BI76" s="5" t="s">
        <v>158</v>
      </c>
      <c r="BJ76" s="5" t="s">
        <v>158</v>
      </c>
      <c r="BK76" s="5" t="s">
        <v>158</v>
      </c>
      <c r="BL76" s="5" t="s">
        <v>158</v>
      </c>
      <c r="BM76" s="5" t="s">
        <v>158</v>
      </c>
      <c r="BO76" s="64" t="s">
        <v>158</v>
      </c>
      <c r="BP76" s="64" t="s">
        <v>158</v>
      </c>
      <c r="BQ76" s="64" t="s">
        <v>158</v>
      </c>
      <c r="BR76" s="64" t="s">
        <v>158</v>
      </c>
      <c r="BS76" s="64" t="s">
        <v>158</v>
      </c>
      <c r="BT76" s="64" t="s">
        <v>158</v>
      </c>
      <c r="BU76" s="64" t="s">
        <v>158</v>
      </c>
      <c r="BV76" s="64" t="s">
        <v>158</v>
      </c>
      <c r="BW76" s="64" t="s">
        <v>158</v>
      </c>
      <c r="BX76" s="64" t="s">
        <v>158</v>
      </c>
      <c r="BY76" s="64" t="s">
        <v>158</v>
      </c>
      <c r="BZ76" s="64" t="s">
        <v>158</v>
      </c>
      <c r="CA76" s="64" t="s">
        <v>158</v>
      </c>
      <c r="CB76" s="64" t="s">
        <v>158</v>
      </c>
      <c r="CC76" s="64" t="s">
        <v>158</v>
      </c>
      <c r="CD76" s="64" t="s">
        <v>158</v>
      </c>
      <c r="CE76" s="64" t="s">
        <v>158</v>
      </c>
      <c r="CF76" s="64" t="s">
        <v>158</v>
      </c>
      <c r="CG76" s="64" t="s">
        <v>158</v>
      </c>
      <c r="CH76" s="16" t="s">
        <v>158</v>
      </c>
      <c r="CI76" s="16" t="s">
        <v>158</v>
      </c>
      <c r="CJ76" s="16" t="s">
        <v>158</v>
      </c>
      <c r="CK76" s="16" t="s">
        <v>158</v>
      </c>
      <c r="CL76" s="16" t="s">
        <v>158</v>
      </c>
      <c r="CM76" s="16" t="s">
        <v>158</v>
      </c>
      <c r="CN76" s="16" t="s">
        <v>158</v>
      </c>
      <c r="CO76" s="16" t="s">
        <v>158</v>
      </c>
      <c r="CP76" s="16" t="s">
        <v>158</v>
      </c>
      <c r="CQ76" s="16" t="s">
        <v>158</v>
      </c>
      <c r="CR76" s="16" t="s">
        <v>158</v>
      </c>
      <c r="CS76" s="16" t="s">
        <v>158</v>
      </c>
      <c r="CT76" s="16" t="s">
        <v>158</v>
      </c>
      <c r="CU76" s="16" t="s">
        <v>158</v>
      </c>
      <c r="CV76" s="16" t="s">
        <v>158</v>
      </c>
      <c r="CW76" s="16" t="s">
        <v>158</v>
      </c>
      <c r="CX76" s="16" t="s">
        <v>158</v>
      </c>
      <c r="CY76" s="110" t="s">
        <v>158</v>
      </c>
    </row>
    <row r="77" spans="1:103" x14ac:dyDescent="0.2">
      <c r="A77" s="32" t="s">
        <v>32</v>
      </c>
      <c r="B77" s="14" t="s">
        <v>32</v>
      </c>
      <c r="C77" s="14" t="s">
        <v>31</v>
      </c>
      <c r="G77" s="16" t="s">
        <v>31</v>
      </c>
      <c r="H77" s="16">
        <v>2019</v>
      </c>
      <c r="I77" s="135" t="s">
        <v>3</v>
      </c>
      <c r="J77" s="135" t="s">
        <v>159</v>
      </c>
      <c r="K77" s="136" t="s">
        <v>158</v>
      </c>
      <c r="L77" s="5" t="s">
        <v>158</v>
      </c>
      <c r="M77" s="5">
        <v>1.4999999999999999E-2</v>
      </c>
      <c r="N77" s="5">
        <v>2.3E-2</v>
      </c>
      <c r="O77" s="5">
        <v>0.01</v>
      </c>
      <c r="P77" s="5">
        <v>0.01</v>
      </c>
      <c r="Q77" s="5">
        <v>5.0000000000000001E-3</v>
      </c>
      <c r="R77" s="5">
        <v>0.01</v>
      </c>
      <c r="S77" s="5">
        <v>5.0000000000000001E-3</v>
      </c>
      <c r="T77" s="5" t="s">
        <v>158</v>
      </c>
      <c r="U77" s="17" t="s">
        <v>158</v>
      </c>
      <c r="V77" s="5">
        <v>1.2999999999999999E-2</v>
      </c>
      <c r="W77" s="5">
        <v>0.01</v>
      </c>
      <c r="X77" s="5">
        <v>1.2999999999999999E-2</v>
      </c>
      <c r="Y77" s="5">
        <v>1.4999999999999999E-2</v>
      </c>
      <c r="Z77" s="5">
        <v>0.01</v>
      </c>
      <c r="AA77" s="5">
        <v>0.02</v>
      </c>
      <c r="AB77" s="5">
        <v>1.2999999999999999E-2</v>
      </c>
      <c r="AC77" s="5">
        <v>0.1</v>
      </c>
      <c r="AD77" s="5" t="s">
        <v>159</v>
      </c>
      <c r="AE77" s="17" t="s">
        <v>158</v>
      </c>
      <c r="AF77" s="5">
        <v>0.01</v>
      </c>
      <c r="AG77" s="18" t="s">
        <v>158</v>
      </c>
      <c r="AH77" s="18">
        <v>0.2</v>
      </c>
      <c r="AI77" s="5">
        <v>0.2</v>
      </c>
      <c r="AJ77" s="5">
        <v>0.2</v>
      </c>
      <c r="AK77" s="5">
        <v>0.02</v>
      </c>
      <c r="AL77" s="5">
        <v>0.1</v>
      </c>
      <c r="AM77" s="5">
        <v>0.1</v>
      </c>
      <c r="AN77" s="5">
        <v>0.1</v>
      </c>
      <c r="AO77" s="5">
        <v>0.02</v>
      </c>
      <c r="AP77" s="5">
        <v>0.05</v>
      </c>
      <c r="AQ77" s="5">
        <v>0.1</v>
      </c>
      <c r="AR77" s="5">
        <v>0.05</v>
      </c>
      <c r="AS77" s="5" t="s">
        <v>158</v>
      </c>
      <c r="AT77" s="5" t="s">
        <v>158</v>
      </c>
      <c r="AU77" s="5" t="s">
        <v>158</v>
      </c>
      <c r="AV77" s="5" t="s">
        <v>158</v>
      </c>
      <c r="AW77" s="5" t="s">
        <v>158</v>
      </c>
      <c r="BC77" s="5">
        <v>0.2</v>
      </c>
      <c r="BD77" s="5">
        <v>0.2</v>
      </c>
      <c r="BE77" s="5">
        <v>0.21</v>
      </c>
      <c r="BF77" s="5">
        <v>0.02</v>
      </c>
      <c r="BG77" s="5">
        <v>0.2</v>
      </c>
      <c r="BH77" s="5">
        <v>0.05</v>
      </c>
      <c r="BI77" s="5">
        <v>0.1</v>
      </c>
      <c r="BJ77" s="5">
        <v>0.1</v>
      </c>
      <c r="BK77" s="5">
        <v>0.05</v>
      </c>
      <c r="BL77" s="5">
        <v>0.1</v>
      </c>
      <c r="BM77" s="5">
        <v>0.05</v>
      </c>
      <c r="BN77" s="17">
        <v>0.03</v>
      </c>
      <c r="BO77" s="5">
        <v>0.04</v>
      </c>
      <c r="BP77" s="5">
        <v>0.4</v>
      </c>
      <c r="BQ77" s="5">
        <v>0.1</v>
      </c>
      <c r="BR77" s="5">
        <v>2.2999999999999998</v>
      </c>
      <c r="BS77" s="5">
        <v>0.2</v>
      </c>
      <c r="BT77" s="5">
        <v>1.7</v>
      </c>
      <c r="BU77" s="5">
        <v>2.5</v>
      </c>
      <c r="BV77" s="5">
        <v>0.2</v>
      </c>
      <c r="BW77" s="5">
        <v>0.2</v>
      </c>
      <c r="BX77" s="5">
        <v>0.2</v>
      </c>
      <c r="BY77" s="5">
        <v>0.2</v>
      </c>
      <c r="BZ77" s="5">
        <v>0.2</v>
      </c>
      <c r="CA77" s="5">
        <v>0.2</v>
      </c>
      <c r="CB77" s="5">
        <v>0.2</v>
      </c>
      <c r="CC77" s="5">
        <v>0.2</v>
      </c>
      <c r="CD77" s="5">
        <v>0.5</v>
      </c>
      <c r="CE77" s="5">
        <v>0.2</v>
      </c>
      <c r="CF77" s="5">
        <v>0.2</v>
      </c>
      <c r="CG77" s="5">
        <v>0.2</v>
      </c>
      <c r="CH77" s="5">
        <v>0.2</v>
      </c>
      <c r="CI77" s="16" t="s">
        <v>158</v>
      </c>
      <c r="CJ77" s="16" t="s">
        <v>158</v>
      </c>
      <c r="CK77" s="16" t="s">
        <v>158</v>
      </c>
      <c r="CL77" s="16" t="s">
        <v>158</v>
      </c>
      <c r="CM77" s="16" t="s">
        <v>158</v>
      </c>
      <c r="CN77" s="16" t="s">
        <v>158</v>
      </c>
      <c r="CO77" s="16" t="s">
        <v>158</v>
      </c>
      <c r="CP77" s="16" t="s">
        <v>158</v>
      </c>
      <c r="CQ77" s="16" t="s">
        <v>158</v>
      </c>
      <c r="CR77" s="16" t="s">
        <v>158</v>
      </c>
      <c r="CS77" s="16" t="s">
        <v>158</v>
      </c>
      <c r="CT77" s="16" t="s">
        <v>158</v>
      </c>
      <c r="CU77" s="16" t="s">
        <v>158</v>
      </c>
      <c r="CV77" s="16" t="s">
        <v>158</v>
      </c>
      <c r="CW77" s="16" t="s">
        <v>158</v>
      </c>
      <c r="CX77" s="16" t="s">
        <v>158</v>
      </c>
      <c r="CY77" s="110" t="s">
        <v>158</v>
      </c>
    </row>
    <row r="78" spans="1:103" x14ac:dyDescent="0.2">
      <c r="A78" s="32" t="s">
        <v>4</v>
      </c>
      <c r="B78" s="14" t="s">
        <v>4</v>
      </c>
      <c r="C78" s="14" t="s">
        <v>20</v>
      </c>
      <c r="G78" s="28">
        <v>43686</v>
      </c>
      <c r="H78" s="16">
        <v>2019</v>
      </c>
      <c r="I78" s="135" t="s">
        <v>33</v>
      </c>
      <c r="J78" s="135">
        <v>10</v>
      </c>
      <c r="K78" s="136">
        <v>0.83021199366720599</v>
      </c>
      <c r="L78" s="5" t="s">
        <v>158</v>
      </c>
      <c r="M78" s="5">
        <v>0.22497125335377538</v>
      </c>
      <c r="N78" s="5">
        <v>0.60348792640858562</v>
      </c>
      <c r="O78" s="5">
        <v>2.3395362207742432</v>
      </c>
      <c r="P78" s="5">
        <v>2.2395458029896513</v>
      </c>
      <c r="Q78" s="5">
        <v>4.890216558068226</v>
      </c>
      <c r="R78" s="5">
        <v>4.691452663855884</v>
      </c>
      <c r="S78" s="5">
        <v>1.4649961671138367</v>
      </c>
      <c r="T78" s="5">
        <v>16.454206592564201</v>
      </c>
      <c r="U78" s="17">
        <f t="shared" si="32"/>
        <v>85.608621038981028</v>
      </c>
      <c r="V78" s="5">
        <f t="shared" ref="V78:V100" si="48">0.5*0.013</f>
        <v>6.4999999999999997E-3</v>
      </c>
      <c r="W78" s="5">
        <v>0.18322506491193266</v>
      </c>
      <c r="X78" s="5">
        <v>4.4396591060852995E-2</v>
      </c>
      <c r="Y78" s="5">
        <v>0.14642286984086617</v>
      </c>
      <c r="Z78" s="5">
        <f t="shared" ref="Z78:Z86" si="49">0.5*0.01</f>
        <v>5.0000000000000001E-3</v>
      </c>
      <c r="AA78" s="5">
        <f t="shared" ref="AA78:AA84" si="50">0.5*0.02</f>
        <v>0.01</v>
      </c>
      <c r="AB78" s="5">
        <v>2.6063594316000794E-2</v>
      </c>
      <c r="AC78" s="5">
        <f t="shared" ref="AC78:AC95" si="51">0.5*0.1</f>
        <v>0.05</v>
      </c>
      <c r="AD78" s="5">
        <v>0.40010812012965263</v>
      </c>
      <c r="AE78" s="17">
        <f>SUM(V78,W78,Y78,X78,AB78,AA78)</f>
        <v>0.41660812012965259</v>
      </c>
      <c r="AF78" s="5">
        <f>0.5*0.01</f>
        <v>5.0000000000000001E-3</v>
      </c>
      <c r="AG78" s="18" t="s">
        <v>158</v>
      </c>
      <c r="AH78" s="18">
        <v>10.804367457515804</v>
      </c>
      <c r="AI78" s="5">
        <f t="shared" ref="AI78:AI100" si="52">0.5*0.2</f>
        <v>0.1</v>
      </c>
      <c r="AJ78" s="5">
        <f t="shared" ref="AJ78:AJ100" si="53">0.5*0.1</f>
        <v>0.05</v>
      </c>
      <c r="AK78" s="5">
        <f t="shared" ref="AK78:AL100" si="54">0.5*0.2</f>
        <v>0.1</v>
      </c>
      <c r="AL78" s="5">
        <f t="shared" si="54"/>
        <v>0.1</v>
      </c>
      <c r="AM78" s="5">
        <f t="shared" ref="AM78:AM100" si="55">0.5*0.3</f>
        <v>0.15</v>
      </c>
      <c r="AN78" s="5">
        <v>0.95706428043674574</v>
      </c>
      <c r="AO78" s="5">
        <f>0.5*0.3</f>
        <v>0.15</v>
      </c>
      <c r="AP78" s="5">
        <f t="shared" ref="AP78:AP100" si="56">0.5*0.2</f>
        <v>0.1</v>
      </c>
      <c r="AQ78" s="5">
        <v>0.59111184084503188</v>
      </c>
      <c r="AR78" s="5">
        <f t="shared" ref="AR78:AR86" si="57">0.5*0.1</f>
        <v>0.05</v>
      </c>
      <c r="AS78" s="5" t="s">
        <v>158</v>
      </c>
      <c r="AT78" s="5" t="s">
        <v>158</v>
      </c>
      <c r="AU78" s="5" t="s">
        <v>158</v>
      </c>
      <c r="AV78" s="5" t="s">
        <v>158</v>
      </c>
      <c r="AW78" s="5" t="s">
        <v>158</v>
      </c>
      <c r="BC78" s="17" t="s">
        <v>158</v>
      </c>
      <c r="BD78" s="17" t="s">
        <v>158</v>
      </c>
      <c r="BE78" s="17" t="s">
        <v>158</v>
      </c>
      <c r="BF78" s="17" t="s">
        <v>158</v>
      </c>
      <c r="BG78" s="17" t="s">
        <v>158</v>
      </c>
      <c r="BH78" s="17" t="s">
        <v>158</v>
      </c>
      <c r="BI78" s="17" t="s">
        <v>158</v>
      </c>
      <c r="BJ78" s="17" t="s">
        <v>158</v>
      </c>
      <c r="BK78" s="17" t="s">
        <v>158</v>
      </c>
      <c r="BL78" s="17" t="s">
        <v>158</v>
      </c>
      <c r="BM78" s="17" t="s">
        <v>158</v>
      </c>
      <c r="BN78" s="17">
        <v>130</v>
      </c>
      <c r="BO78" s="17" t="s">
        <v>158</v>
      </c>
      <c r="BP78" s="17" t="s">
        <v>158</v>
      </c>
      <c r="BQ78" s="17" t="s">
        <v>158</v>
      </c>
      <c r="BR78" s="17" t="s">
        <v>158</v>
      </c>
      <c r="BS78" s="17" t="s">
        <v>158</v>
      </c>
      <c r="BT78" s="17" t="s">
        <v>158</v>
      </c>
      <c r="BU78" s="17" t="s">
        <v>158</v>
      </c>
      <c r="BV78" s="17" t="s">
        <v>158</v>
      </c>
      <c r="BW78" s="17" t="s">
        <v>158</v>
      </c>
      <c r="BX78" s="17" t="s">
        <v>158</v>
      </c>
      <c r="BY78" s="17" t="s">
        <v>158</v>
      </c>
      <c r="BZ78" s="17" t="s">
        <v>158</v>
      </c>
      <c r="CA78" s="17" t="s">
        <v>158</v>
      </c>
      <c r="CB78" s="17" t="s">
        <v>158</v>
      </c>
      <c r="CC78" s="17" t="s">
        <v>158</v>
      </c>
      <c r="CD78" s="17" t="s">
        <v>158</v>
      </c>
      <c r="CE78" s="17" t="s">
        <v>158</v>
      </c>
      <c r="CF78" s="17" t="s">
        <v>158</v>
      </c>
      <c r="CG78" s="17" t="s">
        <v>158</v>
      </c>
      <c r="CH78" s="17" t="s">
        <v>158</v>
      </c>
      <c r="CI78" s="16" t="s">
        <v>158</v>
      </c>
      <c r="CJ78" s="16" t="s">
        <v>158</v>
      </c>
      <c r="CK78" s="16" t="s">
        <v>158</v>
      </c>
      <c r="CL78" s="16" t="s">
        <v>158</v>
      </c>
      <c r="CM78" s="16" t="s">
        <v>158</v>
      </c>
      <c r="CN78" s="16" t="s">
        <v>158</v>
      </c>
      <c r="CO78" s="16" t="s">
        <v>158</v>
      </c>
      <c r="CP78" s="16" t="s">
        <v>158</v>
      </c>
      <c r="CQ78" s="16" t="s">
        <v>158</v>
      </c>
      <c r="CR78" s="16" t="s">
        <v>158</v>
      </c>
      <c r="CS78" s="16" t="s">
        <v>158</v>
      </c>
      <c r="CT78" s="16" t="s">
        <v>158</v>
      </c>
      <c r="CU78" s="16" t="s">
        <v>158</v>
      </c>
      <c r="CV78" s="16" t="s">
        <v>158</v>
      </c>
      <c r="CW78" s="16" t="s">
        <v>158</v>
      </c>
      <c r="CX78" s="16" t="s">
        <v>158</v>
      </c>
      <c r="CY78" s="110" t="s">
        <v>158</v>
      </c>
    </row>
    <row r="79" spans="1:103" x14ac:dyDescent="0.2">
      <c r="A79" s="32" t="s">
        <v>79</v>
      </c>
      <c r="B79" s="14" t="s">
        <v>79</v>
      </c>
      <c r="C79" s="14" t="s">
        <v>20</v>
      </c>
      <c r="G79" s="28">
        <v>43686</v>
      </c>
      <c r="H79" s="16">
        <v>2019</v>
      </c>
      <c r="I79" s="135" t="s">
        <v>33</v>
      </c>
      <c r="J79" s="135">
        <v>10</v>
      </c>
      <c r="K79" s="136">
        <v>0.39822331138003603</v>
      </c>
      <c r="L79" s="5" t="s">
        <v>158</v>
      </c>
      <c r="M79" s="5">
        <v>0.29939006099390064</v>
      </c>
      <c r="N79" s="5">
        <v>0.81861813818618134</v>
      </c>
      <c r="O79" s="5">
        <v>3.2868413158684131</v>
      </c>
      <c r="P79" s="5">
        <v>2.5366363363663633</v>
      </c>
      <c r="Q79" s="5">
        <v>5.7010198980101991</v>
      </c>
      <c r="R79" s="5">
        <v>5.0114988501149886</v>
      </c>
      <c r="S79" s="5">
        <v>1.8338466153384663</v>
      </c>
      <c r="T79" s="5">
        <v>19.487851214878514</v>
      </c>
      <c r="U79" s="17">
        <f t="shared" si="32"/>
        <v>212.83554219575956</v>
      </c>
      <c r="V79" s="5">
        <f t="shared" si="48"/>
        <v>6.4999999999999997E-3</v>
      </c>
      <c r="W79" s="5">
        <v>0.11255435827323754</v>
      </c>
      <c r="X79" s="5">
        <f>0.5*0.013</f>
        <v>6.4999999999999997E-3</v>
      </c>
      <c r="Y79" s="5">
        <v>2.1196652857728832E-2</v>
      </c>
      <c r="Z79" s="5">
        <f t="shared" si="49"/>
        <v>5.0000000000000001E-3</v>
      </c>
      <c r="AA79" s="5">
        <f t="shared" si="50"/>
        <v>0.01</v>
      </c>
      <c r="AB79" s="5">
        <v>4.5162868376585445E-2</v>
      </c>
      <c r="AC79" s="5">
        <f t="shared" si="51"/>
        <v>0.05</v>
      </c>
      <c r="AD79" s="5">
        <v>0.17891387950755183</v>
      </c>
      <c r="AE79" s="17">
        <f t="shared" ref="AE79:AE100" si="58">SUM(V79,W79,Y79,X79,AB79,AA79)</f>
        <v>0.20191387950755185</v>
      </c>
      <c r="AF79" s="5">
        <f>0.5*0.01</f>
        <v>5.0000000000000001E-3</v>
      </c>
      <c r="AG79" s="18" t="s">
        <v>158</v>
      </c>
      <c r="AH79" s="18">
        <v>5.7153647386205524</v>
      </c>
      <c r="AI79" s="5">
        <f t="shared" si="52"/>
        <v>0.1</v>
      </c>
      <c r="AJ79" s="5">
        <f t="shared" si="53"/>
        <v>0.05</v>
      </c>
      <c r="AK79" s="5">
        <f t="shared" si="54"/>
        <v>0.1</v>
      </c>
      <c r="AL79" s="5">
        <f t="shared" si="54"/>
        <v>0.1</v>
      </c>
      <c r="AM79" s="5">
        <f t="shared" si="55"/>
        <v>0.15</v>
      </c>
      <c r="AN79" s="5">
        <v>0.44404690916318829</v>
      </c>
      <c r="AO79" s="5">
        <f>0.5*0.3</f>
        <v>0.15</v>
      </c>
      <c r="AP79" s="5">
        <f t="shared" si="56"/>
        <v>0.1</v>
      </c>
      <c r="AQ79" s="5">
        <v>0.30116610349168493</v>
      </c>
      <c r="AR79" s="5">
        <f t="shared" si="57"/>
        <v>0.05</v>
      </c>
      <c r="AS79" s="5" t="s">
        <v>158</v>
      </c>
      <c r="AT79" s="5" t="s">
        <v>158</v>
      </c>
      <c r="AU79" s="5" t="s">
        <v>158</v>
      </c>
      <c r="AV79" s="5" t="s">
        <v>158</v>
      </c>
      <c r="AW79" s="5" t="s">
        <v>158</v>
      </c>
      <c r="BC79" s="17" t="s">
        <v>158</v>
      </c>
      <c r="BD79" s="17" t="s">
        <v>158</v>
      </c>
      <c r="BE79" s="17" t="s">
        <v>158</v>
      </c>
      <c r="BF79" s="17" t="s">
        <v>158</v>
      </c>
      <c r="BG79" s="17" t="s">
        <v>158</v>
      </c>
      <c r="BH79" s="17" t="s">
        <v>158</v>
      </c>
      <c r="BI79" s="17" t="s">
        <v>158</v>
      </c>
      <c r="BJ79" s="17" t="s">
        <v>158</v>
      </c>
      <c r="BK79" s="17" t="s">
        <v>158</v>
      </c>
      <c r="BL79" s="17" t="s">
        <v>158</v>
      </c>
      <c r="BM79" s="17" t="s">
        <v>158</v>
      </c>
      <c r="BN79" s="17">
        <v>100</v>
      </c>
      <c r="BO79" s="17" t="s">
        <v>158</v>
      </c>
      <c r="BP79" s="17" t="s">
        <v>158</v>
      </c>
      <c r="BQ79" s="17" t="s">
        <v>158</v>
      </c>
      <c r="BR79" s="17" t="s">
        <v>158</v>
      </c>
      <c r="BS79" s="17" t="s">
        <v>158</v>
      </c>
      <c r="BT79" s="17" t="s">
        <v>158</v>
      </c>
      <c r="BU79" s="17" t="s">
        <v>158</v>
      </c>
      <c r="BV79" s="17" t="s">
        <v>158</v>
      </c>
      <c r="BW79" s="17" t="s">
        <v>158</v>
      </c>
      <c r="BX79" s="17" t="s">
        <v>158</v>
      </c>
      <c r="BY79" s="17" t="s">
        <v>158</v>
      </c>
      <c r="BZ79" s="17" t="s">
        <v>158</v>
      </c>
      <c r="CA79" s="17" t="s">
        <v>158</v>
      </c>
      <c r="CB79" s="17" t="s">
        <v>158</v>
      </c>
      <c r="CC79" s="17" t="s">
        <v>158</v>
      </c>
      <c r="CD79" s="17" t="s">
        <v>158</v>
      </c>
      <c r="CE79" s="17" t="s">
        <v>158</v>
      </c>
      <c r="CF79" s="17" t="s">
        <v>158</v>
      </c>
      <c r="CG79" s="17" t="s">
        <v>158</v>
      </c>
      <c r="CH79" s="17" t="s">
        <v>158</v>
      </c>
      <c r="CI79" s="17" t="s">
        <v>158</v>
      </c>
      <c r="CJ79" s="17" t="s">
        <v>158</v>
      </c>
      <c r="CK79" s="17" t="s">
        <v>158</v>
      </c>
      <c r="CL79" s="17" t="s">
        <v>158</v>
      </c>
      <c r="CM79" s="17" t="s">
        <v>158</v>
      </c>
      <c r="CN79" s="17" t="s">
        <v>158</v>
      </c>
      <c r="CO79" s="17" t="s">
        <v>158</v>
      </c>
      <c r="CP79" s="17" t="s">
        <v>158</v>
      </c>
      <c r="CQ79" s="17" t="s">
        <v>158</v>
      </c>
      <c r="CR79" s="17" t="s">
        <v>158</v>
      </c>
      <c r="CS79" s="17" t="s">
        <v>158</v>
      </c>
      <c r="CT79" s="17" t="s">
        <v>158</v>
      </c>
      <c r="CU79" s="17" t="s">
        <v>158</v>
      </c>
      <c r="CV79" s="17" t="s">
        <v>158</v>
      </c>
      <c r="CW79" s="17" t="s">
        <v>158</v>
      </c>
      <c r="CX79" s="17" t="s">
        <v>158</v>
      </c>
      <c r="CY79" s="67" t="s">
        <v>158</v>
      </c>
    </row>
    <row r="80" spans="1:103" x14ac:dyDescent="0.2">
      <c r="A80" s="32" t="s">
        <v>112</v>
      </c>
      <c r="B80" s="14" t="s">
        <v>24</v>
      </c>
      <c r="C80" s="14" t="s">
        <v>20</v>
      </c>
      <c r="G80" s="28">
        <v>43685</v>
      </c>
      <c r="H80" s="16">
        <v>2019</v>
      </c>
      <c r="I80" s="135" t="s">
        <v>33</v>
      </c>
      <c r="J80" s="135">
        <v>10</v>
      </c>
      <c r="K80" s="136">
        <v>0.44901881074688993</v>
      </c>
      <c r="L80" s="5" t="s">
        <v>158</v>
      </c>
      <c r="M80" s="5">
        <v>0.10026748184944594</v>
      </c>
      <c r="N80" s="5">
        <v>0.79701948796331668</v>
      </c>
      <c r="O80" s="5">
        <v>2.4854508979747805</v>
      </c>
      <c r="P80" s="5">
        <v>1.0611004967520061</v>
      </c>
      <c r="Q80" s="5">
        <v>4.2180550248376001</v>
      </c>
      <c r="R80" s="5">
        <v>2.264807030951471</v>
      </c>
      <c r="S80" s="5">
        <v>1.3653515475735576</v>
      </c>
      <c r="T80" s="5">
        <v>12.292051967902175</v>
      </c>
      <c r="U80" s="17">
        <f t="shared" si="32"/>
        <v>125.0610353324486</v>
      </c>
      <c r="V80" s="5">
        <f t="shared" si="48"/>
        <v>6.4999999999999997E-3</v>
      </c>
      <c r="W80" s="5">
        <v>7.3880672388570948E-2</v>
      </c>
      <c r="X80" s="5">
        <f>0.5*0.013</f>
        <v>6.4999999999999997E-3</v>
      </c>
      <c r="Y80" s="5">
        <v>2.7128343796613136E-2</v>
      </c>
      <c r="Z80" s="5">
        <f t="shared" si="49"/>
        <v>5.0000000000000001E-3</v>
      </c>
      <c r="AA80" s="5">
        <f t="shared" si="50"/>
        <v>0.01</v>
      </c>
      <c r="AB80" s="5">
        <f>0.5*0.013</f>
        <v>6.4999999999999997E-3</v>
      </c>
      <c r="AC80" s="5">
        <f t="shared" si="51"/>
        <v>0.05</v>
      </c>
      <c r="AD80" s="5">
        <v>0.10100901618518408</v>
      </c>
      <c r="AE80" s="17">
        <f t="shared" si="58"/>
        <v>0.1305090161851841</v>
      </c>
      <c r="AF80" s="5">
        <v>9.6484524264424925E-3</v>
      </c>
      <c r="AG80" s="18">
        <f>AF80*(5/K80)</f>
        <v>0.1074392897971627</v>
      </c>
      <c r="AH80" s="18">
        <v>3.3044948136765266</v>
      </c>
      <c r="AI80" s="5">
        <f t="shared" si="52"/>
        <v>0.1</v>
      </c>
      <c r="AJ80" s="5">
        <f t="shared" si="53"/>
        <v>0.05</v>
      </c>
      <c r="AK80" s="5">
        <f t="shared" si="54"/>
        <v>0.1</v>
      </c>
      <c r="AL80" s="5">
        <f t="shared" si="54"/>
        <v>0.1</v>
      </c>
      <c r="AM80" s="5">
        <f t="shared" si="55"/>
        <v>0.15</v>
      </c>
      <c r="AN80" s="5">
        <v>0.34560122935074916</v>
      </c>
      <c r="AO80" s="5">
        <f>0.5*0.3</f>
        <v>0.15</v>
      </c>
      <c r="AP80" s="5">
        <f t="shared" si="56"/>
        <v>0.1</v>
      </c>
      <c r="AQ80" s="5">
        <v>0.22130874631835062</v>
      </c>
      <c r="AR80" s="5">
        <f t="shared" si="57"/>
        <v>0.05</v>
      </c>
      <c r="AS80" s="5" t="s">
        <v>158</v>
      </c>
      <c r="AT80" s="5" t="s">
        <v>158</v>
      </c>
      <c r="AU80" s="5" t="s">
        <v>158</v>
      </c>
      <c r="AV80" s="5" t="s">
        <v>158</v>
      </c>
      <c r="AW80" s="5" t="s">
        <v>158</v>
      </c>
      <c r="BC80" s="17" t="s">
        <v>158</v>
      </c>
      <c r="BD80" s="17" t="s">
        <v>158</v>
      </c>
      <c r="BE80" s="17" t="s">
        <v>158</v>
      </c>
      <c r="BF80" s="17" t="s">
        <v>158</v>
      </c>
      <c r="BG80" s="17" t="s">
        <v>158</v>
      </c>
      <c r="BH80" s="17" t="s">
        <v>158</v>
      </c>
      <c r="BI80" s="17" t="s">
        <v>158</v>
      </c>
      <c r="BJ80" s="17" t="s">
        <v>158</v>
      </c>
      <c r="BK80" s="17" t="s">
        <v>158</v>
      </c>
      <c r="BL80" s="17" t="s">
        <v>158</v>
      </c>
      <c r="BM80" s="17" t="s">
        <v>158</v>
      </c>
      <c r="BN80" s="17">
        <v>190</v>
      </c>
      <c r="BO80" s="17" t="s">
        <v>158</v>
      </c>
      <c r="BP80" s="17" t="s">
        <v>158</v>
      </c>
      <c r="BQ80" s="17" t="s">
        <v>158</v>
      </c>
      <c r="BR80" s="17" t="s">
        <v>158</v>
      </c>
      <c r="BS80" s="17" t="s">
        <v>158</v>
      </c>
      <c r="BT80" s="17" t="s">
        <v>158</v>
      </c>
      <c r="BU80" s="17" t="s">
        <v>158</v>
      </c>
      <c r="BV80" s="17" t="s">
        <v>158</v>
      </c>
      <c r="BW80" s="17" t="s">
        <v>158</v>
      </c>
      <c r="BX80" s="17" t="s">
        <v>158</v>
      </c>
      <c r="BY80" s="17" t="s">
        <v>158</v>
      </c>
      <c r="BZ80" s="17" t="s">
        <v>158</v>
      </c>
      <c r="CA80" s="17" t="s">
        <v>158</v>
      </c>
      <c r="CB80" s="17" t="s">
        <v>158</v>
      </c>
      <c r="CC80" s="17" t="s">
        <v>158</v>
      </c>
      <c r="CD80" s="17" t="s">
        <v>158</v>
      </c>
      <c r="CE80" s="17" t="s">
        <v>158</v>
      </c>
      <c r="CF80" s="17" t="s">
        <v>158</v>
      </c>
      <c r="CG80" s="17" t="s">
        <v>158</v>
      </c>
      <c r="CH80" s="17" t="s">
        <v>158</v>
      </c>
      <c r="CI80" s="17" t="s">
        <v>158</v>
      </c>
      <c r="CJ80" s="17" t="s">
        <v>158</v>
      </c>
      <c r="CK80" s="17" t="s">
        <v>158</v>
      </c>
      <c r="CL80" s="17" t="s">
        <v>158</v>
      </c>
      <c r="CM80" s="17" t="s">
        <v>158</v>
      </c>
      <c r="CN80" s="17" t="s">
        <v>158</v>
      </c>
      <c r="CO80" s="17" t="s">
        <v>158</v>
      </c>
      <c r="CP80" s="17" t="s">
        <v>158</v>
      </c>
      <c r="CQ80" s="17" t="s">
        <v>158</v>
      </c>
      <c r="CR80" s="17" t="s">
        <v>158</v>
      </c>
      <c r="CS80" s="17" t="s">
        <v>158</v>
      </c>
      <c r="CT80" s="17" t="s">
        <v>158</v>
      </c>
      <c r="CU80" s="17" t="s">
        <v>158</v>
      </c>
      <c r="CV80" s="17" t="s">
        <v>158</v>
      </c>
      <c r="CW80" s="17" t="s">
        <v>158</v>
      </c>
      <c r="CX80" s="17" t="s">
        <v>158</v>
      </c>
      <c r="CY80" s="67" t="s">
        <v>158</v>
      </c>
    </row>
    <row r="81" spans="1:103" x14ac:dyDescent="0.2">
      <c r="A81" s="32" t="s">
        <v>21</v>
      </c>
      <c r="B81" s="14" t="s">
        <v>21</v>
      </c>
      <c r="C81" s="14" t="s">
        <v>20</v>
      </c>
      <c r="G81" s="28">
        <v>43683</v>
      </c>
      <c r="H81" s="16">
        <v>2019</v>
      </c>
      <c r="I81" s="135" t="s">
        <v>33</v>
      </c>
      <c r="J81" s="135">
        <v>10</v>
      </c>
      <c r="K81" s="136">
        <v>0.42139323137124202</v>
      </c>
      <c r="L81" s="5" t="s">
        <v>158</v>
      </c>
      <c r="M81" s="5">
        <f>0.5*0.015</f>
        <v>7.4999999999999997E-3</v>
      </c>
      <c r="N81" s="5">
        <v>5.2946111330438216E-2</v>
      </c>
      <c r="O81" s="5">
        <v>0.34262238452427951</v>
      </c>
      <c r="P81" s="5">
        <v>0.28961705487564149</v>
      </c>
      <c r="Q81" s="5">
        <v>1.2236971969996053</v>
      </c>
      <c r="R81" s="5">
        <v>1.0693347808922229</v>
      </c>
      <c r="S81" s="5">
        <v>0.4278819581523885</v>
      </c>
      <c r="T81" s="5">
        <v>3.4060994867745764</v>
      </c>
      <c r="U81" s="17">
        <f t="shared" si="32"/>
        <v>37.067306725991834</v>
      </c>
      <c r="V81" s="5">
        <f t="shared" si="48"/>
        <v>6.4999999999999997E-3</v>
      </c>
      <c r="W81" s="5">
        <v>7.6371243932805144E-2</v>
      </c>
      <c r="X81" s="5">
        <f>0.5*0.013</f>
        <v>6.4999999999999997E-3</v>
      </c>
      <c r="Y81" s="5">
        <v>3.8112142408476872E-2</v>
      </c>
      <c r="Z81" s="5">
        <f t="shared" si="49"/>
        <v>5.0000000000000001E-3</v>
      </c>
      <c r="AA81" s="5">
        <f t="shared" si="50"/>
        <v>0.01</v>
      </c>
      <c r="AB81" s="5">
        <f>0.5*0.013</f>
        <v>6.4999999999999997E-3</v>
      </c>
      <c r="AC81" s="5">
        <f t="shared" si="51"/>
        <v>0.05</v>
      </c>
      <c r="AD81" s="5">
        <v>0.11448338634128202</v>
      </c>
      <c r="AE81" s="17">
        <f t="shared" si="58"/>
        <v>0.14398338634128205</v>
      </c>
      <c r="AF81" s="5">
        <f>0.5*0.01</f>
        <v>5.0000000000000001E-3</v>
      </c>
      <c r="AG81" s="18" t="s">
        <v>158</v>
      </c>
      <c r="AH81" s="18">
        <v>18.356820163271774</v>
      </c>
      <c r="AI81" s="5">
        <f t="shared" si="52"/>
        <v>0.1</v>
      </c>
      <c r="AJ81" s="5">
        <f t="shared" si="53"/>
        <v>0.05</v>
      </c>
      <c r="AK81" s="5">
        <f t="shared" si="54"/>
        <v>0.1</v>
      </c>
      <c r="AL81" s="5">
        <f t="shared" si="54"/>
        <v>0.1</v>
      </c>
      <c r="AM81" s="5">
        <f t="shared" si="55"/>
        <v>0.15</v>
      </c>
      <c r="AN81" s="5">
        <v>0.93191725449789964</v>
      </c>
      <c r="AO81" s="5">
        <v>0.41272885789014818</v>
      </c>
      <c r="AP81" s="5">
        <f t="shared" si="56"/>
        <v>0.1</v>
      </c>
      <c r="AQ81" s="5">
        <v>0.4708197934004385</v>
      </c>
      <c r="AR81" s="5">
        <f t="shared" si="57"/>
        <v>0.05</v>
      </c>
      <c r="AS81" s="5" t="s">
        <v>158</v>
      </c>
      <c r="AT81" s="5" t="s">
        <v>158</v>
      </c>
      <c r="AU81" s="5" t="s">
        <v>158</v>
      </c>
      <c r="AV81" s="5" t="s">
        <v>158</v>
      </c>
      <c r="AW81" s="5" t="s">
        <v>158</v>
      </c>
      <c r="BC81" s="17" t="s">
        <v>158</v>
      </c>
      <c r="BD81" s="17" t="s">
        <v>158</v>
      </c>
      <c r="BE81" s="17" t="s">
        <v>158</v>
      </c>
      <c r="BF81" s="17" t="s">
        <v>158</v>
      </c>
      <c r="BG81" s="17" t="s">
        <v>158</v>
      </c>
      <c r="BH81" s="17" t="s">
        <v>158</v>
      </c>
      <c r="BI81" s="17" t="s">
        <v>158</v>
      </c>
      <c r="BJ81" s="17" t="s">
        <v>158</v>
      </c>
      <c r="BK81" s="17" t="s">
        <v>158</v>
      </c>
      <c r="BL81" s="17" t="s">
        <v>158</v>
      </c>
      <c r="BM81" s="17" t="s">
        <v>158</v>
      </c>
      <c r="BN81" s="17">
        <v>120</v>
      </c>
      <c r="BO81" s="17" t="s">
        <v>158</v>
      </c>
      <c r="BP81" s="17" t="s">
        <v>158</v>
      </c>
      <c r="BQ81" s="17" t="s">
        <v>158</v>
      </c>
      <c r="BR81" s="17" t="s">
        <v>158</v>
      </c>
      <c r="BS81" s="17" t="s">
        <v>158</v>
      </c>
      <c r="BT81" s="17" t="s">
        <v>158</v>
      </c>
      <c r="BU81" s="17" t="s">
        <v>158</v>
      </c>
      <c r="BV81" s="17" t="s">
        <v>158</v>
      </c>
      <c r="BW81" s="17" t="s">
        <v>158</v>
      </c>
      <c r="BX81" s="17" t="s">
        <v>158</v>
      </c>
      <c r="BY81" s="17" t="s">
        <v>158</v>
      </c>
      <c r="BZ81" s="17" t="s">
        <v>158</v>
      </c>
      <c r="CA81" s="17" t="s">
        <v>158</v>
      </c>
      <c r="CB81" s="17" t="s">
        <v>158</v>
      </c>
      <c r="CC81" s="17" t="s">
        <v>158</v>
      </c>
      <c r="CD81" s="17" t="s">
        <v>158</v>
      </c>
      <c r="CE81" s="17" t="s">
        <v>158</v>
      </c>
      <c r="CF81" s="17" t="s">
        <v>158</v>
      </c>
      <c r="CG81" s="17" t="s">
        <v>158</v>
      </c>
      <c r="CH81" s="17" t="s">
        <v>158</v>
      </c>
      <c r="CI81" s="17" t="s">
        <v>158</v>
      </c>
      <c r="CJ81" s="17" t="s">
        <v>158</v>
      </c>
      <c r="CK81" s="17" t="s">
        <v>158</v>
      </c>
      <c r="CL81" s="17" t="s">
        <v>158</v>
      </c>
      <c r="CM81" s="17" t="s">
        <v>158</v>
      </c>
      <c r="CN81" s="17" t="s">
        <v>158</v>
      </c>
      <c r="CO81" s="17" t="s">
        <v>158</v>
      </c>
      <c r="CP81" s="17" t="s">
        <v>158</v>
      </c>
      <c r="CQ81" s="17" t="s">
        <v>158</v>
      </c>
      <c r="CR81" s="17" t="s">
        <v>158</v>
      </c>
      <c r="CS81" s="17" t="s">
        <v>158</v>
      </c>
      <c r="CT81" s="17" t="s">
        <v>158</v>
      </c>
      <c r="CU81" s="17" t="s">
        <v>158</v>
      </c>
      <c r="CV81" s="17" t="s">
        <v>158</v>
      </c>
      <c r="CW81" s="17" t="s">
        <v>158</v>
      </c>
      <c r="CX81" s="17" t="s">
        <v>158</v>
      </c>
      <c r="CY81" s="67" t="s">
        <v>158</v>
      </c>
    </row>
    <row r="82" spans="1:103" x14ac:dyDescent="0.2">
      <c r="A82" s="32" t="s">
        <v>22</v>
      </c>
      <c r="B82" s="14" t="s">
        <v>22</v>
      </c>
      <c r="C82" s="14" t="s">
        <v>20</v>
      </c>
      <c r="G82" s="28">
        <v>43682</v>
      </c>
      <c r="H82" s="16">
        <v>2019</v>
      </c>
      <c r="I82" s="135" t="s">
        <v>33</v>
      </c>
      <c r="J82" s="135">
        <v>10</v>
      </c>
      <c r="K82" s="136">
        <v>0.42921450256481003</v>
      </c>
      <c r="L82" s="5" t="s">
        <v>158</v>
      </c>
      <c r="M82" s="5">
        <v>0.5265076414704668</v>
      </c>
      <c r="N82" s="5">
        <v>1.4337773647253202</v>
      </c>
      <c r="O82" s="5">
        <v>4.7160161090458494</v>
      </c>
      <c r="P82" s="5">
        <v>3.8272614622057004</v>
      </c>
      <c r="Q82" s="5">
        <v>9.4286555142503108</v>
      </c>
      <c r="R82" s="5">
        <v>8.7030152829409335</v>
      </c>
      <c r="S82" s="5">
        <v>3.287691036761669</v>
      </c>
      <c r="T82" s="5">
        <v>31.922924411400249</v>
      </c>
      <c r="U82" s="17">
        <f t="shared" si="32"/>
        <v>327.2916313557252</v>
      </c>
      <c r="V82" s="5">
        <f t="shared" si="48"/>
        <v>6.4999999999999997E-3</v>
      </c>
      <c r="W82" s="5">
        <v>0.23090447638088935</v>
      </c>
      <c r="X82" s="5">
        <v>5.892150149744016E-2</v>
      </c>
      <c r="Y82" s="5">
        <v>0.20270318682371069</v>
      </c>
      <c r="Z82" s="5">
        <f t="shared" si="49"/>
        <v>5.0000000000000001E-3</v>
      </c>
      <c r="AA82" s="5">
        <f t="shared" si="50"/>
        <v>0.01</v>
      </c>
      <c r="AB82" s="5">
        <v>3.752608816913406E-2</v>
      </c>
      <c r="AC82" s="5">
        <f t="shared" si="51"/>
        <v>0.05</v>
      </c>
      <c r="AD82" s="5">
        <v>0.53005525287117428</v>
      </c>
      <c r="AE82" s="17">
        <f t="shared" si="58"/>
        <v>0.54655525287117424</v>
      </c>
      <c r="AF82" s="5">
        <f>0.5*0.01</f>
        <v>5.0000000000000001E-3</v>
      </c>
      <c r="AG82" s="18" t="s">
        <v>158</v>
      </c>
      <c r="AH82" s="18">
        <v>11.539823008849558</v>
      </c>
      <c r="AI82" s="5">
        <f t="shared" si="52"/>
        <v>0.1</v>
      </c>
      <c r="AJ82" s="5">
        <f t="shared" si="53"/>
        <v>0.05</v>
      </c>
      <c r="AK82" s="5">
        <f t="shared" si="54"/>
        <v>0.1</v>
      </c>
      <c r="AL82" s="5">
        <f t="shared" si="54"/>
        <v>0.1</v>
      </c>
      <c r="AM82" s="5">
        <f t="shared" si="55"/>
        <v>0.15</v>
      </c>
      <c r="AN82" s="5">
        <v>0.61305832346177958</v>
      </c>
      <c r="AO82" s="5">
        <f>0.5*0.3</f>
        <v>0.15</v>
      </c>
      <c r="AP82" s="5">
        <f t="shared" si="56"/>
        <v>0.1</v>
      </c>
      <c r="AQ82" s="5">
        <v>0.48012914314914168</v>
      </c>
      <c r="AR82" s="5">
        <f t="shared" si="57"/>
        <v>0.05</v>
      </c>
      <c r="AS82" s="5" t="s">
        <v>158</v>
      </c>
      <c r="AT82" s="5" t="s">
        <v>158</v>
      </c>
      <c r="AU82" s="5" t="s">
        <v>158</v>
      </c>
      <c r="AV82" s="5" t="s">
        <v>158</v>
      </c>
      <c r="AW82" s="5" t="s">
        <v>158</v>
      </c>
      <c r="BC82" s="17" t="s">
        <v>158</v>
      </c>
      <c r="BD82" s="17" t="s">
        <v>158</v>
      </c>
      <c r="BE82" s="17" t="s">
        <v>158</v>
      </c>
      <c r="BF82" s="17" t="s">
        <v>158</v>
      </c>
      <c r="BG82" s="17" t="s">
        <v>158</v>
      </c>
      <c r="BH82" s="17" t="s">
        <v>158</v>
      </c>
      <c r="BI82" s="17" t="s">
        <v>158</v>
      </c>
      <c r="BJ82" s="17" t="s">
        <v>158</v>
      </c>
      <c r="BK82" s="17" t="s">
        <v>158</v>
      </c>
      <c r="BL82" s="17" t="s">
        <v>158</v>
      </c>
      <c r="BM82" s="17" t="s">
        <v>158</v>
      </c>
      <c r="BN82" s="17">
        <v>99</v>
      </c>
      <c r="BO82" s="17" t="s">
        <v>158</v>
      </c>
      <c r="BP82" s="17" t="s">
        <v>158</v>
      </c>
      <c r="BQ82" s="17" t="s">
        <v>158</v>
      </c>
      <c r="BR82" s="17" t="s">
        <v>158</v>
      </c>
      <c r="BS82" s="17" t="s">
        <v>158</v>
      </c>
      <c r="BT82" s="17" t="s">
        <v>158</v>
      </c>
      <c r="BU82" s="17" t="s">
        <v>158</v>
      </c>
      <c r="BV82" s="17" t="s">
        <v>158</v>
      </c>
      <c r="BW82" s="17" t="s">
        <v>158</v>
      </c>
      <c r="BX82" s="17" t="s">
        <v>158</v>
      </c>
      <c r="BY82" s="17" t="s">
        <v>158</v>
      </c>
      <c r="BZ82" s="17" t="s">
        <v>158</v>
      </c>
      <c r="CA82" s="17" t="s">
        <v>158</v>
      </c>
      <c r="CB82" s="17" t="s">
        <v>158</v>
      </c>
      <c r="CC82" s="17" t="s">
        <v>158</v>
      </c>
      <c r="CD82" s="17" t="s">
        <v>158</v>
      </c>
      <c r="CE82" s="17" t="s">
        <v>158</v>
      </c>
      <c r="CF82" s="17" t="s">
        <v>158</v>
      </c>
      <c r="CG82" s="17" t="s">
        <v>158</v>
      </c>
      <c r="CH82" s="17" t="s">
        <v>158</v>
      </c>
      <c r="CI82" s="17" t="s">
        <v>158</v>
      </c>
      <c r="CJ82" s="17" t="s">
        <v>158</v>
      </c>
      <c r="CK82" s="17" t="s">
        <v>158</v>
      </c>
      <c r="CL82" s="17" t="s">
        <v>158</v>
      </c>
      <c r="CM82" s="17" t="s">
        <v>158</v>
      </c>
      <c r="CN82" s="17" t="s">
        <v>158</v>
      </c>
      <c r="CO82" s="17" t="s">
        <v>158</v>
      </c>
      <c r="CP82" s="17" t="s">
        <v>158</v>
      </c>
      <c r="CQ82" s="17" t="s">
        <v>158</v>
      </c>
      <c r="CR82" s="17" t="s">
        <v>158</v>
      </c>
      <c r="CS82" s="17" t="s">
        <v>158</v>
      </c>
      <c r="CT82" s="17" t="s">
        <v>158</v>
      </c>
      <c r="CU82" s="17" t="s">
        <v>158</v>
      </c>
      <c r="CV82" s="17" t="s">
        <v>158</v>
      </c>
      <c r="CW82" s="17" t="s">
        <v>158</v>
      </c>
      <c r="CX82" s="17" t="s">
        <v>158</v>
      </c>
      <c r="CY82" s="67" t="s">
        <v>158</v>
      </c>
    </row>
    <row r="83" spans="1:103" x14ac:dyDescent="0.2">
      <c r="A83" s="32" t="s">
        <v>25</v>
      </c>
      <c r="B83" s="14" t="s">
        <v>25</v>
      </c>
      <c r="C83" s="14" t="s">
        <v>20</v>
      </c>
      <c r="G83" s="28">
        <v>43689</v>
      </c>
      <c r="H83" s="16">
        <v>2019</v>
      </c>
      <c r="I83" s="135" t="s">
        <v>33</v>
      </c>
      <c r="J83" s="135">
        <v>10</v>
      </c>
      <c r="K83" s="136">
        <v>0.50511247443761298</v>
      </c>
      <c r="L83" s="5" t="s">
        <v>158</v>
      </c>
      <c r="M83" s="5">
        <v>3.566775244299674E-2</v>
      </c>
      <c r="N83" s="5">
        <v>0.19841205211726384</v>
      </c>
      <c r="O83" s="5">
        <v>0.39800488599348538</v>
      </c>
      <c r="P83" s="5">
        <v>0.15790920195439739</v>
      </c>
      <c r="Q83" s="5">
        <v>1.2810769543973941</v>
      </c>
      <c r="R83" s="5">
        <v>0.598941368078176</v>
      </c>
      <c r="S83" s="5">
        <v>0.48549470684039087</v>
      </c>
      <c r="T83" s="5">
        <v>3.1555069218241041</v>
      </c>
      <c r="U83" s="17">
        <f t="shared" si="32"/>
        <v>29.672576619763756</v>
      </c>
      <c r="V83" s="5">
        <f t="shared" si="48"/>
        <v>6.4999999999999997E-3</v>
      </c>
      <c r="W83" s="5">
        <v>7.3744422439835769E-2</v>
      </c>
      <c r="X83" s="5">
        <f>0.5*0.013</f>
        <v>6.4999999999999997E-3</v>
      </c>
      <c r="Y83" s="5">
        <v>3.6014941627662521E-2</v>
      </c>
      <c r="Z83" s="5">
        <f t="shared" si="49"/>
        <v>5.0000000000000001E-3</v>
      </c>
      <c r="AA83" s="5">
        <f t="shared" si="50"/>
        <v>0.01</v>
      </c>
      <c r="AB83" s="5">
        <v>1.3835271693699887E-2</v>
      </c>
      <c r="AC83" s="5">
        <f t="shared" si="51"/>
        <v>0.05</v>
      </c>
      <c r="AD83" s="5">
        <v>0.12359463576119817</v>
      </c>
      <c r="AE83" s="17">
        <f t="shared" si="58"/>
        <v>0.14659463576119819</v>
      </c>
      <c r="AF83" s="5">
        <f>0.5*0.01</f>
        <v>5.0000000000000001E-3</v>
      </c>
      <c r="AG83" s="18" t="s">
        <v>158</v>
      </c>
      <c r="AH83" s="18">
        <v>72.154009048031583</v>
      </c>
      <c r="AI83" s="5">
        <f t="shared" si="52"/>
        <v>0.1</v>
      </c>
      <c r="AJ83" s="5">
        <f t="shared" si="53"/>
        <v>0.05</v>
      </c>
      <c r="AK83" s="5">
        <f t="shared" si="54"/>
        <v>0.1</v>
      </c>
      <c r="AL83" s="5">
        <f t="shared" si="54"/>
        <v>0.1</v>
      </c>
      <c r="AM83" s="5">
        <f t="shared" si="55"/>
        <v>0.15</v>
      </c>
      <c r="AN83" s="5">
        <v>3.5285398017133511</v>
      </c>
      <c r="AO83" s="5">
        <v>0.98348252959861404</v>
      </c>
      <c r="AP83" s="5">
        <f t="shared" si="56"/>
        <v>0.1</v>
      </c>
      <c r="AQ83" s="5">
        <v>0.88077132864889141</v>
      </c>
      <c r="AR83" s="5">
        <f t="shared" si="57"/>
        <v>0.05</v>
      </c>
      <c r="AS83" s="5" t="s">
        <v>158</v>
      </c>
      <c r="AT83" s="5" t="s">
        <v>158</v>
      </c>
      <c r="AU83" s="5" t="s">
        <v>158</v>
      </c>
      <c r="AV83" s="5" t="s">
        <v>158</v>
      </c>
      <c r="AW83" s="5" t="s">
        <v>158</v>
      </c>
      <c r="BC83" s="17" t="s">
        <v>158</v>
      </c>
      <c r="BD83" s="17" t="s">
        <v>158</v>
      </c>
      <c r="BE83" s="17" t="s">
        <v>158</v>
      </c>
      <c r="BF83" s="17" t="s">
        <v>158</v>
      </c>
      <c r="BG83" s="17" t="s">
        <v>158</v>
      </c>
      <c r="BH83" s="17" t="s">
        <v>158</v>
      </c>
      <c r="BI83" s="17" t="s">
        <v>158</v>
      </c>
      <c r="BJ83" s="17" t="s">
        <v>158</v>
      </c>
      <c r="BK83" s="17" t="s">
        <v>158</v>
      </c>
      <c r="BL83" s="17" t="s">
        <v>158</v>
      </c>
      <c r="BM83" s="17" t="s">
        <v>158</v>
      </c>
      <c r="BN83" s="17">
        <v>120</v>
      </c>
      <c r="BO83" s="17" t="s">
        <v>158</v>
      </c>
      <c r="BP83" s="17" t="s">
        <v>158</v>
      </c>
      <c r="BQ83" s="17" t="s">
        <v>158</v>
      </c>
      <c r="BR83" s="17" t="s">
        <v>158</v>
      </c>
      <c r="BS83" s="17" t="s">
        <v>158</v>
      </c>
      <c r="BT83" s="17" t="s">
        <v>158</v>
      </c>
      <c r="BU83" s="17" t="s">
        <v>158</v>
      </c>
      <c r="BV83" s="17" t="s">
        <v>158</v>
      </c>
      <c r="BW83" s="17" t="s">
        <v>158</v>
      </c>
      <c r="BX83" s="17" t="s">
        <v>158</v>
      </c>
      <c r="BY83" s="17" t="s">
        <v>158</v>
      </c>
      <c r="BZ83" s="17" t="s">
        <v>158</v>
      </c>
      <c r="CA83" s="17" t="s">
        <v>158</v>
      </c>
      <c r="CB83" s="17" t="s">
        <v>158</v>
      </c>
      <c r="CC83" s="17" t="s">
        <v>158</v>
      </c>
      <c r="CD83" s="17" t="s">
        <v>158</v>
      </c>
      <c r="CE83" s="17" t="s">
        <v>158</v>
      </c>
      <c r="CF83" s="17" t="s">
        <v>158</v>
      </c>
      <c r="CG83" s="17" t="s">
        <v>158</v>
      </c>
      <c r="CH83" s="17" t="s">
        <v>158</v>
      </c>
      <c r="CI83" s="17" t="s">
        <v>158</v>
      </c>
      <c r="CJ83" s="17" t="s">
        <v>158</v>
      </c>
      <c r="CK83" s="17" t="s">
        <v>158</v>
      </c>
      <c r="CL83" s="17" t="s">
        <v>158</v>
      </c>
      <c r="CM83" s="17" t="s">
        <v>158</v>
      </c>
      <c r="CN83" s="17" t="s">
        <v>158</v>
      </c>
      <c r="CO83" s="17" t="s">
        <v>158</v>
      </c>
      <c r="CP83" s="17" t="s">
        <v>158</v>
      </c>
      <c r="CQ83" s="17" t="s">
        <v>158</v>
      </c>
      <c r="CR83" s="17" t="s">
        <v>158</v>
      </c>
      <c r="CS83" s="17" t="s">
        <v>158</v>
      </c>
      <c r="CT83" s="17" t="s">
        <v>158</v>
      </c>
      <c r="CU83" s="17" t="s">
        <v>158</v>
      </c>
      <c r="CV83" s="17" t="s">
        <v>158</v>
      </c>
      <c r="CW83" s="17" t="s">
        <v>158</v>
      </c>
      <c r="CX83" s="17" t="s">
        <v>158</v>
      </c>
      <c r="CY83" s="67" t="s">
        <v>158</v>
      </c>
    </row>
    <row r="84" spans="1:103" x14ac:dyDescent="0.2">
      <c r="A84" s="32" t="s">
        <v>5</v>
      </c>
      <c r="B84" s="14" t="s">
        <v>5</v>
      </c>
      <c r="C84" s="14" t="s">
        <v>20</v>
      </c>
      <c r="G84" s="28">
        <v>43679</v>
      </c>
      <c r="H84" s="16">
        <v>2019</v>
      </c>
      <c r="I84" s="135" t="s">
        <v>33</v>
      </c>
      <c r="J84" s="135">
        <v>10</v>
      </c>
      <c r="K84" s="136">
        <v>0.45077533357372096</v>
      </c>
      <c r="L84" s="5" t="s">
        <v>158</v>
      </c>
      <c r="M84" s="5">
        <v>0.62387479541734869</v>
      </c>
      <c r="N84" s="5">
        <v>1.460464402618658</v>
      </c>
      <c r="O84" s="5">
        <v>4.8424713584288055</v>
      </c>
      <c r="P84" s="5">
        <v>4.4062909165302777</v>
      </c>
      <c r="Q84" s="5">
        <v>7.4108428805237327</v>
      </c>
      <c r="R84" s="5">
        <v>7.3866612111292964</v>
      </c>
      <c r="S84" s="5">
        <v>2.0762888707037641</v>
      </c>
      <c r="T84" s="5">
        <v>28.206894435351881</v>
      </c>
      <c r="U84" s="17">
        <f t="shared" si="32"/>
        <v>263.99629423078437</v>
      </c>
      <c r="V84" s="5">
        <f t="shared" si="48"/>
        <v>6.4999999999999997E-3</v>
      </c>
      <c r="W84" s="5">
        <v>0.15482420007269895</v>
      </c>
      <c r="X84" s="5">
        <v>5.8237615584640981E-2</v>
      </c>
      <c r="Y84" s="5">
        <v>0.14996252521865158</v>
      </c>
      <c r="Z84" s="5">
        <f t="shared" si="49"/>
        <v>5.0000000000000001E-3</v>
      </c>
      <c r="AA84" s="5">
        <f t="shared" si="50"/>
        <v>0.01</v>
      </c>
      <c r="AB84" s="5">
        <v>3.4858472450930454E-2</v>
      </c>
      <c r="AC84" s="5">
        <f t="shared" si="51"/>
        <v>0.05</v>
      </c>
      <c r="AD84" s="5">
        <v>0.39788281332692199</v>
      </c>
      <c r="AE84" s="17">
        <f t="shared" si="58"/>
        <v>0.41438281332692195</v>
      </c>
      <c r="AF84" s="5">
        <f>0.5*0.01</f>
        <v>5.0000000000000001E-3</v>
      </c>
      <c r="AG84" s="18" t="s">
        <v>158</v>
      </c>
      <c r="AH84" s="18">
        <v>15.728358208955221</v>
      </c>
      <c r="AI84" s="5">
        <f t="shared" si="52"/>
        <v>0.1</v>
      </c>
      <c r="AJ84" s="5">
        <f t="shared" si="53"/>
        <v>0.05</v>
      </c>
      <c r="AK84" s="5">
        <f t="shared" si="54"/>
        <v>0.1</v>
      </c>
      <c r="AL84" s="5">
        <f t="shared" si="54"/>
        <v>0.1</v>
      </c>
      <c r="AM84" s="5">
        <f t="shared" si="55"/>
        <v>0.15</v>
      </c>
      <c r="AN84" s="5">
        <v>0.77686567164179099</v>
      </c>
      <c r="AO84" s="5">
        <f>0.5*0.3</f>
        <v>0.15</v>
      </c>
      <c r="AP84" s="5">
        <f t="shared" si="56"/>
        <v>0.1</v>
      </c>
      <c r="AQ84" s="5">
        <v>0.45338930348258705</v>
      </c>
      <c r="AR84" s="5">
        <f t="shared" si="57"/>
        <v>0.05</v>
      </c>
      <c r="AS84" s="5" t="s">
        <v>158</v>
      </c>
      <c r="AT84" s="5" t="s">
        <v>158</v>
      </c>
      <c r="AU84" s="5" t="s">
        <v>158</v>
      </c>
      <c r="AV84" s="5" t="s">
        <v>158</v>
      </c>
      <c r="AW84" s="5" t="s">
        <v>158</v>
      </c>
      <c r="BC84" s="17" t="s">
        <v>158</v>
      </c>
      <c r="BD84" s="17" t="s">
        <v>158</v>
      </c>
      <c r="BE84" s="17" t="s">
        <v>158</v>
      </c>
      <c r="BF84" s="17" t="s">
        <v>158</v>
      </c>
      <c r="BG84" s="17" t="s">
        <v>158</v>
      </c>
      <c r="BH84" s="17" t="s">
        <v>158</v>
      </c>
      <c r="BI84" s="17" t="s">
        <v>158</v>
      </c>
      <c r="BJ84" s="17" t="s">
        <v>158</v>
      </c>
      <c r="BK84" s="17" t="s">
        <v>158</v>
      </c>
      <c r="BL84" s="17" t="s">
        <v>158</v>
      </c>
      <c r="BM84" s="17" t="s">
        <v>158</v>
      </c>
      <c r="BN84" s="17">
        <v>100</v>
      </c>
      <c r="BO84" s="17" t="s">
        <v>158</v>
      </c>
      <c r="BP84" s="17" t="s">
        <v>158</v>
      </c>
      <c r="BQ84" s="17" t="s">
        <v>158</v>
      </c>
      <c r="BR84" s="17" t="s">
        <v>158</v>
      </c>
      <c r="BS84" s="17" t="s">
        <v>158</v>
      </c>
      <c r="BT84" s="17" t="s">
        <v>158</v>
      </c>
      <c r="BU84" s="17" t="s">
        <v>158</v>
      </c>
      <c r="BV84" s="17" t="s">
        <v>158</v>
      </c>
      <c r="BW84" s="17" t="s">
        <v>158</v>
      </c>
      <c r="BX84" s="17" t="s">
        <v>158</v>
      </c>
      <c r="BY84" s="17" t="s">
        <v>158</v>
      </c>
      <c r="BZ84" s="17" t="s">
        <v>158</v>
      </c>
      <c r="CA84" s="17" t="s">
        <v>158</v>
      </c>
      <c r="CB84" s="17" t="s">
        <v>158</v>
      </c>
      <c r="CC84" s="17" t="s">
        <v>158</v>
      </c>
      <c r="CD84" s="17" t="s">
        <v>158</v>
      </c>
      <c r="CE84" s="17" t="s">
        <v>158</v>
      </c>
      <c r="CF84" s="17" t="s">
        <v>158</v>
      </c>
      <c r="CG84" s="17" t="s">
        <v>158</v>
      </c>
      <c r="CH84" s="17" t="s">
        <v>158</v>
      </c>
      <c r="CI84" s="17" t="s">
        <v>158</v>
      </c>
      <c r="CJ84" s="17" t="s">
        <v>158</v>
      </c>
      <c r="CK84" s="17" t="s">
        <v>158</v>
      </c>
      <c r="CL84" s="17" t="s">
        <v>158</v>
      </c>
      <c r="CM84" s="17" t="s">
        <v>158</v>
      </c>
      <c r="CN84" s="17" t="s">
        <v>158</v>
      </c>
      <c r="CO84" s="17" t="s">
        <v>158</v>
      </c>
      <c r="CP84" s="17" t="s">
        <v>158</v>
      </c>
      <c r="CQ84" s="17" t="s">
        <v>158</v>
      </c>
      <c r="CR84" s="17" t="s">
        <v>158</v>
      </c>
      <c r="CS84" s="17" t="s">
        <v>158</v>
      </c>
      <c r="CT84" s="17" t="s">
        <v>158</v>
      </c>
      <c r="CU84" s="17" t="s">
        <v>158</v>
      </c>
      <c r="CV84" s="17" t="s">
        <v>158</v>
      </c>
      <c r="CW84" s="17" t="s">
        <v>158</v>
      </c>
      <c r="CX84" s="17" t="s">
        <v>158</v>
      </c>
      <c r="CY84" s="67" t="s">
        <v>158</v>
      </c>
    </row>
    <row r="85" spans="1:103" x14ac:dyDescent="0.2">
      <c r="A85" s="32" t="s">
        <v>23</v>
      </c>
      <c r="B85" s="14" t="s">
        <v>23</v>
      </c>
      <c r="C85" s="14" t="s">
        <v>20</v>
      </c>
      <c r="G85" s="28">
        <v>43678</v>
      </c>
      <c r="H85" s="16">
        <v>2019</v>
      </c>
      <c r="I85" s="135" t="s">
        <v>33</v>
      </c>
      <c r="J85" s="135">
        <v>10</v>
      </c>
      <c r="K85" s="136">
        <v>0.46467104082329602</v>
      </c>
      <c r="L85" s="5" t="s">
        <v>158</v>
      </c>
      <c r="M85" s="5">
        <v>0.31191842590694818</v>
      </c>
      <c r="N85" s="5">
        <v>1.9880610780897727</v>
      </c>
      <c r="O85" s="5">
        <v>8.9203217872514866</v>
      </c>
      <c r="P85" s="5">
        <v>7.0067021930723508</v>
      </c>
      <c r="Q85" s="5">
        <v>14.893195326911254</v>
      </c>
      <c r="R85" s="5">
        <v>13.510043041606886</v>
      </c>
      <c r="S85" s="5">
        <v>4.9397417503586807</v>
      </c>
      <c r="T85" s="5">
        <v>51.569983603197379</v>
      </c>
      <c r="U85" s="17">
        <f t="shared" si="32"/>
        <v>479.51429608318801</v>
      </c>
      <c r="V85" s="5">
        <f t="shared" si="48"/>
        <v>6.4999999999999997E-3</v>
      </c>
      <c r="W85" s="5">
        <v>0.15767696190726829</v>
      </c>
      <c r="X85" s="5">
        <v>2.1890892758594325E-2</v>
      </c>
      <c r="Y85" s="5">
        <v>4.8405398615509541E-2</v>
      </c>
      <c r="Z85" s="5">
        <f t="shared" si="49"/>
        <v>5.0000000000000001E-3</v>
      </c>
      <c r="AA85" s="5">
        <v>2.0825950649652775E-2</v>
      </c>
      <c r="AB85" s="5">
        <v>3.2412519504941152E-2</v>
      </c>
      <c r="AC85" s="5">
        <f t="shared" si="51"/>
        <v>0.05</v>
      </c>
      <c r="AD85" s="5">
        <v>0.28121172343596612</v>
      </c>
      <c r="AE85" s="17">
        <f t="shared" si="58"/>
        <v>0.28771172343596607</v>
      </c>
      <c r="AF85" s="5">
        <f>0.5*0.01</f>
        <v>5.0000000000000001E-3</v>
      </c>
      <c r="AG85" s="18" t="s">
        <v>158</v>
      </c>
      <c r="AH85" s="18">
        <v>6.9633767846058339</v>
      </c>
      <c r="AI85" s="5">
        <f t="shared" si="52"/>
        <v>0.1</v>
      </c>
      <c r="AJ85" s="5">
        <f t="shared" si="53"/>
        <v>0.05</v>
      </c>
      <c r="AK85" s="5">
        <f t="shared" si="54"/>
        <v>0.1</v>
      </c>
      <c r="AL85" s="5">
        <f t="shared" si="54"/>
        <v>0.1</v>
      </c>
      <c r="AM85" s="5">
        <f t="shared" si="55"/>
        <v>0.15</v>
      </c>
      <c r="AN85" s="5">
        <v>0.48396441133871304</v>
      </c>
      <c r="AO85" s="5">
        <f>0.5*0.3</f>
        <v>0.15</v>
      </c>
      <c r="AP85" s="5">
        <f t="shared" si="56"/>
        <v>0.1</v>
      </c>
      <c r="AQ85" s="5">
        <v>0.34143734050624175</v>
      </c>
      <c r="AR85" s="5">
        <f t="shared" si="57"/>
        <v>0.05</v>
      </c>
      <c r="AS85" s="5" t="s">
        <v>158</v>
      </c>
      <c r="AT85" s="5" t="s">
        <v>158</v>
      </c>
      <c r="AU85" s="5" t="s">
        <v>158</v>
      </c>
      <c r="AV85" s="5" t="s">
        <v>158</v>
      </c>
      <c r="AW85" s="5" t="s">
        <v>158</v>
      </c>
      <c r="BC85" s="17" t="s">
        <v>158</v>
      </c>
      <c r="BD85" s="17" t="s">
        <v>158</v>
      </c>
      <c r="BE85" s="17" t="s">
        <v>158</v>
      </c>
      <c r="BF85" s="17" t="s">
        <v>158</v>
      </c>
      <c r="BG85" s="17" t="s">
        <v>158</v>
      </c>
      <c r="BH85" s="17" t="s">
        <v>158</v>
      </c>
      <c r="BI85" s="17" t="s">
        <v>158</v>
      </c>
      <c r="BJ85" s="17" t="s">
        <v>158</v>
      </c>
      <c r="BK85" s="17" t="s">
        <v>158</v>
      </c>
      <c r="BL85" s="17" t="s">
        <v>158</v>
      </c>
      <c r="BM85" s="17" t="s">
        <v>158</v>
      </c>
      <c r="BN85" s="17">
        <v>300</v>
      </c>
      <c r="BO85" s="17" t="s">
        <v>158</v>
      </c>
      <c r="BP85" s="17" t="s">
        <v>158</v>
      </c>
      <c r="BQ85" s="17" t="s">
        <v>158</v>
      </c>
      <c r="BR85" s="17" t="s">
        <v>158</v>
      </c>
      <c r="BS85" s="17" t="s">
        <v>158</v>
      </c>
      <c r="BT85" s="17" t="s">
        <v>158</v>
      </c>
      <c r="BU85" s="17" t="s">
        <v>158</v>
      </c>
      <c r="BV85" s="17" t="s">
        <v>158</v>
      </c>
      <c r="BW85" s="17" t="s">
        <v>158</v>
      </c>
      <c r="BX85" s="17" t="s">
        <v>158</v>
      </c>
      <c r="BY85" s="17" t="s">
        <v>158</v>
      </c>
      <c r="BZ85" s="17" t="s">
        <v>158</v>
      </c>
      <c r="CA85" s="17" t="s">
        <v>158</v>
      </c>
      <c r="CB85" s="17" t="s">
        <v>158</v>
      </c>
      <c r="CC85" s="17" t="s">
        <v>158</v>
      </c>
      <c r="CD85" s="17" t="s">
        <v>158</v>
      </c>
      <c r="CE85" s="17" t="s">
        <v>158</v>
      </c>
      <c r="CF85" s="17" t="s">
        <v>158</v>
      </c>
      <c r="CG85" s="17" t="s">
        <v>158</v>
      </c>
      <c r="CH85" s="17" t="s">
        <v>158</v>
      </c>
      <c r="CI85" s="17" t="s">
        <v>158</v>
      </c>
      <c r="CJ85" s="17" t="s">
        <v>158</v>
      </c>
      <c r="CK85" s="17" t="s">
        <v>158</v>
      </c>
      <c r="CL85" s="17" t="s">
        <v>158</v>
      </c>
      <c r="CM85" s="17" t="s">
        <v>158</v>
      </c>
      <c r="CN85" s="17" t="s">
        <v>158</v>
      </c>
      <c r="CO85" s="17" t="s">
        <v>158</v>
      </c>
      <c r="CP85" s="17" t="s">
        <v>158</v>
      </c>
      <c r="CQ85" s="17" t="s">
        <v>158</v>
      </c>
      <c r="CR85" s="17" t="s">
        <v>158</v>
      </c>
      <c r="CS85" s="17" t="s">
        <v>158</v>
      </c>
      <c r="CT85" s="17" t="s">
        <v>158</v>
      </c>
      <c r="CU85" s="17" t="s">
        <v>158</v>
      </c>
      <c r="CV85" s="17" t="s">
        <v>158</v>
      </c>
      <c r="CW85" s="17" t="s">
        <v>158</v>
      </c>
      <c r="CX85" s="17" t="s">
        <v>158</v>
      </c>
      <c r="CY85" s="67" t="s">
        <v>158</v>
      </c>
    </row>
    <row r="86" spans="1:103" x14ac:dyDescent="0.2">
      <c r="A86" s="32" t="s">
        <v>6</v>
      </c>
      <c r="B86" s="14" t="s">
        <v>6</v>
      </c>
      <c r="C86" s="14" t="s">
        <v>20</v>
      </c>
      <c r="G86" s="28">
        <v>43686</v>
      </c>
      <c r="H86" s="16">
        <v>2019</v>
      </c>
      <c r="I86" s="135" t="s">
        <v>33</v>
      </c>
      <c r="J86" s="135">
        <v>10</v>
      </c>
      <c r="K86" s="136">
        <v>0.36286225748701401</v>
      </c>
      <c r="L86" s="5" t="s">
        <v>158</v>
      </c>
      <c r="M86" s="5">
        <v>5.2229475039073277E-2</v>
      </c>
      <c r="N86" s="5">
        <v>0.25123655419692925</v>
      </c>
      <c r="O86" s="5">
        <v>1.1696331709110968</v>
      </c>
      <c r="P86" s="5">
        <v>0.86850234439643281</v>
      </c>
      <c r="Q86" s="5">
        <v>2.5151696239771995</v>
      </c>
      <c r="R86" s="5">
        <v>2.1407557230854093</v>
      </c>
      <c r="S86" s="5">
        <v>0.84689712236830006</v>
      </c>
      <c r="T86" s="5">
        <v>7.8444240139744403</v>
      </c>
      <c r="U86" s="17">
        <f t="shared" si="32"/>
        <v>96.123549992350192</v>
      </c>
      <c r="V86" s="5">
        <f t="shared" si="48"/>
        <v>6.4999999999999997E-3</v>
      </c>
      <c r="W86" s="5">
        <v>8.4790038995946462E-2</v>
      </c>
      <c r="X86" s="5">
        <v>2.3180954800777261E-2</v>
      </c>
      <c r="Y86" s="5">
        <v>6.2134026043462673E-2</v>
      </c>
      <c r="Z86" s="5">
        <f t="shared" si="49"/>
        <v>5.0000000000000001E-3</v>
      </c>
      <c r="AA86" s="5">
        <f t="shared" ref="AA86:AA91" si="59">0.5*0.02</f>
        <v>0.01</v>
      </c>
      <c r="AB86" s="5">
        <f t="shared" ref="AB86:AB91" si="60">0.5*0.013</f>
        <v>6.4999999999999997E-3</v>
      </c>
      <c r="AC86" s="5">
        <f t="shared" si="51"/>
        <v>0.05</v>
      </c>
      <c r="AD86" s="5">
        <v>0.17010501984018639</v>
      </c>
      <c r="AE86" s="17">
        <f t="shared" si="58"/>
        <v>0.19310501984018641</v>
      </c>
      <c r="AF86" s="5">
        <v>1.5077686862186265E-2</v>
      </c>
      <c r="AG86" s="18">
        <f>AF86*(5/K86)</f>
        <v>0.20776047316971041</v>
      </c>
      <c r="AH86" s="18">
        <v>9.2348142868456495</v>
      </c>
      <c r="AI86" s="5">
        <f t="shared" si="52"/>
        <v>0.1</v>
      </c>
      <c r="AJ86" s="5">
        <f t="shared" si="53"/>
        <v>0.05</v>
      </c>
      <c r="AK86" s="5">
        <f t="shared" si="54"/>
        <v>0.1</v>
      </c>
      <c r="AL86" s="5">
        <f t="shared" si="54"/>
        <v>0.1</v>
      </c>
      <c r="AM86" s="5">
        <f t="shared" si="55"/>
        <v>0.15</v>
      </c>
      <c r="AN86" s="5">
        <v>0.85198384414350192</v>
      </c>
      <c r="AO86" s="5">
        <f>0.5*0.3</f>
        <v>0.15</v>
      </c>
      <c r="AP86" s="5">
        <f t="shared" si="56"/>
        <v>0.1</v>
      </c>
      <c r="AQ86" s="5">
        <v>0.3896676434096249</v>
      </c>
      <c r="AR86" s="5">
        <f t="shared" si="57"/>
        <v>0.05</v>
      </c>
      <c r="AS86" s="5" t="s">
        <v>158</v>
      </c>
      <c r="AT86" s="5" t="s">
        <v>158</v>
      </c>
      <c r="AU86" s="5" t="s">
        <v>158</v>
      </c>
      <c r="AV86" s="5" t="s">
        <v>158</v>
      </c>
      <c r="AW86" s="5" t="s">
        <v>158</v>
      </c>
      <c r="BC86" s="17" t="s">
        <v>158</v>
      </c>
      <c r="BD86" s="17" t="s">
        <v>158</v>
      </c>
      <c r="BE86" s="17" t="s">
        <v>158</v>
      </c>
      <c r="BF86" s="17" t="s">
        <v>158</v>
      </c>
      <c r="BG86" s="17" t="s">
        <v>158</v>
      </c>
      <c r="BH86" s="17" t="s">
        <v>158</v>
      </c>
      <c r="BI86" s="17" t="s">
        <v>158</v>
      </c>
      <c r="BJ86" s="17" t="s">
        <v>158</v>
      </c>
      <c r="BK86" s="17" t="s">
        <v>158</v>
      </c>
      <c r="BL86" s="17" t="s">
        <v>158</v>
      </c>
      <c r="BM86" s="17" t="s">
        <v>158</v>
      </c>
      <c r="BN86" s="17">
        <v>42</v>
      </c>
      <c r="BO86" s="17" t="s">
        <v>158</v>
      </c>
      <c r="BP86" s="17" t="s">
        <v>158</v>
      </c>
      <c r="BQ86" s="17" t="s">
        <v>158</v>
      </c>
      <c r="BR86" s="17" t="s">
        <v>158</v>
      </c>
      <c r="BS86" s="17" t="s">
        <v>158</v>
      </c>
      <c r="BT86" s="17" t="s">
        <v>158</v>
      </c>
      <c r="BU86" s="17" t="s">
        <v>158</v>
      </c>
      <c r="BV86" s="17" t="s">
        <v>158</v>
      </c>
      <c r="BW86" s="17" t="s">
        <v>158</v>
      </c>
      <c r="BX86" s="17" t="s">
        <v>158</v>
      </c>
      <c r="BY86" s="17" t="s">
        <v>158</v>
      </c>
      <c r="BZ86" s="17" t="s">
        <v>158</v>
      </c>
      <c r="CA86" s="17" t="s">
        <v>158</v>
      </c>
      <c r="CB86" s="17" t="s">
        <v>158</v>
      </c>
      <c r="CC86" s="17" t="s">
        <v>158</v>
      </c>
      <c r="CD86" s="17" t="s">
        <v>158</v>
      </c>
      <c r="CE86" s="17" t="s">
        <v>158</v>
      </c>
      <c r="CF86" s="17" t="s">
        <v>158</v>
      </c>
      <c r="CG86" s="17" t="s">
        <v>158</v>
      </c>
      <c r="CH86" s="17" t="s">
        <v>158</v>
      </c>
      <c r="CI86" s="17" t="s">
        <v>158</v>
      </c>
      <c r="CJ86" s="17" t="s">
        <v>158</v>
      </c>
      <c r="CK86" s="17" t="s">
        <v>158</v>
      </c>
      <c r="CL86" s="17" t="s">
        <v>158</v>
      </c>
      <c r="CM86" s="17" t="s">
        <v>158</v>
      </c>
      <c r="CN86" s="17" t="s">
        <v>158</v>
      </c>
      <c r="CO86" s="17" t="s">
        <v>158</v>
      </c>
      <c r="CP86" s="17" t="s">
        <v>158</v>
      </c>
      <c r="CQ86" s="17" t="s">
        <v>158</v>
      </c>
      <c r="CR86" s="17" t="s">
        <v>158</v>
      </c>
      <c r="CS86" s="17" t="s">
        <v>158</v>
      </c>
      <c r="CT86" s="17" t="s">
        <v>158</v>
      </c>
      <c r="CU86" s="17" t="s">
        <v>158</v>
      </c>
      <c r="CV86" s="17" t="s">
        <v>158</v>
      </c>
      <c r="CW86" s="17" t="s">
        <v>158</v>
      </c>
      <c r="CX86" s="17" t="s">
        <v>158</v>
      </c>
      <c r="CY86" s="67" t="s">
        <v>158</v>
      </c>
    </row>
    <row r="87" spans="1:103" x14ac:dyDescent="0.2">
      <c r="A87" s="32" t="s">
        <v>81</v>
      </c>
      <c r="B87" s="14" t="s">
        <v>81</v>
      </c>
      <c r="C87" s="14" t="s">
        <v>20</v>
      </c>
      <c r="G87" s="28">
        <v>43692</v>
      </c>
      <c r="H87" s="16">
        <v>2019</v>
      </c>
      <c r="I87" s="135" t="s">
        <v>33</v>
      </c>
      <c r="J87" s="135">
        <v>10</v>
      </c>
      <c r="K87" s="136">
        <v>0.48309178743959896</v>
      </c>
      <c r="L87" s="5" t="s">
        <v>158</v>
      </c>
      <c r="M87" s="5">
        <v>3.4749022432137462E-2</v>
      </c>
      <c r="N87" s="5">
        <v>9.8759325314898644E-2</v>
      </c>
      <c r="O87" s="5">
        <v>0.28674506619572965</v>
      </c>
      <c r="P87" s="5">
        <v>0.22383029048924669</v>
      </c>
      <c r="Q87" s="5">
        <v>0.55442585086243878</v>
      </c>
      <c r="R87" s="5">
        <v>0.53012666363741601</v>
      </c>
      <c r="S87" s="5">
        <v>0.23471806766413206</v>
      </c>
      <c r="T87" s="5">
        <v>1.9633542865959994</v>
      </c>
      <c r="U87" s="17">
        <f t="shared" si="32"/>
        <v>18.004073359705433</v>
      </c>
      <c r="V87" s="5">
        <f t="shared" si="48"/>
        <v>6.4999999999999997E-3</v>
      </c>
      <c r="W87" s="5">
        <v>4.8472958549214989E-2</v>
      </c>
      <c r="X87" s="5">
        <v>1.4226669877088073E-2</v>
      </c>
      <c r="Y87" s="5">
        <v>5.1943418290425321E-2</v>
      </c>
      <c r="Z87" s="5">
        <v>1.7209770388279467E-2</v>
      </c>
      <c r="AA87" s="5">
        <f t="shared" si="59"/>
        <v>0.01</v>
      </c>
      <c r="AB87" s="5">
        <f t="shared" si="60"/>
        <v>6.4999999999999997E-3</v>
      </c>
      <c r="AC87" s="5">
        <f t="shared" si="51"/>
        <v>0.05</v>
      </c>
      <c r="AD87" s="5">
        <v>0.13185281710500785</v>
      </c>
      <c r="AE87" s="17">
        <f t="shared" si="58"/>
        <v>0.13764304671672839</v>
      </c>
      <c r="AF87" s="5">
        <f>0.5*0.01</f>
        <v>5.0000000000000001E-3</v>
      </c>
      <c r="AG87" s="18" t="s">
        <v>158</v>
      </c>
      <c r="AH87" s="18">
        <v>8.5221736414740796</v>
      </c>
      <c r="AI87" s="5">
        <f t="shared" si="52"/>
        <v>0.1</v>
      </c>
      <c r="AJ87" s="5">
        <f t="shared" si="53"/>
        <v>0.05</v>
      </c>
      <c r="AK87" s="5">
        <f t="shared" si="54"/>
        <v>0.1</v>
      </c>
      <c r="AL87" s="5">
        <f t="shared" si="54"/>
        <v>0.1</v>
      </c>
      <c r="AM87" s="5">
        <f t="shared" si="55"/>
        <v>0.15</v>
      </c>
      <c r="AN87" s="5">
        <v>1.1651646292495761</v>
      </c>
      <c r="AO87" s="5">
        <v>1.6701525832069242</v>
      </c>
      <c r="AP87" s="5">
        <f t="shared" si="56"/>
        <v>0.1</v>
      </c>
      <c r="AQ87" s="5">
        <v>1.2679872698610988</v>
      </c>
      <c r="AR87" s="5">
        <v>0.36716932869337615</v>
      </c>
      <c r="AS87" s="5" t="s">
        <v>158</v>
      </c>
      <c r="AT87" s="5" t="s">
        <v>158</v>
      </c>
      <c r="AU87" s="5" t="s">
        <v>158</v>
      </c>
      <c r="AV87" s="5" t="s">
        <v>158</v>
      </c>
      <c r="AW87" s="5" t="s">
        <v>158</v>
      </c>
      <c r="BC87" s="17" t="s">
        <v>158</v>
      </c>
      <c r="BD87" s="17" t="s">
        <v>158</v>
      </c>
      <c r="BE87" s="17" t="s">
        <v>158</v>
      </c>
      <c r="BF87" s="17" t="s">
        <v>158</v>
      </c>
      <c r="BG87" s="17" t="s">
        <v>158</v>
      </c>
      <c r="BH87" s="17" t="s">
        <v>158</v>
      </c>
      <c r="BI87" s="17" t="s">
        <v>158</v>
      </c>
      <c r="BJ87" s="17" t="s">
        <v>158</v>
      </c>
      <c r="BK87" s="17" t="s">
        <v>158</v>
      </c>
      <c r="BL87" s="17" t="s">
        <v>158</v>
      </c>
      <c r="BM87" s="17" t="s">
        <v>158</v>
      </c>
      <c r="BN87" s="17">
        <v>16</v>
      </c>
      <c r="BO87" s="17" t="s">
        <v>158</v>
      </c>
      <c r="BP87" s="17" t="s">
        <v>158</v>
      </c>
      <c r="BQ87" s="17" t="s">
        <v>158</v>
      </c>
      <c r="BR87" s="17" t="s">
        <v>158</v>
      </c>
      <c r="BS87" s="17" t="s">
        <v>158</v>
      </c>
      <c r="BT87" s="17" t="s">
        <v>158</v>
      </c>
      <c r="BU87" s="17" t="s">
        <v>158</v>
      </c>
      <c r="BV87" s="17" t="s">
        <v>158</v>
      </c>
      <c r="BW87" s="17" t="s">
        <v>158</v>
      </c>
      <c r="BX87" s="17" t="s">
        <v>158</v>
      </c>
      <c r="BY87" s="17" t="s">
        <v>158</v>
      </c>
      <c r="BZ87" s="17" t="s">
        <v>158</v>
      </c>
      <c r="CA87" s="17" t="s">
        <v>158</v>
      </c>
      <c r="CB87" s="17" t="s">
        <v>158</v>
      </c>
      <c r="CC87" s="17" t="s">
        <v>158</v>
      </c>
      <c r="CD87" s="17" t="s">
        <v>158</v>
      </c>
      <c r="CE87" s="17" t="s">
        <v>158</v>
      </c>
      <c r="CF87" s="17" t="s">
        <v>158</v>
      </c>
      <c r="CG87" s="17" t="s">
        <v>158</v>
      </c>
      <c r="CH87" s="17" t="s">
        <v>158</v>
      </c>
      <c r="CI87" s="17" t="s">
        <v>158</v>
      </c>
      <c r="CJ87" s="17" t="s">
        <v>158</v>
      </c>
      <c r="CK87" s="17" t="s">
        <v>158</v>
      </c>
      <c r="CL87" s="17" t="s">
        <v>158</v>
      </c>
      <c r="CM87" s="17" t="s">
        <v>158</v>
      </c>
      <c r="CN87" s="17" t="s">
        <v>158</v>
      </c>
      <c r="CO87" s="17" t="s">
        <v>158</v>
      </c>
      <c r="CP87" s="17" t="s">
        <v>158</v>
      </c>
      <c r="CQ87" s="17" t="s">
        <v>158</v>
      </c>
      <c r="CR87" s="17" t="s">
        <v>158</v>
      </c>
      <c r="CS87" s="17" t="s">
        <v>158</v>
      </c>
      <c r="CT87" s="17" t="s">
        <v>158</v>
      </c>
      <c r="CU87" s="17" t="s">
        <v>158</v>
      </c>
      <c r="CV87" s="17" t="s">
        <v>158</v>
      </c>
      <c r="CW87" s="17" t="s">
        <v>158</v>
      </c>
      <c r="CX87" s="17" t="s">
        <v>158</v>
      </c>
      <c r="CY87" s="67" t="s">
        <v>158</v>
      </c>
    </row>
    <row r="88" spans="1:103" x14ac:dyDescent="0.2">
      <c r="A88" s="32" t="s">
        <v>26</v>
      </c>
      <c r="B88" s="14" t="s">
        <v>26</v>
      </c>
      <c r="C88" s="14" t="s">
        <v>20</v>
      </c>
      <c r="G88" s="28">
        <v>43692</v>
      </c>
      <c r="H88" s="16">
        <v>2019</v>
      </c>
      <c r="I88" s="135" t="s">
        <v>33</v>
      </c>
      <c r="J88" s="135">
        <v>10</v>
      </c>
      <c r="K88" s="136">
        <v>0.39299937120102102</v>
      </c>
      <c r="L88" s="5" t="s">
        <v>158</v>
      </c>
      <c r="M88" s="5">
        <v>2.7408847836655328E-2</v>
      </c>
      <c r="N88" s="5">
        <v>2.8522119591638306E-2</v>
      </c>
      <c r="O88" s="5">
        <v>0.14955760816723385</v>
      </c>
      <c r="P88" s="5">
        <v>0.16347107438016528</v>
      </c>
      <c r="Q88" s="5">
        <v>0.41700534759358288</v>
      </c>
      <c r="R88" s="5">
        <v>0.40359747204666985</v>
      </c>
      <c r="S88" s="5">
        <v>0.15572192513368982</v>
      </c>
      <c r="T88" s="5">
        <v>1.3452843947496353</v>
      </c>
      <c r="U88" s="17">
        <f t="shared" si="32"/>
        <v>15.035816937286741</v>
      </c>
      <c r="V88" s="5">
        <f t="shared" si="48"/>
        <v>6.4999999999999997E-3</v>
      </c>
      <c r="W88" s="5">
        <f>0.5*0.01</f>
        <v>5.0000000000000001E-3</v>
      </c>
      <c r="X88" s="5">
        <f>0.5*0.013</f>
        <v>6.4999999999999997E-3</v>
      </c>
      <c r="Y88" s="5">
        <f>0.5*0.015</f>
        <v>7.4999999999999997E-3</v>
      </c>
      <c r="Z88" s="5">
        <v>1.8104621981435177E-2</v>
      </c>
      <c r="AA88" s="5">
        <f t="shared" si="59"/>
        <v>0.01</v>
      </c>
      <c r="AB88" s="5">
        <f t="shared" si="60"/>
        <v>6.4999999999999997E-3</v>
      </c>
      <c r="AC88" s="5">
        <f t="shared" si="51"/>
        <v>0.05</v>
      </c>
      <c r="AD88" s="5">
        <v>1.8104621981435177E-2</v>
      </c>
      <c r="AE88" s="17">
        <f t="shared" si="58"/>
        <v>4.2000000000000003E-2</v>
      </c>
      <c r="AF88" s="5">
        <f>0.5*0.01</f>
        <v>5.0000000000000001E-3</v>
      </c>
      <c r="AG88" s="18" t="s">
        <v>158</v>
      </c>
      <c r="AH88" s="18">
        <v>1.9319727891156462</v>
      </c>
      <c r="AI88" s="5">
        <f t="shared" si="52"/>
        <v>0.1</v>
      </c>
      <c r="AJ88" s="5">
        <f t="shared" si="53"/>
        <v>0.05</v>
      </c>
      <c r="AK88" s="5">
        <f t="shared" si="54"/>
        <v>0.1</v>
      </c>
      <c r="AL88" s="5">
        <f t="shared" si="54"/>
        <v>0.1</v>
      </c>
      <c r="AM88" s="5">
        <f t="shared" si="55"/>
        <v>0.15</v>
      </c>
      <c r="AN88" s="5">
        <v>0.24526239067055391</v>
      </c>
      <c r="AO88" s="5">
        <f>0.5*0.3</f>
        <v>0.15</v>
      </c>
      <c r="AP88" s="5">
        <f t="shared" si="56"/>
        <v>0.1</v>
      </c>
      <c r="AQ88" s="5">
        <f>0.5*0.2</f>
        <v>0.1</v>
      </c>
      <c r="AR88" s="5">
        <f>0.5*0.1</f>
        <v>0.05</v>
      </c>
      <c r="AS88" s="5" t="s">
        <v>158</v>
      </c>
      <c r="AT88" s="5" t="s">
        <v>158</v>
      </c>
      <c r="AU88" s="5" t="s">
        <v>158</v>
      </c>
      <c r="AV88" s="5" t="s">
        <v>158</v>
      </c>
      <c r="AW88" s="5" t="s">
        <v>158</v>
      </c>
      <c r="BC88" s="17" t="s">
        <v>158</v>
      </c>
      <c r="BD88" s="17" t="s">
        <v>158</v>
      </c>
      <c r="BE88" s="17" t="s">
        <v>158</v>
      </c>
      <c r="BF88" s="17" t="s">
        <v>158</v>
      </c>
      <c r="BG88" s="17" t="s">
        <v>158</v>
      </c>
      <c r="BH88" s="17" t="s">
        <v>158</v>
      </c>
      <c r="BI88" s="17" t="s">
        <v>158</v>
      </c>
      <c r="BJ88" s="17" t="s">
        <v>158</v>
      </c>
      <c r="BK88" s="17" t="s">
        <v>158</v>
      </c>
      <c r="BL88" s="17" t="s">
        <v>158</v>
      </c>
      <c r="BM88" s="17" t="s">
        <v>158</v>
      </c>
      <c r="BN88" s="17">
        <v>37</v>
      </c>
      <c r="BO88" s="17" t="s">
        <v>158</v>
      </c>
      <c r="BP88" s="17" t="s">
        <v>158</v>
      </c>
      <c r="BQ88" s="17" t="s">
        <v>158</v>
      </c>
      <c r="BR88" s="17" t="s">
        <v>158</v>
      </c>
      <c r="BS88" s="17" t="s">
        <v>158</v>
      </c>
      <c r="BT88" s="17" t="s">
        <v>158</v>
      </c>
      <c r="BU88" s="17" t="s">
        <v>158</v>
      </c>
      <c r="BV88" s="17" t="s">
        <v>158</v>
      </c>
      <c r="BW88" s="17" t="s">
        <v>158</v>
      </c>
      <c r="BX88" s="17" t="s">
        <v>158</v>
      </c>
      <c r="BY88" s="17" t="s">
        <v>158</v>
      </c>
      <c r="BZ88" s="17" t="s">
        <v>158</v>
      </c>
      <c r="CA88" s="17" t="s">
        <v>158</v>
      </c>
      <c r="CB88" s="17" t="s">
        <v>158</v>
      </c>
      <c r="CC88" s="17" t="s">
        <v>158</v>
      </c>
      <c r="CD88" s="17" t="s">
        <v>158</v>
      </c>
      <c r="CE88" s="17" t="s">
        <v>158</v>
      </c>
      <c r="CF88" s="17" t="s">
        <v>158</v>
      </c>
      <c r="CG88" s="17" t="s">
        <v>158</v>
      </c>
      <c r="CH88" s="17" t="s">
        <v>158</v>
      </c>
      <c r="CI88" s="17" t="s">
        <v>158</v>
      </c>
      <c r="CJ88" s="17" t="s">
        <v>158</v>
      </c>
      <c r="CK88" s="17" t="s">
        <v>158</v>
      </c>
      <c r="CL88" s="17" t="s">
        <v>158</v>
      </c>
      <c r="CM88" s="17" t="s">
        <v>158</v>
      </c>
      <c r="CN88" s="17" t="s">
        <v>158</v>
      </c>
      <c r="CO88" s="17" t="s">
        <v>158</v>
      </c>
      <c r="CP88" s="17" t="s">
        <v>158</v>
      </c>
      <c r="CQ88" s="17" t="s">
        <v>158</v>
      </c>
      <c r="CR88" s="17" t="s">
        <v>158</v>
      </c>
      <c r="CS88" s="17" t="s">
        <v>158</v>
      </c>
      <c r="CT88" s="17" t="s">
        <v>158</v>
      </c>
      <c r="CU88" s="17" t="s">
        <v>158</v>
      </c>
      <c r="CV88" s="17" t="s">
        <v>158</v>
      </c>
      <c r="CW88" s="17" t="s">
        <v>158</v>
      </c>
      <c r="CX88" s="17" t="s">
        <v>158</v>
      </c>
      <c r="CY88" s="67" t="s">
        <v>158</v>
      </c>
    </row>
    <row r="89" spans="1:103" x14ac:dyDescent="0.2">
      <c r="A89" s="32" t="s">
        <v>7</v>
      </c>
      <c r="B89" s="14" t="s">
        <v>7</v>
      </c>
      <c r="C89" s="14" t="s">
        <v>20</v>
      </c>
      <c r="G89" s="28">
        <v>43691</v>
      </c>
      <c r="H89" s="16">
        <v>2019</v>
      </c>
      <c r="I89" s="135" t="s">
        <v>33</v>
      </c>
      <c r="J89" s="135">
        <v>10</v>
      </c>
      <c r="K89" s="136">
        <v>0.41477587729210202</v>
      </c>
      <c r="L89" s="5" t="s">
        <v>158</v>
      </c>
      <c r="M89" s="5">
        <v>3.9912120102526552E-2</v>
      </c>
      <c r="N89" s="5">
        <v>0.21645917246429877</v>
      </c>
      <c r="O89" s="5">
        <v>0.91005126327352626</v>
      </c>
      <c r="P89" s="5">
        <v>0.90675576711827177</v>
      </c>
      <c r="Q89" s="5">
        <v>2.3846759428780668</v>
      </c>
      <c r="R89" s="5">
        <v>2.0504393994873675</v>
      </c>
      <c r="S89" s="5">
        <v>0.86931526913218604</v>
      </c>
      <c r="T89" s="5">
        <v>7.3776089344562443</v>
      </c>
      <c r="U89" s="17">
        <f t="shared" si="32"/>
        <v>78.004212896654707</v>
      </c>
      <c r="V89" s="5">
        <f t="shared" si="48"/>
        <v>6.4999999999999997E-3</v>
      </c>
      <c r="W89" s="5">
        <v>6.9075613465190408E-2</v>
      </c>
      <c r="X89" s="5">
        <v>2.1512760275296073E-2</v>
      </c>
      <c r="Y89" s="5">
        <v>2.9993879133061476E-2</v>
      </c>
      <c r="Z89" s="5">
        <v>2.6511740130806316E-2</v>
      </c>
      <c r="AA89" s="5">
        <f t="shared" si="59"/>
        <v>0.01</v>
      </c>
      <c r="AB89" s="5">
        <f t="shared" si="60"/>
        <v>6.4999999999999997E-3</v>
      </c>
      <c r="AC89" s="5">
        <f t="shared" si="51"/>
        <v>0.05</v>
      </c>
      <c r="AD89" s="5">
        <v>0.14709399300435427</v>
      </c>
      <c r="AE89" s="17">
        <f t="shared" si="58"/>
        <v>0.14358225287354798</v>
      </c>
      <c r="AF89" s="5">
        <v>1.6477480776272427E-2</v>
      </c>
      <c r="AG89" s="18">
        <f>AF89*(5/K89)</f>
        <v>0.19863113645671726</v>
      </c>
      <c r="AH89" s="18">
        <v>5.1242751229538275</v>
      </c>
      <c r="AI89" s="5">
        <f t="shared" si="52"/>
        <v>0.1</v>
      </c>
      <c r="AJ89" s="5">
        <f t="shared" si="53"/>
        <v>0.05</v>
      </c>
      <c r="AK89" s="5">
        <f t="shared" si="54"/>
        <v>0.1</v>
      </c>
      <c r="AL89" s="5">
        <f t="shared" si="54"/>
        <v>0.1</v>
      </c>
      <c r="AM89" s="5">
        <f t="shared" si="55"/>
        <v>0.15</v>
      </c>
      <c r="AN89" s="5">
        <v>1.1640607795639726</v>
      </c>
      <c r="AO89" s="5">
        <v>0.542274095280041</v>
      </c>
      <c r="AP89" s="5">
        <f t="shared" si="56"/>
        <v>0.1</v>
      </c>
      <c r="AQ89" s="5">
        <v>0.72747069906285933</v>
      </c>
      <c r="AR89" s="5">
        <f>0.5*0.1</f>
        <v>0.05</v>
      </c>
      <c r="AS89" s="5" t="s">
        <v>158</v>
      </c>
      <c r="AT89" s="5" t="s">
        <v>158</v>
      </c>
      <c r="AU89" s="5" t="s">
        <v>158</v>
      </c>
      <c r="AV89" s="5" t="s">
        <v>158</v>
      </c>
      <c r="AW89" s="5" t="s">
        <v>158</v>
      </c>
      <c r="BC89" s="17" t="s">
        <v>158</v>
      </c>
      <c r="BD89" s="17" t="s">
        <v>158</v>
      </c>
      <c r="BE89" s="17" t="s">
        <v>158</v>
      </c>
      <c r="BF89" s="17" t="s">
        <v>158</v>
      </c>
      <c r="BG89" s="17" t="s">
        <v>158</v>
      </c>
      <c r="BH89" s="17" t="s">
        <v>158</v>
      </c>
      <c r="BI89" s="17" t="s">
        <v>158</v>
      </c>
      <c r="BJ89" s="17" t="s">
        <v>158</v>
      </c>
      <c r="BK89" s="17" t="s">
        <v>158</v>
      </c>
      <c r="BL89" s="17" t="s">
        <v>158</v>
      </c>
      <c r="BM89" s="17" t="s">
        <v>158</v>
      </c>
      <c r="BN89" s="17">
        <v>140</v>
      </c>
      <c r="BO89" s="17" t="s">
        <v>158</v>
      </c>
      <c r="BP89" s="17" t="s">
        <v>158</v>
      </c>
      <c r="BQ89" s="17" t="s">
        <v>158</v>
      </c>
      <c r="BR89" s="17" t="s">
        <v>158</v>
      </c>
      <c r="BS89" s="17" t="s">
        <v>158</v>
      </c>
      <c r="BT89" s="17" t="s">
        <v>158</v>
      </c>
      <c r="BU89" s="17" t="s">
        <v>158</v>
      </c>
      <c r="BV89" s="17" t="s">
        <v>158</v>
      </c>
      <c r="BW89" s="17" t="s">
        <v>158</v>
      </c>
      <c r="BX89" s="17" t="s">
        <v>158</v>
      </c>
      <c r="BY89" s="17" t="s">
        <v>158</v>
      </c>
      <c r="BZ89" s="17" t="s">
        <v>158</v>
      </c>
      <c r="CA89" s="17" t="s">
        <v>158</v>
      </c>
      <c r="CB89" s="17" t="s">
        <v>158</v>
      </c>
      <c r="CC89" s="17" t="s">
        <v>158</v>
      </c>
      <c r="CD89" s="17" t="s">
        <v>158</v>
      </c>
      <c r="CE89" s="17" t="s">
        <v>158</v>
      </c>
      <c r="CF89" s="17" t="s">
        <v>158</v>
      </c>
      <c r="CG89" s="17" t="s">
        <v>158</v>
      </c>
      <c r="CH89" s="17" t="s">
        <v>158</v>
      </c>
      <c r="CI89" s="17" t="s">
        <v>158</v>
      </c>
      <c r="CJ89" s="17" t="s">
        <v>158</v>
      </c>
      <c r="CK89" s="17" t="s">
        <v>158</v>
      </c>
      <c r="CL89" s="17" t="s">
        <v>158</v>
      </c>
      <c r="CM89" s="17" t="s">
        <v>158</v>
      </c>
      <c r="CN89" s="17" t="s">
        <v>158</v>
      </c>
      <c r="CO89" s="17" t="s">
        <v>158</v>
      </c>
      <c r="CP89" s="17" t="s">
        <v>158</v>
      </c>
      <c r="CQ89" s="17" t="s">
        <v>158</v>
      </c>
      <c r="CR89" s="17" t="s">
        <v>158</v>
      </c>
      <c r="CS89" s="17" t="s">
        <v>158</v>
      </c>
      <c r="CT89" s="17" t="s">
        <v>158</v>
      </c>
      <c r="CU89" s="17" t="s">
        <v>158</v>
      </c>
      <c r="CV89" s="17" t="s">
        <v>158</v>
      </c>
      <c r="CW89" s="17" t="s">
        <v>158</v>
      </c>
      <c r="CX89" s="17" t="s">
        <v>158</v>
      </c>
      <c r="CY89" s="67" t="s">
        <v>158</v>
      </c>
    </row>
    <row r="90" spans="1:103" x14ac:dyDescent="0.2">
      <c r="A90" s="32" t="s">
        <v>8</v>
      </c>
      <c r="B90" s="14" t="s">
        <v>8</v>
      </c>
      <c r="C90" s="14" t="s">
        <v>20</v>
      </c>
      <c r="G90" s="28">
        <v>43712</v>
      </c>
      <c r="H90" s="16">
        <v>2019</v>
      </c>
      <c r="I90" s="135" t="s">
        <v>33</v>
      </c>
      <c r="J90" s="135">
        <v>10</v>
      </c>
      <c r="K90" s="136">
        <v>0.42815814850533396</v>
      </c>
      <c r="L90" s="5" t="s">
        <v>158</v>
      </c>
      <c r="M90" s="5">
        <f>0.5*0.015</f>
        <v>7.4999999999999997E-3</v>
      </c>
      <c r="N90" s="5">
        <v>5.5020698950611339E-2</v>
      </c>
      <c r="O90" s="5">
        <v>0.42993164532588812</v>
      </c>
      <c r="P90" s="5">
        <v>0.38628092808318087</v>
      </c>
      <c r="Q90" s="5">
        <v>1.9109078656012319</v>
      </c>
      <c r="R90" s="5">
        <v>1.453643978049485</v>
      </c>
      <c r="S90" s="5">
        <v>0.82737075190141518</v>
      </c>
      <c r="T90" s="5">
        <v>5.0631558679118127</v>
      </c>
      <c r="U90" s="17">
        <f t="shared" si="32"/>
        <v>54.703792934706627</v>
      </c>
      <c r="V90" s="5">
        <f t="shared" si="48"/>
        <v>6.4999999999999997E-3</v>
      </c>
      <c r="W90" s="5">
        <v>4.1963125618521668E-2</v>
      </c>
      <c r="X90" s="5">
        <v>1.8856955595146985E-2</v>
      </c>
      <c r="Y90" s="5">
        <v>3.8942599699661018E-2</v>
      </c>
      <c r="Z90" s="5">
        <f>0.5*0.01</f>
        <v>5.0000000000000001E-3</v>
      </c>
      <c r="AA90" s="5">
        <f t="shared" si="59"/>
        <v>0.01</v>
      </c>
      <c r="AB90" s="5">
        <f t="shared" si="60"/>
        <v>6.4999999999999997E-3</v>
      </c>
      <c r="AC90" s="5">
        <f t="shared" si="51"/>
        <v>0.05</v>
      </c>
      <c r="AD90" s="5">
        <v>9.9762680913329668E-2</v>
      </c>
      <c r="AE90" s="17">
        <f t="shared" si="58"/>
        <v>0.12276268091332967</v>
      </c>
      <c r="AF90" s="5">
        <f>0.5*0.01</f>
        <v>5.0000000000000001E-3</v>
      </c>
      <c r="AG90" s="18" t="s">
        <v>158</v>
      </c>
      <c r="AH90" s="18">
        <v>14.363227170428972</v>
      </c>
      <c r="AI90" s="5">
        <f t="shared" si="52"/>
        <v>0.1</v>
      </c>
      <c r="AJ90" s="5">
        <f t="shared" si="53"/>
        <v>0.05</v>
      </c>
      <c r="AK90" s="5">
        <f t="shared" si="54"/>
        <v>0.1</v>
      </c>
      <c r="AL90" s="5">
        <f t="shared" si="54"/>
        <v>0.1</v>
      </c>
      <c r="AM90" s="5">
        <f t="shared" si="55"/>
        <v>0.15</v>
      </c>
      <c r="AN90" s="5">
        <v>2.4795744390643115</v>
      </c>
      <c r="AO90" s="5">
        <v>0.37764441110277569</v>
      </c>
      <c r="AP90" s="5">
        <f t="shared" si="56"/>
        <v>0.1</v>
      </c>
      <c r="AQ90" s="5">
        <v>0.88047011752938253</v>
      </c>
      <c r="AR90" s="5">
        <f>0.5*0.1</f>
        <v>0.05</v>
      </c>
      <c r="AS90" s="5" t="s">
        <v>158</v>
      </c>
      <c r="AT90" s="5" t="s">
        <v>158</v>
      </c>
      <c r="AU90" s="5" t="s">
        <v>158</v>
      </c>
      <c r="AV90" s="5" t="s">
        <v>158</v>
      </c>
      <c r="AW90" s="5" t="s">
        <v>158</v>
      </c>
      <c r="BC90" s="17" t="s">
        <v>158</v>
      </c>
      <c r="BD90" s="17" t="s">
        <v>158</v>
      </c>
      <c r="BE90" s="17" t="s">
        <v>158</v>
      </c>
      <c r="BF90" s="17" t="s">
        <v>158</v>
      </c>
      <c r="BG90" s="17" t="s">
        <v>158</v>
      </c>
      <c r="BH90" s="17" t="s">
        <v>158</v>
      </c>
      <c r="BI90" s="17" t="s">
        <v>158</v>
      </c>
      <c r="BJ90" s="17" t="s">
        <v>158</v>
      </c>
      <c r="BK90" s="17" t="s">
        <v>158</v>
      </c>
      <c r="BL90" s="17" t="s">
        <v>158</v>
      </c>
      <c r="BM90" s="17" t="s">
        <v>158</v>
      </c>
      <c r="BN90" s="17">
        <v>120</v>
      </c>
      <c r="BO90" s="17" t="s">
        <v>158</v>
      </c>
      <c r="BP90" s="17" t="s">
        <v>158</v>
      </c>
      <c r="BQ90" s="17" t="s">
        <v>158</v>
      </c>
      <c r="BR90" s="17" t="s">
        <v>158</v>
      </c>
      <c r="BS90" s="17" t="s">
        <v>158</v>
      </c>
      <c r="BT90" s="17" t="s">
        <v>158</v>
      </c>
      <c r="BU90" s="17" t="s">
        <v>158</v>
      </c>
      <c r="BV90" s="17" t="s">
        <v>158</v>
      </c>
      <c r="BW90" s="17" t="s">
        <v>158</v>
      </c>
      <c r="BX90" s="17" t="s">
        <v>158</v>
      </c>
      <c r="BY90" s="17" t="s">
        <v>158</v>
      </c>
      <c r="BZ90" s="17" t="s">
        <v>158</v>
      </c>
      <c r="CA90" s="17" t="s">
        <v>158</v>
      </c>
      <c r="CB90" s="17" t="s">
        <v>158</v>
      </c>
      <c r="CC90" s="17" t="s">
        <v>158</v>
      </c>
      <c r="CD90" s="17" t="s">
        <v>158</v>
      </c>
      <c r="CE90" s="17" t="s">
        <v>158</v>
      </c>
      <c r="CF90" s="17" t="s">
        <v>158</v>
      </c>
      <c r="CG90" s="17" t="s">
        <v>158</v>
      </c>
      <c r="CH90" s="17" t="s">
        <v>158</v>
      </c>
      <c r="CI90" s="17" t="s">
        <v>158</v>
      </c>
      <c r="CJ90" s="17" t="s">
        <v>158</v>
      </c>
      <c r="CK90" s="17" t="s">
        <v>158</v>
      </c>
      <c r="CL90" s="17" t="s">
        <v>158</v>
      </c>
      <c r="CM90" s="17" t="s">
        <v>158</v>
      </c>
      <c r="CN90" s="17" t="s">
        <v>158</v>
      </c>
      <c r="CO90" s="17" t="s">
        <v>158</v>
      </c>
      <c r="CP90" s="17" t="s">
        <v>158</v>
      </c>
      <c r="CQ90" s="17" t="s">
        <v>158</v>
      </c>
      <c r="CR90" s="17" t="s">
        <v>158</v>
      </c>
      <c r="CS90" s="17" t="s">
        <v>158</v>
      </c>
      <c r="CT90" s="17" t="s">
        <v>158</v>
      </c>
      <c r="CU90" s="17" t="s">
        <v>158</v>
      </c>
      <c r="CV90" s="17" t="s">
        <v>158</v>
      </c>
      <c r="CW90" s="17" t="s">
        <v>158</v>
      </c>
      <c r="CX90" s="17" t="s">
        <v>158</v>
      </c>
      <c r="CY90" s="67" t="s">
        <v>158</v>
      </c>
    </row>
    <row r="91" spans="1:103" x14ac:dyDescent="0.2">
      <c r="A91" s="32" t="s">
        <v>29</v>
      </c>
      <c r="B91" s="14" t="s">
        <v>29</v>
      </c>
      <c r="C91" s="14" t="s">
        <v>20</v>
      </c>
      <c r="G91" s="28">
        <v>43703</v>
      </c>
      <c r="H91" s="16">
        <v>2019</v>
      </c>
      <c r="I91" s="135" t="s">
        <v>33</v>
      </c>
      <c r="J91" s="135">
        <v>10</v>
      </c>
      <c r="K91" s="136">
        <v>0.25776381066721099</v>
      </c>
      <c r="L91" s="5" t="s">
        <v>158</v>
      </c>
      <c r="M91" s="5">
        <v>1.8235294117647058E-2</v>
      </c>
      <c r="N91" s="5">
        <v>5.033088235294117E-2</v>
      </c>
      <c r="O91" s="5">
        <v>0.31844669117647056</v>
      </c>
      <c r="P91" s="5">
        <v>0.35080882352941178</v>
      </c>
      <c r="Q91" s="5">
        <v>1.0370863970588236</v>
      </c>
      <c r="R91" s="5">
        <v>0.78079044117647045</v>
      </c>
      <c r="S91" s="5">
        <v>0.3138786764705882</v>
      </c>
      <c r="T91" s="5">
        <v>2.869577205882353</v>
      </c>
      <c r="U91" s="17">
        <f t="shared" si="32"/>
        <v>48.858068474259689</v>
      </c>
      <c r="V91" s="5">
        <f t="shared" si="48"/>
        <v>6.4999999999999997E-3</v>
      </c>
      <c r="W91" s="5">
        <v>3.6886673667901416E-2</v>
      </c>
      <c r="X91" s="5">
        <f>0.5*0.013</f>
        <v>6.4999999999999997E-3</v>
      </c>
      <c r="Y91" s="5">
        <v>2.4130546386092033E-2</v>
      </c>
      <c r="Z91" s="5">
        <f>0.5*0.01</f>
        <v>5.0000000000000001E-3</v>
      </c>
      <c r="AA91" s="5">
        <f t="shared" si="59"/>
        <v>0.01</v>
      </c>
      <c r="AB91" s="5">
        <f t="shared" si="60"/>
        <v>6.4999999999999997E-3</v>
      </c>
      <c r="AC91" s="5">
        <f t="shared" si="51"/>
        <v>0.05</v>
      </c>
      <c r="AD91" s="5">
        <v>6.1017220053993446E-2</v>
      </c>
      <c r="AE91" s="17">
        <f t="shared" si="58"/>
        <v>9.0517220053993458E-2</v>
      </c>
      <c r="AF91" s="5">
        <v>3.4742647058823524E-2</v>
      </c>
      <c r="AG91" s="18">
        <f>AF91*(5/K91)</f>
        <v>0.67392406577350039</v>
      </c>
      <c r="AH91" s="18">
        <v>23.714265821903503</v>
      </c>
      <c r="AI91" s="5">
        <f t="shared" si="52"/>
        <v>0.1</v>
      </c>
      <c r="AJ91" s="5">
        <f t="shared" si="53"/>
        <v>0.05</v>
      </c>
      <c r="AK91" s="5">
        <f t="shared" si="54"/>
        <v>0.1</v>
      </c>
      <c r="AL91" s="5">
        <f t="shared" si="54"/>
        <v>0.1</v>
      </c>
      <c r="AM91" s="5">
        <f t="shared" si="55"/>
        <v>0.15</v>
      </c>
      <c r="AN91" s="5">
        <v>2.5174406461045744</v>
      </c>
      <c r="AO91" s="5">
        <v>0.4015456380978904</v>
      </c>
      <c r="AP91" s="5">
        <f t="shared" si="56"/>
        <v>0.1</v>
      </c>
      <c r="AQ91" s="5">
        <v>0.7874631576504445</v>
      </c>
      <c r="AR91" s="5">
        <v>0.10547007356866021</v>
      </c>
      <c r="AS91" s="5" t="s">
        <v>158</v>
      </c>
      <c r="AT91" s="5" t="s">
        <v>158</v>
      </c>
      <c r="AU91" s="5" t="s">
        <v>158</v>
      </c>
      <c r="AV91" s="5" t="s">
        <v>158</v>
      </c>
      <c r="AW91" s="5" t="s">
        <v>158</v>
      </c>
      <c r="BC91" s="17" t="s">
        <v>158</v>
      </c>
      <c r="BD91" s="17" t="s">
        <v>158</v>
      </c>
      <c r="BE91" s="17" t="s">
        <v>158</v>
      </c>
      <c r="BF91" s="17" t="s">
        <v>158</v>
      </c>
      <c r="BG91" s="17" t="s">
        <v>158</v>
      </c>
      <c r="BH91" s="17" t="s">
        <v>158</v>
      </c>
      <c r="BI91" s="17" t="s">
        <v>158</v>
      </c>
      <c r="BJ91" s="17" t="s">
        <v>158</v>
      </c>
      <c r="BK91" s="17" t="s">
        <v>158</v>
      </c>
      <c r="BL91" s="17" t="s">
        <v>158</v>
      </c>
      <c r="BM91" s="17" t="s">
        <v>158</v>
      </c>
      <c r="BN91" s="17">
        <v>64</v>
      </c>
      <c r="BO91" s="17" t="s">
        <v>158</v>
      </c>
      <c r="BP91" s="17" t="s">
        <v>158</v>
      </c>
      <c r="BQ91" s="17" t="s">
        <v>158</v>
      </c>
      <c r="BR91" s="17" t="s">
        <v>158</v>
      </c>
      <c r="BS91" s="17" t="s">
        <v>158</v>
      </c>
      <c r="BT91" s="17" t="s">
        <v>158</v>
      </c>
      <c r="BU91" s="17" t="s">
        <v>158</v>
      </c>
      <c r="BV91" s="17" t="s">
        <v>158</v>
      </c>
      <c r="BW91" s="17" t="s">
        <v>158</v>
      </c>
      <c r="BX91" s="17" t="s">
        <v>158</v>
      </c>
      <c r="BY91" s="17" t="s">
        <v>158</v>
      </c>
      <c r="BZ91" s="17" t="s">
        <v>158</v>
      </c>
      <c r="CA91" s="17" t="s">
        <v>158</v>
      </c>
      <c r="CB91" s="17" t="s">
        <v>158</v>
      </c>
      <c r="CC91" s="17" t="s">
        <v>158</v>
      </c>
      <c r="CD91" s="17" t="s">
        <v>158</v>
      </c>
      <c r="CE91" s="17" t="s">
        <v>158</v>
      </c>
      <c r="CF91" s="17" t="s">
        <v>158</v>
      </c>
      <c r="CG91" s="17" t="s">
        <v>158</v>
      </c>
      <c r="CH91" s="17" t="s">
        <v>158</v>
      </c>
      <c r="CI91" s="17" t="s">
        <v>158</v>
      </c>
      <c r="CJ91" s="17" t="s">
        <v>158</v>
      </c>
      <c r="CK91" s="17" t="s">
        <v>158</v>
      </c>
      <c r="CL91" s="17" t="s">
        <v>158</v>
      </c>
      <c r="CM91" s="17" t="s">
        <v>158</v>
      </c>
      <c r="CN91" s="17" t="s">
        <v>158</v>
      </c>
      <c r="CO91" s="17" t="s">
        <v>158</v>
      </c>
      <c r="CP91" s="17" t="s">
        <v>158</v>
      </c>
      <c r="CQ91" s="17" t="s">
        <v>158</v>
      </c>
      <c r="CR91" s="17" t="s">
        <v>158</v>
      </c>
      <c r="CS91" s="17" t="s">
        <v>158</v>
      </c>
      <c r="CT91" s="17" t="s">
        <v>158</v>
      </c>
      <c r="CU91" s="17" t="s">
        <v>158</v>
      </c>
      <c r="CV91" s="17" t="s">
        <v>158</v>
      </c>
      <c r="CW91" s="17" t="s">
        <v>158</v>
      </c>
      <c r="CX91" s="17" t="s">
        <v>158</v>
      </c>
      <c r="CY91" s="67" t="s">
        <v>158</v>
      </c>
    </row>
    <row r="92" spans="1:103" x14ac:dyDescent="0.2">
      <c r="A92" s="32" t="s">
        <v>30</v>
      </c>
      <c r="B92" s="14" t="s">
        <v>30</v>
      </c>
      <c r="C92" s="14" t="s">
        <v>20</v>
      </c>
      <c r="G92" s="28">
        <v>43720</v>
      </c>
      <c r="H92" s="16">
        <v>2019</v>
      </c>
      <c r="I92" s="135" t="s">
        <v>33</v>
      </c>
      <c r="J92" s="135">
        <v>5</v>
      </c>
      <c r="K92" s="136">
        <v>0.34338783314476201</v>
      </c>
      <c r="L92" s="5" t="s">
        <v>158</v>
      </c>
      <c r="M92" s="5">
        <v>0.32939973412414358</v>
      </c>
      <c r="N92" s="5">
        <v>0.81547192964515802</v>
      </c>
      <c r="O92" s="5">
        <v>2.9470600265875859</v>
      </c>
      <c r="P92" s="5">
        <v>2.8493199713672155</v>
      </c>
      <c r="Q92" s="5">
        <v>5.8233766233766229</v>
      </c>
      <c r="R92" s="5">
        <v>5.3956437263523878</v>
      </c>
      <c r="S92" s="5">
        <v>1.7062480826260356</v>
      </c>
      <c r="T92" s="5">
        <v>19.866520094079149</v>
      </c>
      <c r="U92" s="17">
        <f t="shared" si="32"/>
        <v>247.78397019585131</v>
      </c>
      <c r="V92" s="5">
        <f t="shared" si="48"/>
        <v>6.4999999999999997E-3</v>
      </c>
      <c r="W92" s="5">
        <v>6.7278790660348614E-2</v>
      </c>
      <c r="X92" s="5">
        <v>2.9757371587653122E-2</v>
      </c>
      <c r="Y92" s="5">
        <v>4.3582571384438613E-2</v>
      </c>
      <c r="Z92" s="5">
        <f>0.5*0.01</f>
        <v>5.0000000000000001E-3</v>
      </c>
      <c r="AA92" s="5">
        <v>2.0737799695178239E-2</v>
      </c>
      <c r="AB92" s="5">
        <v>1.5398213134833114E-2</v>
      </c>
      <c r="AC92" s="5">
        <f t="shared" si="51"/>
        <v>0.05</v>
      </c>
      <c r="AD92" s="5">
        <v>0.17675474646245171</v>
      </c>
      <c r="AE92" s="17">
        <f t="shared" si="58"/>
        <v>0.18325474646245171</v>
      </c>
      <c r="AF92" s="5">
        <f>0.5*0.01</f>
        <v>5.0000000000000001E-3</v>
      </c>
      <c r="AG92" s="18" t="s">
        <v>158</v>
      </c>
      <c r="AH92" s="18">
        <v>21.903546099290782</v>
      </c>
      <c r="AI92" s="5">
        <f t="shared" si="52"/>
        <v>0.1</v>
      </c>
      <c r="AJ92" s="5">
        <f t="shared" si="53"/>
        <v>0.05</v>
      </c>
      <c r="AK92" s="5">
        <f t="shared" si="54"/>
        <v>0.1</v>
      </c>
      <c r="AL92" s="5">
        <f t="shared" si="54"/>
        <v>0.1</v>
      </c>
      <c r="AM92" s="5">
        <f t="shared" si="55"/>
        <v>0.15</v>
      </c>
      <c r="AN92" s="5">
        <v>2.1665484633569743</v>
      </c>
      <c r="AO92" s="5">
        <v>0.54358156028368798</v>
      </c>
      <c r="AP92" s="5">
        <f t="shared" si="56"/>
        <v>0.1</v>
      </c>
      <c r="AQ92" s="5">
        <v>0.88122537431048076</v>
      </c>
      <c r="AR92" s="5">
        <f t="shared" ref="AR92:AR100" si="61">0.5*0.1</f>
        <v>0.05</v>
      </c>
      <c r="AS92" s="5" t="s">
        <v>158</v>
      </c>
      <c r="AT92" s="5" t="s">
        <v>158</v>
      </c>
      <c r="AU92" s="5" t="s">
        <v>158</v>
      </c>
      <c r="AV92" s="5" t="s">
        <v>158</v>
      </c>
      <c r="AW92" s="5" t="s">
        <v>158</v>
      </c>
      <c r="BC92" s="17" t="s">
        <v>158</v>
      </c>
      <c r="BD92" s="17" t="s">
        <v>158</v>
      </c>
      <c r="BE92" s="17" t="s">
        <v>158</v>
      </c>
      <c r="BF92" s="17" t="s">
        <v>158</v>
      </c>
      <c r="BG92" s="17" t="s">
        <v>158</v>
      </c>
      <c r="BH92" s="17" t="s">
        <v>158</v>
      </c>
      <c r="BI92" s="17" t="s">
        <v>158</v>
      </c>
      <c r="BJ92" s="17" t="s">
        <v>158</v>
      </c>
      <c r="BK92" s="17" t="s">
        <v>158</v>
      </c>
      <c r="BL92" s="17" t="s">
        <v>158</v>
      </c>
      <c r="BM92" s="17" t="s">
        <v>158</v>
      </c>
      <c r="BN92" s="17">
        <v>80</v>
      </c>
      <c r="BO92" s="17" t="s">
        <v>158</v>
      </c>
      <c r="BP92" s="17" t="s">
        <v>158</v>
      </c>
      <c r="BQ92" s="17" t="s">
        <v>158</v>
      </c>
      <c r="BR92" s="17" t="s">
        <v>158</v>
      </c>
      <c r="BS92" s="17" t="s">
        <v>158</v>
      </c>
      <c r="BT92" s="17" t="s">
        <v>158</v>
      </c>
      <c r="BU92" s="17" t="s">
        <v>158</v>
      </c>
      <c r="BV92" s="17" t="s">
        <v>158</v>
      </c>
      <c r="BW92" s="17" t="s">
        <v>158</v>
      </c>
      <c r="BX92" s="17" t="s">
        <v>158</v>
      </c>
      <c r="BY92" s="17" t="s">
        <v>158</v>
      </c>
      <c r="BZ92" s="17" t="s">
        <v>158</v>
      </c>
      <c r="CA92" s="17" t="s">
        <v>158</v>
      </c>
      <c r="CB92" s="17" t="s">
        <v>158</v>
      </c>
      <c r="CC92" s="17" t="s">
        <v>158</v>
      </c>
      <c r="CD92" s="17" t="s">
        <v>158</v>
      </c>
      <c r="CE92" s="17" t="s">
        <v>158</v>
      </c>
      <c r="CF92" s="17" t="s">
        <v>158</v>
      </c>
      <c r="CG92" s="17" t="s">
        <v>158</v>
      </c>
      <c r="CH92" s="17" t="s">
        <v>158</v>
      </c>
      <c r="CI92" s="17" t="s">
        <v>158</v>
      </c>
      <c r="CJ92" s="17" t="s">
        <v>158</v>
      </c>
      <c r="CK92" s="17" t="s">
        <v>158</v>
      </c>
      <c r="CL92" s="17" t="s">
        <v>158</v>
      </c>
      <c r="CM92" s="17" t="s">
        <v>158</v>
      </c>
      <c r="CN92" s="17" t="s">
        <v>158</v>
      </c>
      <c r="CO92" s="17" t="s">
        <v>158</v>
      </c>
      <c r="CP92" s="17" t="s">
        <v>158</v>
      </c>
      <c r="CQ92" s="17" t="s">
        <v>158</v>
      </c>
      <c r="CR92" s="17" t="s">
        <v>158</v>
      </c>
      <c r="CS92" s="17" t="s">
        <v>158</v>
      </c>
      <c r="CT92" s="17" t="s">
        <v>158</v>
      </c>
      <c r="CU92" s="17" t="s">
        <v>158</v>
      </c>
      <c r="CV92" s="17" t="s">
        <v>158</v>
      </c>
      <c r="CW92" s="17" t="s">
        <v>158</v>
      </c>
      <c r="CX92" s="17" t="s">
        <v>158</v>
      </c>
      <c r="CY92" s="67" t="s">
        <v>158</v>
      </c>
    </row>
    <row r="93" spans="1:103" x14ac:dyDescent="0.2">
      <c r="A93" s="32" t="s">
        <v>9</v>
      </c>
      <c r="B93" s="14" t="s">
        <v>9</v>
      </c>
      <c r="C93" s="14" t="s">
        <v>20</v>
      </c>
      <c r="G93" s="28">
        <v>43693</v>
      </c>
      <c r="H93" s="16">
        <v>2019</v>
      </c>
      <c r="I93" s="135" t="s">
        <v>33</v>
      </c>
      <c r="J93" s="135">
        <v>10</v>
      </c>
      <c r="K93" s="136">
        <v>0.38279621612951198</v>
      </c>
      <c r="L93" s="5" t="s">
        <v>158</v>
      </c>
      <c r="M93" s="5">
        <f>0.5*0.015</f>
        <v>7.4999999999999997E-3</v>
      </c>
      <c r="N93" s="5">
        <v>0.12531170805879371</v>
      </c>
      <c r="O93" s="5">
        <v>0.70715661429295495</v>
      </c>
      <c r="P93" s="5">
        <v>0.47839837810440955</v>
      </c>
      <c r="Q93" s="5">
        <v>2.0338773441459703</v>
      </c>
      <c r="R93" s="5">
        <v>1.7000506842372023</v>
      </c>
      <c r="S93" s="5">
        <v>0.71883426254434868</v>
      </c>
      <c r="T93" s="5">
        <v>5.7636289913836798</v>
      </c>
      <c r="U93" s="17">
        <f t="shared" si="32"/>
        <v>69.1324834241383</v>
      </c>
      <c r="V93" s="5">
        <f t="shared" si="48"/>
        <v>6.4999999999999997E-3</v>
      </c>
      <c r="W93" s="5">
        <v>3.7533461434296971E-2</v>
      </c>
      <c r="X93" s="5">
        <v>1.8260685769526004E-2</v>
      </c>
      <c r="Y93" s="5">
        <v>3.1073313166775973E-2</v>
      </c>
      <c r="Z93" s="5">
        <v>4.746055593872088E-2</v>
      </c>
      <c r="AA93" s="5">
        <f>0.5*0.02</f>
        <v>0.01</v>
      </c>
      <c r="AB93" s="5">
        <f>0.5*0.013</f>
        <v>6.4999999999999997E-3</v>
      </c>
      <c r="AC93" s="5">
        <f t="shared" si="51"/>
        <v>0.05</v>
      </c>
      <c r="AD93" s="5">
        <v>0.13432801630931984</v>
      </c>
      <c r="AE93" s="17">
        <f t="shared" si="58"/>
        <v>0.10986746037059895</v>
      </c>
      <c r="AF93" s="5">
        <f>0.5*0.01</f>
        <v>5.0000000000000001E-3</v>
      </c>
      <c r="AG93" s="18" t="s">
        <v>158</v>
      </c>
      <c r="AH93" s="18">
        <v>2.4312307486272933</v>
      </c>
      <c r="AI93" s="5">
        <f t="shared" si="52"/>
        <v>0.1</v>
      </c>
      <c r="AJ93" s="5">
        <f t="shared" si="53"/>
        <v>0.05</v>
      </c>
      <c r="AK93" s="5">
        <f t="shared" si="54"/>
        <v>0.1</v>
      </c>
      <c r="AL93" s="5">
        <f t="shared" si="54"/>
        <v>0.1</v>
      </c>
      <c r="AM93" s="5">
        <f t="shared" si="55"/>
        <v>0.15</v>
      </c>
      <c r="AN93" s="5">
        <v>0.48600508905852413</v>
      </c>
      <c r="AO93" s="5">
        <f>0.5*0.3</f>
        <v>0.15</v>
      </c>
      <c r="AP93" s="5">
        <f t="shared" si="56"/>
        <v>0.1</v>
      </c>
      <c r="AQ93" s="5">
        <v>0.20090620954421679</v>
      </c>
      <c r="AR93" s="5">
        <f t="shared" si="61"/>
        <v>0.05</v>
      </c>
      <c r="AS93" s="5" t="s">
        <v>158</v>
      </c>
      <c r="AT93" s="5" t="s">
        <v>158</v>
      </c>
      <c r="AU93" s="5" t="s">
        <v>158</v>
      </c>
      <c r="AV93" s="5" t="s">
        <v>158</v>
      </c>
      <c r="AW93" s="5" t="s">
        <v>158</v>
      </c>
      <c r="BC93" s="17" t="s">
        <v>158</v>
      </c>
      <c r="BD93" s="17" t="s">
        <v>158</v>
      </c>
      <c r="BE93" s="17" t="s">
        <v>158</v>
      </c>
      <c r="BF93" s="17" t="s">
        <v>158</v>
      </c>
      <c r="BG93" s="17" t="s">
        <v>158</v>
      </c>
      <c r="BH93" s="17" t="s">
        <v>158</v>
      </c>
      <c r="BI93" s="17" t="s">
        <v>158</v>
      </c>
      <c r="BJ93" s="17" t="s">
        <v>158</v>
      </c>
      <c r="BK93" s="17" t="s">
        <v>158</v>
      </c>
      <c r="BL93" s="17" t="s">
        <v>158</v>
      </c>
      <c r="BM93" s="17" t="s">
        <v>158</v>
      </c>
      <c r="BN93" s="17">
        <v>28</v>
      </c>
      <c r="BO93" s="17" t="s">
        <v>158</v>
      </c>
      <c r="BP93" s="17" t="s">
        <v>158</v>
      </c>
      <c r="BQ93" s="17" t="s">
        <v>158</v>
      </c>
      <c r="BR93" s="17" t="s">
        <v>158</v>
      </c>
      <c r="BS93" s="17" t="s">
        <v>158</v>
      </c>
      <c r="BT93" s="17" t="s">
        <v>158</v>
      </c>
      <c r="BU93" s="17" t="s">
        <v>158</v>
      </c>
      <c r="BV93" s="17" t="s">
        <v>158</v>
      </c>
      <c r="BW93" s="17" t="s">
        <v>158</v>
      </c>
      <c r="BX93" s="17" t="s">
        <v>158</v>
      </c>
      <c r="BY93" s="17" t="s">
        <v>158</v>
      </c>
      <c r="BZ93" s="17" t="s">
        <v>158</v>
      </c>
      <c r="CA93" s="17" t="s">
        <v>158</v>
      </c>
      <c r="CB93" s="17" t="s">
        <v>158</v>
      </c>
      <c r="CC93" s="17" t="s">
        <v>158</v>
      </c>
      <c r="CD93" s="17" t="s">
        <v>158</v>
      </c>
      <c r="CE93" s="17" t="s">
        <v>158</v>
      </c>
      <c r="CF93" s="17" t="s">
        <v>158</v>
      </c>
      <c r="CG93" s="17" t="s">
        <v>158</v>
      </c>
      <c r="CH93" s="17" t="s">
        <v>158</v>
      </c>
      <c r="CI93" s="17" t="s">
        <v>158</v>
      </c>
      <c r="CJ93" s="17" t="s">
        <v>158</v>
      </c>
      <c r="CK93" s="17" t="s">
        <v>158</v>
      </c>
      <c r="CL93" s="17" t="s">
        <v>158</v>
      </c>
      <c r="CM93" s="17" t="s">
        <v>158</v>
      </c>
      <c r="CN93" s="17" t="s">
        <v>158</v>
      </c>
      <c r="CO93" s="17" t="s">
        <v>158</v>
      </c>
      <c r="CP93" s="17" t="s">
        <v>158</v>
      </c>
      <c r="CQ93" s="17" t="s">
        <v>158</v>
      </c>
      <c r="CR93" s="17" t="s">
        <v>158</v>
      </c>
      <c r="CS93" s="17" t="s">
        <v>158</v>
      </c>
      <c r="CT93" s="17" t="s">
        <v>158</v>
      </c>
      <c r="CU93" s="17" t="s">
        <v>158</v>
      </c>
      <c r="CV93" s="17" t="s">
        <v>158</v>
      </c>
      <c r="CW93" s="17" t="s">
        <v>158</v>
      </c>
      <c r="CX93" s="17" t="s">
        <v>158</v>
      </c>
      <c r="CY93" s="67" t="s">
        <v>158</v>
      </c>
    </row>
    <row r="94" spans="1:103" x14ac:dyDescent="0.2">
      <c r="A94" s="32" t="s">
        <v>10</v>
      </c>
      <c r="B94" s="14" t="s">
        <v>10</v>
      </c>
      <c r="C94" s="14" t="s">
        <v>20</v>
      </c>
      <c r="G94" s="28">
        <v>43684</v>
      </c>
      <c r="H94" s="16">
        <v>2019</v>
      </c>
      <c r="I94" s="135" t="s">
        <v>33</v>
      </c>
      <c r="J94" s="135">
        <v>10</v>
      </c>
      <c r="K94" s="136">
        <v>0.365732018175774</v>
      </c>
      <c r="L94" s="5" t="s">
        <v>158</v>
      </c>
      <c r="M94" s="5">
        <v>2.372640552060077E-2</v>
      </c>
      <c r="N94" s="5">
        <v>6.8794398213923275E-2</v>
      </c>
      <c r="O94" s="5">
        <v>0.37298558960828093</v>
      </c>
      <c r="P94" s="5">
        <v>0.33863405723564038</v>
      </c>
      <c r="Q94" s="5">
        <v>1.4297138217982546</v>
      </c>
      <c r="R94" s="5">
        <v>1.1498883702049929</v>
      </c>
      <c r="S94" s="5">
        <v>0.47897300588593472</v>
      </c>
      <c r="T94" s="5">
        <v>3.8627156484676273</v>
      </c>
      <c r="U94" s="17">
        <f t="shared" si="32"/>
        <v>48.178466966191117</v>
      </c>
      <c r="V94" s="5">
        <f t="shared" si="48"/>
        <v>6.4999999999999997E-3</v>
      </c>
      <c r="W94" s="5">
        <v>0.11877956305425678</v>
      </c>
      <c r="X94" s="5">
        <v>8.5177941729453185E-2</v>
      </c>
      <c r="Y94" s="5">
        <v>0.1431994329356116</v>
      </c>
      <c r="Z94" s="5">
        <v>4.2798326760831285E-2</v>
      </c>
      <c r="AA94" s="5">
        <v>3.4394182931485662E-2</v>
      </c>
      <c r="AB94" s="5">
        <v>2.5257293465773597E-2</v>
      </c>
      <c r="AC94" s="5">
        <f t="shared" si="51"/>
        <v>0.05</v>
      </c>
      <c r="AD94" s="5">
        <v>0.44960674087741209</v>
      </c>
      <c r="AE94" s="17">
        <f t="shared" si="58"/>
        <v>0.41330841411658081</v>
      </c>
      <c r="AF94" s="5">
        <f>0.5*0.01</f>
        <v>5.0000000000000001E-3</v>
      </c>
      <c r="AG94" s="18" t="s">
        <v>158</v>
      </c>
      <c r="AH94" s="18">
        <v>11.199420132282325</v>
      </c>
      <c r="AI94" s="5">
        <f t="shared" si="52"/>
        <v>0.1</v>
      </c>
      <c r="AJ94" s="5">
        <f t="shared" si="53"/>
        <v>0.05</v>
      </c>
      <c r="AK94" s="5">
        <f t="shared" si="54"/>
        <v>0.1</v>
      </c>
      <c r="AL94" s="5">
        <f t="shared" si="54"/>
        <v>0.1</v>
      </c>
      <c r="AM94" s="5">
        <f t="shared" si="55"/>
        <v>0.15</v>
      </c>
      <c r="AN94" s="5">
        <v>0.61049198151671646</v>
      </c>
      <c r="AO94" s="5">
        <f>0.5*0.3</f>
        <v>0.15</v>
      </c>
      <c r="AP94" s="5">
        <f t="shared" si="56"/>
        <v>0.1</v>
      </c>
      <c r="AQ94" s="5">
        <v>0.31533327293044605</v>
      </c>
      <c r="AR94" s="5">
        <f t="shared" si="61"/>
        <v>0.05</v>
      </c>
      <c r="AS94" s="5" t="s">
        <v>158</v>
      </c>
      <c r="AT94" s="5" t="s">
        <v>158</v>
      </c>
      <c r="AU94" s="5" t="s">
        <v>158</v>
      </c>
      <c r="AV94" s="5" t="s">
        <v>158</v>
      </c>
      <c r="AW94" s="5" t="s">
        <v>158</v>
      </c>
      <c r="BC94" s="17" t="s">
        <v>158</v>
      </c>
      <c r="BD94" s="17" t="s">
        <v>158</v>
      </c>
      <c r="BE94" s="17" t="s">
        <v>158</v>
      </c>
      <c r="BF94" s="17" t="s">
        <v>158</v>
      </c>
      <c r="BG94" s="17" t="s">
        <v>158</v>
      </c>
      <c r="BH94" s="17" t="s">
        <v>158</v>
      </c>
      <c r="BI94" s="17" t="s">
        <v>158</v>
      </c>
      <c r="BJ94" s="17" t="s">
        <v>158</v>
      </c>
      <c r="BK94" s="17" t="s">
        <v>158</v>
      </c>
      <c r="BL94" s="17" t="s">
        <v>158</v>
      </c>
      <c r="BM94" s="17" t="s">
        <v>158</v>
      </c>
      <c r="BN94" s="17">
        <v>40</v>
      </c>
      <c r="BO94" s="17" t="s">
        <v>158</v>
      </c>
      <c r="BP94" s="17" t="s">
        <v>158</v>
      </c>
      <c r="BQ94" s="17" t="s">
        <v>158</v>
      </c>
      <c r="BR94" s="17" t="s">
        <v>158</v>
      </c>
      <c r="BS94" s="17" t="s">
        <v>158</v>
      </c>
      <c r="BT94" s="17" t="s">
        <v>158</v>
      </c>
      <c r="BU94" s="17" t="s">
        <v>158</v>
      </c>
      <c r="BV94" s="17" t="s">
        <v>158</v>
      </c>
      <c r="BW94" s="17" t="s">
        <v>158</v>
      </c>
      <c r="BX94" s="17" t="s">
        <v>158</v>
      </c>
      <c r="BY94" s="17" t="s">
        <v>158</v>
      </c>
      <c r="BZ94" s="17" t="s">
        <v>158</v>
      </c>
      <c r="CA94" s="17" t="s">
        <v>158</v>
      </c>
      <c r="CB94" s="17" t="s">
        <v>158</v>
      </c>
      <c r="CC94" s="17" t="s">
        <v>158</v>
      </c>
      <c r="CD94" s="17" t="s">
        <v>158</v>
      </c>
      <c r="CE94" s="17" t="s">
        <v>158</v>
      </c>
      <c r="CF94" s="17" t="s">
        <v>158</v>
      </c>
      <c r="CG94" s="17" t="s">
        <v>158</v>
      </c>
      <c r="CH94" s="17" t="s">
        <v>158</v>
      </c>
      <c r="CI94" s="17" t="s">
        <v>158</v>
      </c>
      <c r="CJ94" s="17" t="s">
        <v>158</v>
      </c>
      <c r="CK94" s="17" t="s">
        <v>158</v>
      </c>
      <c r="CL94" s="17" t="s">
        <v>158</v>
      </c>
      <c r="CM94" s="17" t="s">
        <v>158</v>
      </c>
      <c r="CN94" s="17" t="s">
        <v>158</v>
      </c>
      <c r="CO94" s="17" t="s">
        <v>158</v>
      </c>
      <c r="CP94" s="17" t="s">
        <v>158</v>
      </c>
      <c r="CQ94" s="17" t="s">
        <v>158</v>
      </c>
      <c r="CR94" s="17" t="s">
        <v>158</v>
      </c>
      <c r="CS94" s="17" t="s">
        <v>158</v>
      </c>
      <c r="CT94" s="17" t="s">
        <v>158</v>
      </c>
      <c r="CU94" s="17" t="s">
        <v>158</v>
      </c>
      <c r="CV94" s="17" t="s">
        <v>158</v>
      </c>
      <c r="CW94" s="17" t="s">
        <v>158</v>
      </c>
      <c r="CX94" s="17" t="s">
        <v>158</v>
      </c>
      <c r="CY94" s="67" t="s">
        <v>158</v>
      </c>
    </row>
    <row r="95" spans="1:103" x14ac:dyDescent="0.2">
      <c r="A95" s="32" t="s">
        <v>11</v>
      </c>
      <c r="B95" s="14" t="s">
        <v>11</v>
      </c>
      <c r="C95" s="14" t="s">
        <v>20</v>
      </c>
      <c r="G95" s="28">
        <v>43699</v>
      </c>
      <c r="H95" s="16">
        <v>2019</v>
      </c>
      <c r="I95" s="135" t="s">
        <v>33</v>
      </c>
      <c r="J95" s="135">
        <v>10</v>
      </c>
      <c r="K95" s="136">
        <v>0.33239887865439299</v>
      </c>
      <c r="L95" s="5" t="s">
        <v>158</v>
      </c>
      <c r="M95" s="5">
        <f>0.5*0.015</f>
        <v>7.4999999999999997E-3</v>
      </c>
      <c r="N95" s="5">
        <v>7.3306407196621987E-2</v>
      </c>
      <c r="O95" s="5">
        <v>0.79247292087387544</v>
      </c>
      <c r="P95" s="5">
        <v>0.76275931705525979</v>
      </c>
      <c r="Q95" s="5">
        <v>3.6847071782632641</v>
      </c>
      <c r="R95" s="5">
        <v>2.9363870020194605</v>
      </c>
      <c r="S95" s="5">
        <v>1.400872039654856</v>
      </c>
      <c r="T95" s="5">
        <v>9.6505048650633363</v>
      </c>
      <c r="U95" s="17">
        <f t="shared" si="32"/>
        <v>133.8037839359979</v>
      </c>
      <c r="V95" s="5">
        <f t="shared" si="48"/>
        <v>6.4999999999999997E-3</v>
      </c>
      <c r="W95" s="5">
        <v>9.2236623631865355E-2</v>
      </c>
      <c r="X95" s="5">
        <v>3.0603520101690578E-2</v>
      </c>
      <c r="Y95" s="5">
        <v>4.5430523874108682E-2</v>
      </c>
      <c r="Z95" s="5">
        <f>0.5*0.01</f>
        <v>5.0000000000000001E-3</v>
      </c>
      <c r="AA95" s="5">
        <v>1.6166059942340924E-2</v>
      </c>
      <c r="AB95" s="5">
        <v>1.4364420731899313E-2</v>
      </c>
      <c r="AC95" s="5">
        <f t="shared" si="51"/>
        <v>0.05</v>
      </c>
      <c r="AD95" s="5">
        <v>0.19880114828190487</v>
      </c>
      <c r="AE95" s="17">
        <f t="shared" si="58"/>
        <v>0.20530114828190482</v>
      </c>
      <c r="AF95" s="5">
        <f>0.5*0.01</f>
        <v>5.0000000000000001E-3</v>
      </c>
      <c r="AG95" s="18" t="s">
        <v>158</v>
      </c>
      <c r="AH95" s="18">
        <v>14.40535714285714</v>
      </c>
      <c r="AI95" s="5">
        <f t="shared" si="52"/>
        <v>0.1</v>
      </c>
      <c r="AJ95" s="5">
        <f t="shared" si="53"/>
        <v>0.05</v>
      </c>
      <c r="AK95" s="5">
        <f t="shared" si="54"/>
        <v>0.1</v>
      </c>
      <c r="AL95" s="5">
        <f t="shared" si="54"/>
        <v>0.1</v>
      </c>
      <c r="AM95" s="5">
        <f t="shared" si="55"/>
        <v>0.15</v>
      </c>
      <c r="AN95" s="5">
        <v>0.61071428571428565</v>
      </c>
      <c r="AO95" s="5">
        <f>0.5*0.3</f>
        <v>0.15</v>
      </c>
      <c r="AP95" s="5">
        <f t="shared" si="56"/>
        <v>0.1</v>
      </c>
      <c r="AQ95" s="5">
        <v>0.33038194444444441</v>
      </c>
      <c r="AR95" s="5">
        <f t="shared" si="61"/>
        <v>0.05</v>
      </c>
      <c r="AS95" s="5" t="s">
        <v>158</v>
      </c>
      <c r="AT95" s="5" t="s">
        <v>158</v>
      </c>
      <c r="AU95" s="5" t="s">
        <v>158</v>
      </c>
      <c r="AV95" s="5" t="s">
        <v>158</v>
      </c>
      <c r="AW95" s="5" t="s">
        <v>158</v>
      </c>
      <c r="BC95" s="17" t="s">
        <v>158</v>
      </c>
      <c r="BD95" s="17" t="s">
        <v>158</v>
      </c>
      <c r="BE95" s="17" t="s">
        <v>158</v>
      </c>
      <c r="BF95" s="17" t="s">
        <v>158</v>
      </c>
      <c r="BG95" s="17" t="s">
        <v>158</v>
      </c>
      <c r="BH95" s="17" t="s">
        <v>158</v>
      </c>
      <c r="BI95" s="17" t="s">
        <v>158</v>
      </c>
      <c r="BJ95" s="17" t="s">
        <v>158</v>
      </c>
      <c r="BK95" s="17" t="s">
        <v>158</v>
      </c>
      <c r="BL95" s="17" t="s">
        <v>158</v>
      </c>
      <c r="BM95" s="17" t="s">
        <v>158</v>
      </c>
      <c r="BN95" s="17">
        <v>100</v>
      </c>
      <c r="BO95" s="17" t="s">
        <v>158</v>
      </c>
      <c r="BP95" s="17" t="s">
        <v>158</v>
      </c>
      <c r="BQ95" s="17" t="s">
        <v>158</v>
      </c>
      <c r="BR95" s="17" t="s">
        <v>158</v>
      </c>
      <c r="BS95" s="17" t="s">
        <v>158</v>
      </c>
      <c r="BT95" s="17" t="s">
        <v>158</v>
      </c>
      <c r="BU95" s="17" t="s">
        <v>158</v>
      </c>
      <c r="BV95" s="17" t="s">
        <v>158</v>
      </c>
      <c r="BW95" s="17" t="s">
        <v>158</v>
      </c>
      <c r="BX95" s="17" t="s">
        <v>158</v>
      </c>
      <c r="BY95" s="17" t="s">
        <v>158</v>
      </c>
      <c r="BZ95" s="17" t="s">
        <v>158</v>
      </c>
      <c r="CA95" s="17" t="s">
        <v>158</v>
      </c>
      <c r="CB95" s="17" t="s">
        <v>158</v>
      </c>
      <c r="CC95" s="17" t="s">
        <v>158</v>
      </c>
      <c r="CD95" s="17" t="s">
        <v>158</v>
      </c>
      <c r="CE95" s="17" t="s">
        <v>158</v>
      </c>
      <c r="CF95" s="17" t="s">
        <v>158</v>
      </c>
      <c r="CG95" s="17" t="s">
        <v>158</v>
      </c>
      <c r="CH95" s="17" t="s">
        <v>158</v>
      </c>
      <c r="CI95" s="17" t="s">
        <v>158</v>
      </c>
      <c r="CJ95" s="17" t="s">
        <v>158</v>
      </c>
      <c r="CK95" s="17" t="s">
        <v>158</v>
      </c>
      <c r="CL95" s="17" t="s">
        <v>158</v>
      </c>
      <c r="CM95" s="17" t="s">
        <v>158</v>
      </c>
      <c r="CN95" s="17" t="s">
        <v>158</v>
      </c>
      <c r="CO95" s="17" t="s">
        <v>158</v>
      </c>
      <c r="CP95" s="17" t="s">
        <v>158</v>
      </c>
      <c r="CQ95" s="17" t="s">
        <v>158</v>
      </c>
      <c r="CR95" s="17" t="s">
        <v>158</v>
      </c>
      <c r="CS95" s="17" t="s">
        <v>158</v>
      </c>
      <c r="CT95" s="17" t="s">
        <v>158</v>
      </c>
      <c r="CU95" s="17" t="s">
        <v>158</v>
      </c>
      <c r="CV95" s="17" t="s">
        <v>158</v>
      </c>
      <c r="CW95" s="17" t="s">
        <v>158</v>
      </c>
      <c r="CX95" s="17" t="s">
        <v>158</v>
      </c>
      <c r="CY95" s="67" t="s">
        <v>158</v>
      </c>
    </row>
    <row r="96" spans="1:103" x14ac:dyDescent="0.2">
      <c r="A96" s="32" t="s">
        <v>12</v>
      </c>
      <c r="B96" s="14" t="s">
        <v>12</v>
      </c>
      <c r="C96" s="14" t="s">
        <v>20</v>
      </c>
      <c r="G96" s="28">
        <v>43594</v>
      </c>
      <c r="H96" s="16">
        <v>2019</v>
      </c>
      <c r="I96" s="135" t="s">
        <v>33</v>
      </c>
      <c r="J96" s="135">
        <v>3</v>
      </c>
      <c r="K96" s="136">
        <v>0.28959092750098497</v>
      </c>
      <c r="L96" s="5" t="s">
        <v>158</v>
      </c>
      <c r="M96" s="5">
        <v>6.8211797491871812E-2</v>
      </c>
      <c r="N96" s="5">
        <v>0.40723641430562002</v>
      </c>
      <c r="O96" s="5">
        <v>5.5371760334417095</v>
      </c>
      <c r="P96" s="5">
        <v>4.6130422666047375</v>
      </c>
      <c r="Q96" s="5">
        <v>17.903632141198326</v>
      </c>
      <c r="R96" s="5">
        <v>14.330701346957733</v>
      </c>
      <c r="S96" s="5">
        <v>5.4727171388759865</v>
      </c>
      <c r="T96" s="5">
        <v>48.332717138875985</v>
      </c>
      <c r="U96" s="17">
        <f t="shared" si="32"/>
        <v>754.85228852900696</v>
      </c>
      <c r="V96" s="5">
        <f t="shared" si="48"/>
        <v>6.4999999999999997E-3</v>
      </c>
      <c r="W96" s="5">
        <v>0.30580341605395928</v>
      </c>
      <c r="X96" s="5">
        <v>0.17167469151490153</v>
      </c>
      <c r="Y96" s="5">
        <v>0.38166429989427642</v>
      </c>
      <c r="Z96" s="5">
        <v>2.0801420263099894E-2</v>
      </c>
      <c r="AA96" s="5">
        <v>8.199922519265318E-2</v>
      </c>
      <c r="AB96" s="5">
        <v>0.10623440444118511</v>
      </c>
      <c r="AC96" s="5">
        <v>0.22944728286112401</v>
      </c>
      <c r="AD96" s="5">
        <v>1.2976247402211996</v>
      </c>
      <c r="AE96" s="17">
        <f t="shared" si="58"/>
        <v>1.0538760370969755</v>
      </c>
      <c r="AF96" s="5">
        <v>4.4916542305606646E-3</v>
      </c>
      <c r="AG96" s="18">
        <f>AF96*(5/K96)</f>
        <v>7.7551708358428936E-2</v>
      </c>
      <c r="AH96" s="18">
        <v>3.5734066166367189</v>
      </c>
      <c r="AI96" s="5">
        <f t="shared" si="52"/>
        <v>0.1</v>
      </c>
      <c r="AJ96" s="5">
        <f t="shared" si="53"/>
        <v>0.05</v>
      </c>
      <c r="AK96" s="5">
        <f t="shared" si="54"/>
        <v>0.1</v>
      </c>
      <c r="AL96" s="5">
        <f t="shared" si="54"/>
        <v>0.1</v>
      </c>
      <c r="AM96" s="5">
        <f t="shared" si="55"/>
        <v>0.15</v>
      </c>
      <c r="AN96" s="5">
        <v>1.0842405665363068</v>
      </c>
      <c r="AO96" s="5">
        <v>1.2067857520346685</v>
      </c>
      <c r="AP96" s="5">
        <f t="shared" si="56"/>
        <v>0.1</v>
      </c>
      <c r="AQ96" s="5">
        <v>0.71031955748159092</v>
      </c>
      <c r="AR96" s="5">
        <f t="shared" si="61"/>
        <v>0.05</v>
      </c>
      <c r="AS96" s="5" t="s">
        <v>158</v>
      </c>
      <c r="AT96" s="5" t="s">
        <v>158</v>
      </c>
      <c r="AU96" s="5" t="s">
        <v>158</v>
      </c>
      <c r="AV96" s="5" t="s">
        <v>158</v>
      </c>
      <c r="AW96" s="5" t="s">
        <v>158</v>
      </c>
      <c r="BC96" s="17" t="s">
        <v>158</v>
      </c>
      <c r="BD96" s="17" t="s">
        <v>158</v>
      </c>
      <c r="BE96" s="17" t="s">
        <v>158</v>
      </c>
      <c r="BF96" s="17" t="s">
        <v>158</v>
      </c>
      <c r="BG96" s="17" t="s">
        <v>158</v>
      </c>
      <c r="BH96" s="17" t="s">
        <v>158</v>
      </c>
      <c r="BI96" s="17" t="s">
        <v>158</v>
      </c>
      <c r="BJ96" s="17" t="s">
        <v>158</v>
      </c>
      <c r="BK96" s="17" t="s">
        <v>158</v>
      </c>
      <c r="BL96" s="17" t="s">
        <v>158</v>
      </c>
      <c r="BM96" s="17" t="s">
        <v>158</v>
      </c>
      <c r="BN96" s="17" t="s">
        <v>13</v>
      </c>
      <c r="BO96" s="17" t="s">
        <v>158</v>
      </c>
      <c r="BP96" s="17" t="s">
        <v>158</v>
      </c>
      <c r="BQ96" s="17" t="s">
        <v>158</v>
      </c>
      <c r="BR96" s="17" t="s">
        <v>158</v>
      </c>
      <c r="BS96" s="17" t="s">
        <v>158</v>
      </c>
      <c r="BT96" s="17" t="s">
        <v>158</v>
      </c>
      <c r="BU96" s="17" t="s">
        <v>158</v>
      </c>
      <c r="BV96" s="17" t="s">
        <v>158</v>
      </c>
      <c r="BW96" s="17" t="s">
        <v>158</v>
      </c>
      <c r="BX96" s="17" t="s">
        <v>158</v>
      </c>
      <c r="BY96" s="17" t="s">
        <v>158</v>
      </c>
      <c r="BZ96" s="17" t="s">
        <v>158</v>
      </c>
      <c r="CA96" s="17" t="s">
        <v>158</v>
      </c>
      <c r="CB96" s="17" t="s">
        <v>158</v>
      </c>
      <c r="CC96" s="17" t="s">
        <v>158</v>
      </c>
      <c r="CD96" s="17" t="s">
        <v>158</v>
      </c>
      <c r="CE96" s="17" t="s">
        <v>158</v>
      </c>
      <c r="CF96" s="17" t="s">
        <v>158</v>
      </c>
      <c r="CG96" s="17" t="s">
        <v>158</v>
      </c>
      <c r="CH96" s="17" t="s">
        <v>158</v>
      </c>
      <c r="CI96" s="17" t="s">
        <v>158</v>
      </c>
      <c r="CJ96" s="17" t="s">
        <v>158</v>
      </c>
      <c r="CK96" s="17" t="s">
        <v>158</v>
      </c>
      <c r="CL96" s="17" t="s">
        <v>158</v>
      </c>
      <c r="CM96" s="17" t="s">
        <v>158</v>
      </c>
      <c r="CN96" s="17" t="s">
        <v>158</v>
      </c>
      <c r="CO96" s="17" t="s">
        <v>158</v>
      </c>
      <c r="CP96" s="17" t="s">
        <v>158</v>
      </c>
      <c r="CQ96" s="17" t="s">
        <v>158</v>
      </c>
      <c r="CR96" s="17" t="s">
        <v>158</v>
      </c>
      <c r="CS96" s="17" t="s">
        <v>158</v>
      </c>
      <c r="CT96" s="17" t="s">
        <v>158</v>
      </c>
      <c r="CU96" s="17" t="s">
        <v>158</v>
      </c>
      <c r="CV96" s="17" t="s">
        <v>158</v>
      </c>
      <c r="CW96" s="17" t="s">
        <v>158</v>
      </c>
      <c r="CX96" s="17" t="s">
        <v>158</v>
      </c>
      <c r="CY96" s="67" t="s">
        <v>158</v>
      </c>
    </row>
    <row r="97" spans="1:103" x14ac:dyDescent="0.2">
      <c r="A97" s="32" t="s">
        <v>14</v>
      </c>
      <c r="B97" s="14" t="s">
        <v>14</v>
      </c>
      <c r="C97" s="14" t="s">
        <v>20</v>
      </c>
      <c r="G97" s="28">
        <v>43699</v>
      </c>
      <c r="H97" s="16">
        <v>2019</v>
      </c>
      <c r="I97" s="135" t="s">
        <v>33</v>
      </c>
      <c r="J97" s="135">
        <v>1</v>
      </c>
      <c r="K97" s="136">
        <v>0.60718057022174499</v>
      </c>
      <c r="L97" s="5" t="s">
        <v>158</v>
      </c>
      <c r="M97" s="5">
        <f>0.5*0.03</f>
        <v>1.4999999999999999E-2</v>
      </c>
      <c r="N97" s="5">
        <v>5.1827626010003847E-2</v>
      </c>
      <c r="O97" s="5">
        <v>0.38137745286648705</v>
      </c>
      <c r="P97" s="5">
        <v>0.69146787225856099</v>
      </c>
      <c r="Q97" s="5">
        <v>2.4256156213928435</v>
      </c>
      <c r="R97" s="5">
        <v>1.5560792612543284</v>
      </c>
      <c r="S97" s="5">
        <v>0.81116775682954967</v>
      </c>
      <c r="T97" s="5">
        <v>5.9175355906117737</v>
      </c>
      <c r="U97" s="17">
        <f t="shared" si="32"/>
        <v>43.159053298091798</v>
      </c>
      <c r="V97" s="5">
        <f t="shared" si="48"/>
        <v>6.4999999999999997E-3</v>
      </c>
      <c r="W97" s="5">
        <v>6.8904801462798551E-2</v>
      </c>
      <c r="X97" s="5">
        <v>2.4649502925693324E-2</v>
      </c>
      <c r="Y97" s="5">
        <v>7.4621003085650825E-2</v>
      </c>
      <c r="Z97" s="5">
        <f>0.5*0.01</f>
        <v>5.0000000000000001E-3</v>
      </c>
      <c r="AA97" s="5">
        <f>0.5*0.02</f>
        <v>0.01</v>
      </c>
      <c r="AB97" s="5">
        <f>0.5*0.013</f>
        <v>6.4999999999999997E-3</v>
      </c>
      <c r="AC97" s="5">
        <f>0.5*0.1</f>
        <v>0.05</v>
      </c>
      <c r="AD97" s="5">
        <v>0.16817530747414272</v>
      </c>
      <c r="AE97" s="17">
        <f t="shared" si="58"/>
        <v>0.19117530747414271</v>
      </c>
      <c r="AF97" s="5">
        <f>0.5*0.019</f>
        <v>9.4999999999999998E-3</v>
      </c>
      <c r="AG97" s="18" t="s">
        <v>158</v>
      </c>
      <c r="AH97" s="18">
        <v>0.72868439971243715</v>
      </c>
      <c r="AI97" s="5">
        <f t="shared" si="52"/>
        <v>0.1</v>
      </c>
      <c r="AJ97" s="5">
        <f t="shared" si="53"/>
        <v>0.05</v>
      </c>
      <c r="AK97" s="5">
        <f t="shared" si="54"/>
        <v>0.1</v>
      </c>
      <c r="AL97" s="5">
        <f t="shared" si="54"/>
        <v>0.1</v>
      </c>
      <c r="AM97" s="5">
        <f t="shared" si="55"/>
        <v>0.15</v>
      </c>
      <c r="AN97" s="5">
        <f>0.5*0.2</f>
        <v>0.1</v>
      </c>
      <c r="AO97" s="5">
        <f>0.5*0.3</f>
        <v>0.15</v>
      </c>
      <c r="AP97" s="5">
        <f t="shared" si="56"/>
        <v>0.1</v>
      </c>
      <c r="AQ97" s="5">
        <f>0.5*0.2</f>
        <v>0.1</v>
      </c>
      <c r="AR97" s="5">
        <f t="shared" si="61"/>
        <v>0.05</v>
      </c>
      <c r="AS97" s="5" t="s">
        <v>158</v>
      </c>
      <c r="AT97" s="5" t="s">
        <v>158</v>
      </c>
      <c r="AU97" s="5" t="s">
        <v>158</v>
      </c>
      <c r="AV97" s="5" t="s">
        <v>158</v>
      </c>
      <c r="AW97" s="5" t="s">
        <v>158</v>
      </c>
      <c r="BC97" s="17" t="s">
        <v>158</v>
      </c>
      <c r="BD97" s="17" t="s">
        <v>158</v>
      </c>
      <c r="BE97" s="17" t="s">
        <v>158</v>
      </c>
      <c r="BF97" s="17" t="s">
        <v>158</v>
      </c>
      <c r="BG97" s="17" t="s">
        <v>158</v>
      </c>
      <c r="BH97" s="17" t="s">
        <v>158</v>
      </c>
      <c r="BI97" s="17" t="s">
        <v>158</v>
      </c>
      <c r="BJ97" s="17" t="s">
        <v>158</v>
      </c>
      <c r="BK97" s="17" t="s">
        <v>158</v>
      </c>
      <c r="BL97" s="17" t="s">
        <v>158</v>
      </c>
      <c r="BM97" s="17" t="s">
        <v>158</v>
      </c>
      <c r="BN97" s="17" t="s">
        <v>13</v>
      </c>
      <c r="BO97" s="17" t="s">
        <v>158</v>
      </c>
      <c r="BP97" s="17" t="s">
        <v>158</v>
      </c>
      <c r="BQ97" s="17" t="s">
        <v>158</v>
      </c>
      <c r="BR97" s="17" t="s">
        <v>158</v>
      </c>
      <c r="BS97" s="17" t="s">
        <v>158</v>
      </c>
      <c r="BT97" s="17" t="s">
        <v>158</v>
      </c>
      <c r="BU97" s="17" t="s">
        <v>158</v>
      </c>
      <c r="BV97" s="17" t="s">
        <v>158</v>
      </c>
      <c r="BW97" s="17" t="s">
        <v>158</v>
      </c>
      <c r="BX97" s="17" t="s">
        <v>158</v>
      </c>
      <c r="BY97" s="17" t="s">
        <v>158</v>
      </c>
      <c r="BZ97" s="17" t="s">
        <v>158</v>
      </c>
      <c r="CA97" s="17" t="s">
        <v>158</v>
      </c>
      <c r="CB97" s="17" t="s">
        <v>158</v>
      </c>
      <c r="CC97" s="17" t="s">
        <v>158</v>
      </c>
      <c r="CD97" s="17" t="s">
        <v>158</v>
      </c>
      <c r="CE97" s="17" t="s">
        <v>158</v>
      </c>
      <c r="CF97" s="17" t="s">
        <v>158</v>
      </c>
      <c r="CG97" s="17" t="s">
        <v>158</v>
      </c>
      <c r="CH97" s="17" t="s">
        <v>158</v>
      </c>
      <c r="CI97" s="17" t="s">
        <v>158</v>
      </c>
      <c r="CJ97" s="17" t="s">
        <v>158</v>
      </c>
      <c r="CK97" s="17" t="s">
        <v>158</v>
      </c>
      <c r="CL97" s="17" t="s">
        <v>158</v>
      </c>
      <c r="CM97" s="17" t="s">
        <v>158</v>
      </c>
      <c r="CN97" s="17" t="s">
        <v>158</v>
      </c>
      <c r="CO97" s="17" t="s">
        <v>158</v>
      </c>
      <c r="CP97" s="17" t="s">
        <v>158</v>
      </c>
      <c r="CQ97" s="17" t="s">
        <v>158</v>
      </c>
      <c r="CR97" s="17" t="s">
        <v>158</v>
      </c>
      <c r="CS97" s="17" t="s">
        <v>158</v>
      </c>
      <c r="CT97" s="17" t="s">
        <v>158</v>
      </c>
      <c r="CU97" s="17" t="s">
        <v>158</v>
      </c>
      <c r="CV97" s="17" t="s">
        <v>158</v>
      </c>
      <c r="CW97" s="17" t="s">
        <v>158</v>
      </c>
      <c r="CX97" s="17" t="s">
        <v>158</v>
      </c>
      <c r="CY97" s="67" t="s">
        <v>158</v>
      </c>
    </row>
    <row r="98" spans="1:103" x14ac:dyDescent="0.2">
      <c r="A98" s="32" t="s">
        <v>15</v>
      </c>
      <c r="B98" s="14" t="s">
        <v>15</v>
      </c>
      <c r="C98" s="14" t="s">
        <v>20</v>
      </c>
      <c r="G98" s="28">
        <v>43696</v>
      </c>
      <c r="H98" s="16">
        <v>2019</v>
      </c>
      <c r="I98" s="135" t="s">
        <v>33</v>
      </c>
      <c r="J98" s="135">
        <v>10</v>
      </c>
      <c r="K98" s="136">
        <v>0.364004044489384</v>
      </c>
      <c r="L98" s="5" t="s">
        <v>158</v>
      </c>
      <c r="M98" s="5">
        <f>0.5*0.015</f>
        <v>7.4999999999999997E-3</v>
      </c>
      <c r="N98" s="5">
        <v>0.11100037965072133</v>
      </c>
      <c r="O98" s="5">
        <v>0.43751898253606686</v>
      </c>
      <c r="P98" s="5">
        <v>0.40260060744115422</v>
      </c>
      <c r="Q98" s="5">
        <v>1.7092444950645409</v>
      </c>
      <c r="R98" s="5">
        <v>1.428246013667426</v>
      </c>
      <c r="S98" s="5">
        <v>0.69477031131359157</v>
      </c>
      <c r="T98" s="5">
        <v>4.783380789673501</v>
      </c>
      <c r="U98" s="17">
        <f t="shared" si="32"/>
        <v>60.277904169830293</v>
      </c>
      <c r="V98" s="5">
        <f t="shared" si="48"/>
        <v>6.4999999999999997E-3</v>
      </c>
      <c r="W98" s="5">
        <v>4.2481454957762628E-2</v>
      </c>
      <c r="X98" s="5">
        <v>1.7300197545635828E-2</v>
      </c>
      <c r="Y98" s="5">
        <v>3.2159808810035738E-2</v>
      </c>
      <c r="Z98" s="5">
        <f>0.5*0.01</f>
        <v>5.0000000000000001E-3</v>
      </c>
      <c r="AA98" s="5">
        <f>0.5*0.02</f>
        <v>0.01</v>
      </c>
      <c r="AB98" s="5">
        <f>0.5*0.013</f>
        <v>6.4999999999999997E-3</v>
      </c>
      <c r="AC98" s="5">
        <v>0.39531131359149585</v>
      </c>
      <c r="AD98" s="5">
        <v>0.48725277490493002</v>
      </c>
      <c r="AE98" s="17">
        <f t="shared" si="58"/>
        <v>0.1149414613134342</v>
      </c>
      <c r="AF98" s="5">
        <f>0.5*0.01</f>
        <v>5.0000000000000001E-3</v>
      </c>
      <c r="AG98" s="18" t="s">
        <v>158</v>
      </c>
      <c r="AH98" s="18">
        <v>3.198081790329026</v>
      </c>
      <c r="AI98" s="5">
        <f t="shared" si="52"/>
        <v>0.1</v>
      </c>
      <c r="AJ98" s="5">
        <f t="shared" si="53"/>
        <v>0.05</v>
      </c>
      <c r="AK98" s="5">
        <f t="shared" si="54"/>
        <v>0.1</v>
      </c>
      <c r="AL98" s="5">
        <f t="shared" si="54"/>
        <v>0.1</v>
      </c>
      <c r="AM98" s="5">
        <f t="shared" si="55"/>
        <v>0.15</v>
      </c>
      <c r="AN98" s="5">
        <v>0.40202477687491672</v>
      </c>
      <c r="AO98" s="5">
        <f>0.5*0.3</f>
        <v>0.15</v>
      </c>
      <c r="AP98" s="5">
        <f t="shared" si="56"/>
        <v>0.1</v>
      </c>
      <c r="AQ98" s="5">
        <v>0.31441765463345323</v>
      </c>
      <c r="AR98" s="5">
        <f t="shared" si="61"/>
        <v>0.05</v>
      </c>
      <c r="AS98" s="5" t="s">
        <v>158</v>
      </c>
      <c r="AT98" s="5" t="s">
        <v>158</v>
      </c>
      <c r="AU98" s="5" t="s">
        <v>158</v>
      </c>
      <c r="AV98" s="5" t="s">
        <v>158</v>
      </c>
      <c r="AW98" s="5" t="s">
        <v>158</v>
      </c>
      <c r="BC98" s="17" t="s">
        <v>158</v>
      </c>
      <c r="BD98" s="17" t="s">
        <v>158</v>
      </c>
      <c r="BE98" s="17" t="s">
        <v>158</v>
      </c>
      <c r="BF98" s="17" t="s">
        <v>158</v>
      </c>
      <c r="BG98" s="17" t="s">
        <v>158</v>
      </c>
      <c r="BH98" s="17" t="s">
        <v>158</v>
      </c>
      <c r="BI98" s="17" t="s">
        <v>158</v>
      </c>
      <c r="BJ98" s="17" t="s">
        <v>158</v>
      </c>
      <c r="BK98" s="17" t="s">
        <v>158</v>
      </c>
      <c r="BL98" s="17" t="s">
        <v>158</v>
      </c>
      <c r="BM98" s="17" t="s">
        <v>158</v>
      </c>
      <c r="BN98" s="17">
        <v>240</v>
      </c>
      <c r="BO98" s="17" t="s">
        <v>158</v>
      </c>
      <c r="BP98" s="17" t="s">
        <v>158</v>
      </c>
      <c r="BQ98" s="17" t="s">
        <v>158</v>
      </c>
      <c r="BR98" s="17" t="s">
        <v>158</v>
      </c>
      <c r="BS98" s="17" t="s">
        <v>158</v>
      </c>
      <c r="BT98" s="17" t="s">
        <v>158</v>
      </c>
      <c r="BU98" s="17" t="s">
        <v>158</v>
      </c>
      <c r="BV98" s="17" t="s">
        <v>158</v>
      </c>
      <c r="BW98" s="17" t="s">
        <v>158</v>
      </c>
      <c r="BX98" s="17" t="s">
        <v>158</v>
      </c>
      <c r="BY98" s="17" t="s">
        <v>158</v>
      </c>
      <c r="BZ98" s="17" t="s">
        <v>158</v>
      </c>
      <c r="CA98" s="17" t="s">
        <v>158</v>
      </c>
      <c r="CB98" s="17" t="s">
        <v>158</v>
      </c>
      <c r="CC98" s="17" t="s">
        <v>158</v>
      </c>
      <c r="CD98" s="17" t="s">
        <v>158</v>
      </c>
      <c r="CE98" s="17" t="s">
        <v>158</v>
      </c>
      <c r="CF98" s="17" t="s">
        <v>158</v>
      </c>
      <c r="CG98" s="17" t="s">
        <v>158</v>
      </c>
      <c r="CH98" s="17" t="s">
        <v>158</v>
      </c>
      <c r="CI98" s="17" t="s">
        <v>158</v>
      </c>
      <c r="CJ98" s="17" t="s">
        <v>158</v>
      </c>
      <c r="CK98" s="17" t="s">
        <v>158</v>
      </c>
      <c r="CL98" s="17" t="s">
        <v>158</v>
      </c>
      <c r="CM98" s="17" t="s">
        <v>158</v>
      </c>
      <c r="CN98" s="17" t="s">
        <v>158</v>
      </c>
      <c r="CO98" s="17" t="s">
        <v>158</v>
      </c>
      <c r="CP98" s="17" t="s">
        <v>158</v>
      </c>
      <c r="CQ98" s="17" t="s">
        <v>158</v>
      </c>
      <c r="CR98" s="17" t="s">
        <v>158</v>
      </c>
      <c r="CS98" s="17" t="s">
        <v>158</v>
      </c>
      <c r="CT98" s="17" t="s">
        <v>158</v>
      </c>
      <c r="CU98" s="17" t="s">
        <v>158</v>
      </c>
      <c r="CV98" s="17" t="s">
        <v>158</v>
      </c>
      <c r="CW98" s="17" t="s">
        <v>158</v>
      </c>
      <c r="CX98" s="17" t="s">
        <v>158</v>
      </c>
      <c r="CY98" s="67" t="s">
        <v>158</v>
      </c>
    </row>
    <row r="99" spans="1:103" x14ac:dyDescent="0.2">
      <c r="A99" s="32" t="s">
        <v>80</v>
      </c>
      <c r="B99" s="14" t="s">
        <v>80</v>
      </c>
      <c r="C99" s="14" t="s">
        <v>20</v>
      </c>
      <c r="G99" s="28">
        <v>43679</v>
      </c>
      <c r="H99" s="16">
        <v>2019</v>
      </c>
      <c r="I99" s="135" t="s">
        <v>33</v>
      </c>
      <c r="J99" s="135">
        <v>7</v>
      </c>
      <c r="K99" s="136">
        <v>0.42216146670956894</v>
      </c>
      <c r="L99" s="5" t="s">
        <v>158</v>
      </c>
      <c r="M99" s="5">
        <f>0.5*0.015</f>
        <v>7.4999999999999997E-3</v>
      </c>
      <c r="N99" s="5">
        <v>2.8964904486894712E-2</v>
      </c>
      <c r="O99" s="5">
        <v>0.28256774766770326</v>
      </c>
      <c r="P99" s="5">
        <v>0.29115059973345175</v>
      </c>
      <c r="Q99" s="5">
        <v>1.185810750777432</v>
      </c>
      <c r="R99" s="5">
        <v>0.92812083518436239</v>
      </c>
      <c r="S99" s="5">
        <v>0.37695246557085743</v>
      </c>
      <c r="T99" s="5">
        <v>3.0935673034207016</v>
      </c>
      <c r="U99" s="17">
        <f t="shared" si="32"/>
        <v>33.280118216241256</v>
      </c>
      <c r="V99" s="5">
        <f t="shared" si="48"/>
        <v>6.4999999999999997E-3</v>
      </c>
      <c r="W99" s="5">
        <v>8.7246010794448769E-2</v>
      </c>
      <c r="X99" s="5">
        <v>3.0655831983287474E-2</v>
      </c>
      <c r="Y99" s="5">
        <v>5.970175928607574E-2</v>
      </c>
      <c r="Z99" s="5">
        <f>0.5*0.01</f>
        <v>5.0000000000000001E-3</v>
      </c>
      <c r="AA99" s="5">
        <f>0.5*0.02</f>
        <v>0.01</v>
      </c>
      <c r="AB99" s="5">
        <f>0.5*0.013</f>
        <v>6.4999999999999997E-3</v>
      </c>
      <c r="AC99" s="5">
        <f>0.5*0.1</f>
        <v>0.05</v>
      </c>
      <c r="AD99" s="5">
        <v>0.17760360206381198</v>
      </c>
      <c r="AE99" s="17">
        <f t="shared" si="58"/>
        <v>0.200603602063812</v>
      </c>
      <c r="AF99" s="5">
        <f>0.5*0.01</f>
        <v>5.0000000000000001E-3</v>
      </c>
      <c r="AG99" s="18" t="s">
        <v>158</v>
      </c>
      <c r="AH99" s="18">
        <v>0.22399134332972637</v>
      </c>
      <c r="AI99" s="5">
        <f t="shared" si="52"/>
        <v>0.1</v>
      </c>
      <c r="AJ99" s="5">
        <f t="shared" si="53"/>
        <v>0.05</v>
      </c>
      <c r="AK99" s="5">
        <f t="shared" si="54"/>
        <v>0.1</v>
      </c>
      <c r="AL99" s="5">
        <f t="shared" si="54"/>
        <v>0.1</v>
      </c>
      <c r="AM99" s="5">
        <f t="shared" si="55"/>
        <v>0.15</v>
      </c>
      <c r="AN99" s="5">
        <f>0.5*0.2</f>
        <v>0.1</v>
      </c>
      <c r="AO99" s="5">
        <f>0.5*0.3</f>
        <v>0.15</v>
      </c>
      <c r="AP99" s="5">
        <f t="shared" si="56"/>
        <v>0.1</v>
      </c>
      <c r="AQ99" s="5">
        <f>0.5*0.2</f>
        <v>0.1</v>
      </c>
      <c r="AR99" s="5">
        <f t="shared" si="61"/>
        <v>0.05</v>
      </c>
      <c r="AS99" s="5" t="s">
        <v>158</v>
      </c>
      <c r="AT99" s="5" t="s">
        <v>158</v>
      </c>
      <c r="AU99" s="5" t="s">
        <v>158</v>
      </c>
      <c r="AV99" s="5" t="s">
        <v>158</v>
      </c>
      <c r="AW99" s="5" t="s">
        <v>158</v>
      </c>
      <c r="BC99" s="17" t="s">
        <v>158</v>
      </c>
      <c r="BD99" s="17" t="s">
        <v>158</v>
      </c>
      <c r="BE99" s="17" t="s">
        <v>158</v>
      </c>
      <c r="BF99" s="17" t="s">
        <v>158</v>
      </c>
      <c r="BG99" s="17" t="s">
        <v>158</v>
      </c>
      <c r="BH99" s="17" t="s">
        <v>158</v>
      </c>
      <c r="BI99" s="17" t="s">
        <v>158</v>
      </c>
      <c r="BJ99" s="17" t="s">
        <v>158</v>
      </c>
      <c r="BK99" s="17" t="s">
        <v>158</v>
      </c>
      <c r="BL99" s="17" t="s">
        <v>158</v>
      </c>
      <c r="BM99" s="17" t="s">
        <v>158</v>
      </c>
      <c r="BN99" s="17">
        <v>230</v>
      </c>
      <c r="BO99" s="17" t="s">
        <v>158</v>
      </c>
      <c r="BP99" s="17" t="s">
        <v>158</v>
      </c>
      <c r="BQ99" s="17" t="s">
        <v>158</v>
      </c>
      <c r="BR99" s="17" t="s">
        <v>158</v>
      </c>
      <c r="BS99" s="17" t="s">
        <v>158</v>
      </c>
      <c r="BT99" s="17" t="s">
        <v>158</v>
      </c>
      <c r="BU99" s="17" t="s">
        <v>158</v>
      </c>
      <c r="BV99" s="17" t="s">
        <v>158</v>
      </c>
      <c r="BW99" s="17" t="s">
        <v>158</v>
      </c>
      <c r="BX99" s="17" t="s">
        <v>158</v>
      </c>
      <c r="BY99" s="17" t="s">
        <v>158</v>
      </c>
      <c r="BZ99" s="17" t="s">
        <v>158</v>
      </c>
      <c r="CA99" s="17" t="s">
        <v>158</v>
      </c>
      <c r="CB99" s="17" t="s">
        <v>158</v>
      </c>
      <c r="CC99" s="17" t="s">
        <v>158</v>
      </c>
      <c r="CD99" s="17" t="s">
        <v>158</v>
      </c>
      <c r="CE99" s="17" t="s">
        <v>158</v>
      </c>
      <c r="CF99" s="17" t="s">
        <v>158</v>
      </c>
      <c r="CG99" s="17" t="s">
        <v>158</v>
      </c>
      <c r="CH99" s="17" t="s">
        <v>158</v>
      </c>
      <c r="CI99" s="17" t="s">
        <v>158</v>
      </c>
      <c r="CJ99" s="17" t="s">
        <v>158</v>
      </c>
      <c r="CK99" s="17" t="s">
        <v>158</v>
      </c>
      <c r="CL99" s="17" t="s">
        <v>158</v>
      </c>
      <c r="CM99" s="17" t="s">
        <v>158</v>
      </c>
      <c r="CN99" s="17" t="s">
        <v>158</v>
      </c>
      <c r="CO99" s="17" t="s">
        <v>158</v>
      </c>
      <c r="CP99" s="17" t="s">
        <v>158</v>
      </c>
      <c r="CQ99" s="17" t="s">
        <v>158</v>
      </c>
      <c r="CR99" s="17" t="s">
        <v>158</v>
      </c>
      <c r="CS99" s="17" t="s">
        <v>158</v>
      </c>
      <c r="CT99" s="17" t="s">
        <v>158</v>
      </c>
      <c r="CU99" s="17" t="s">
        <v>158</v>
      </c>
      <c r="CV99" s="17" t="s">
        <v>158</v>
      </c>
      <c r="CW99" s="17" t="s">
        <v>158</v>
      </c>
      <c r="CX99" s="17" t="s">
        <v>158</v>
      </c>
      <c r="CY99" s="67" t="s">
        <v>158</v>
      </c>
    </row>
    <row r="100" spans="1:103" x14ac:dyDescent="0.2">
      <c r="A100" s="32" t="s">
        <v>16</v>
      </c>
      <c r="B100" s="14" t="s">
        <v>16</v>
      </c>
      <c r="C100" s="14" t="s">
        <v>20</v>
      </c>
      <c r="G100" s="28">
        <v>43696</v>
      </c>
      <c r="H100" s="16">
        <v>2019</v>
      </c>
      <c r="I100" s="135" t="s">
        <v>33</v>
      </c>
      <c r="J100" s="135">
        <v>10</v>
      </c>
      <c r="K100" s="136">
        <v>0.46716787623309808</v>
      </c>
      <c r="L100" s="5" t="s">
        <v>158</v>
      </c>
      <c r="M100" s="5">
        <f>0.5*0.015</f>
        <v>7.4999999999999997E-3</v>
      </c>
      <c r="N100" s="5">
        <f>0.5*0.02</f>
        <v>0.01</v>
      </c>
      <c r="O100" s="5">
        <v>7.8970289364173038E-2</v>
      </c>
      <c r="P100" s="5">
        <v>9.7435401141972314E-2</v>
      </c>
      <c r="Q100" s="5">
        <v>0.2798799961289074</v>
      </c>
      <c r="R100" s="5">
        <v>0.25675021774895962</v>
      </c>
      <c r="S100" s="5">
        <v>0.11981999419336108</v>
      </c>
      <c r="T100" s="5">
        <v>0.83285589857737352</v>
      </c>
      <c r="U100" s="17">
        <f t="shared" si="32"/>
        <v>8.0583504960401413</v>
      </c>
      <c r="V100" s="5">
        <f t="shared" si="48"/>
        <v>6.4999999999999997E-3</v>
      </c>
      <c r="W100" s="5">
        <v>2.3736099647809625E-2</v>
      </c>
      <c r="X100" s="5">
        <f>0.5*0.013</f>
        <v>6.4999999999999997E-3</v>
      </c>
      <c r="Y100" s="5">
        <v>2.733877676890157E-2</v>
      </c>
      <c r="Z100" s="5">
        <f>0.5*0.01</f>
        <v>5.0000000000000001E-3</v>
      </c>
      <c r="AA100" s="5">
        <f>0.5*0.02</f>
        <v>0.01</v>
      </c>
      <c r="AB100" s="5">
        <f>0.5*0.013</f>
        <v>6.4999999999999997E-3</v>
      </c>
      <c r="AC100" s="5">
        <v>0.28089615794057871</v>
      </c>
      <c r="AD100" s="5">
        <v>0.33197103435728992</v>
      </c>
      <c r="AE100" s="17">
        <f t="shared" si="58"/>
        <v>8.0574876416711197E-2</v>
      </c>
      <c r="AF100" s="5">
        <f>0.5*0.01</f>
        <v>5.0000000000000001E-3</v>
      </c>
      <c r="AG100" s="18" t="s">
        <v>158</v>
      </c>
      <c r="AH100" s="18">
        <f>0.5*0.1</f>
        <v>0.05</v>
      </c>
      <c r="AI100" s="5">
        <f t="shared" si="52"/>
        <v>0.1</v>
      </c>
      <c r="AJ100" s="5">
        <f t="shared" si="53"/>
        <v>0.05</v>
      </c>
      <c r="AK100" s="5">
        <f t="shared" si="54"/>
        <v>0.1</v>
      </c>
      <c r="AL100" s="5">
        <f t="shared" si="54"/>
        <v>0.1</v>
      </c>
      <c r="AM100" s="5">
        <f t="shared" si="55"/>
        <v>0.15</v>
      </c>
      <c r="AN100" s="5">
        <f>0.5*0.2</f>
        <v>0.1</v>
      </c>
      <c r="AO100" s="5">
        <f>0.5*0.3</f>
        <v>0.15</v>
      </c>
      <c r="AP100" s="5">
        <f t="shared" si="56"/>
        <v>0.1</v>
      </c>
      <c r="AQ100" s="5">
        <f>0.5*0.2</f>
        <v>0.1</v>
      </c>
      <c r="AR100" s="5">
        <f t="shared" si="61"/>
        <v>0.05</v>
      </c>
      <c r="AS100" s="5" t="s">
        <v>158</v>
      </c>
      <c r="AT100" s="5" t="s">
        <v>158</v>
      </c>
      <c r="AU100" s="5" t="s">
        <v>158</v>
      </c>
      <c r="AV100" s="5" t="s">
        <v>158</v>
      </c>
      <c r="AW100" s="5" t="s">
        <v>158</v>
      </c>
      <c r="BC100" s="17" t="s">
        <v>158</v>
      </c>
      <c r="BD100" s="17" t="s">
        <v>158</v>
      </c>
      <c r="BE100" s="17" t="s">
        <v>158</v>
      </c>
      <c r="BF100" s="17" t="s">
        <v>158</v>
      </c>
      <c r="BG100" s="17" t="s">
        <v>158</v>
      </c>
      <c r="BH100" s="17" t="s">
        <v>158</v>
      </c>
      <c r="BI100" s="17" t="s">
        <v>158</v>
      </c>
      <c r="BJ100" s="17" t="s">
        <v>158</v>
      </c>
      <c r="BK100" s="17" t="s">
        <v>158</v>
      </c>
      <c r="BL100" s="17" t="s">
        <v>158</v>
      </c>
      <c r="BM100" s="17" t="s">
        <v>158</v>
      </c>
      <c r="BN100" s="17">
        <v>310</v>
      </c>
      <c r="BO100" s="17" t="s">
        <v>158</v>
      </c>
      <c r="BP100" s="17" t="s">
        <v>158</v>
      </c>
      <c r="BQ100" s="17" t="s">
        <v>158</v>
      </c>
      <c r="BR100" s="17" t="s">
        <v>158</v>
      </c>
      <c r="BS100" s="17" t="s">
        <v>158</v>
      </c>
      <c r="BT100" s="17" t="s">
        <v>158</v>
      </c>
      <c r="BU100" s="17" t="s">
        <v>158</v>
      </c>
      <c r="BV100" s="17" t="s">
        <v>158</v>
      </c>
      <c r="BW100" s="17" t="s">
        <v>158</v>
      </c>
      <c r="BX100" s="17" t="s">
        <v>158</v>
      </c>
      <c r="BY100" s="17" t="s">
        <v>158</v>
      </c>
      <c r="BZ100" s="17" t="s">
        <v>158</v>
      </c>
      <c r="CA100" s="17" t="s">
        <v>158</v>
      </c>
      <c r="CB100" s="17" t="s">
        <v>158</v>
      </c>
      <c r="CC100" s="17" t="s">
        <v>158</v>
      </c>
      <c r="CD100" s="17" t="s">
        <v>158</v>
      </c>
      <c r="CE100" s="17" t="s">
        <v>158</v>
      </c>
      <c r="CF100" s="17" t="s">
        <v>158</v>
      </c>
      <c r="CG100" s="17" t="s">
        <v>158</v>
      </c>
      <c r="CH100" s="17" t="s">
        <v>158</v>
      </c>
      <c r="CI100" s="17" t="s">
        <v>158</v>
      </c>
      <c r="CJ100" s="17" t="s">
        <v>158</v>
      </c>
      <c r="CK100" s="17" t="s">
        <v>158</v>
      </c>
      <c r="CL100" s="17" t="s">
        <v>158</v>
      </c>
      <c r="CM100" s="17" t="s">
        <v>158</v>
      </c>
      <c r="CN100" s="17" t="s">
        <v>158</v>
      </c>
      <c r="CO100" s="17" t="s">
        <v>158</v>
      </c>
      <c r="CP100" s="17" t="s">
        <v>158</v>
      </c>
      <c r="CQ100" s="17" t="s">
        <v>158</v>
      </c>
      <c r="CR100" s="17" t="s">
        <v>158</v>
      </c>
      <c r="CS100" s="17" t="s">
        <v>158</v>
      </c>
      <c r="CT100" s="17" t="s">
        <v>158</v>
      </c>
      <c r="CU100" s="17" t="s">
        <v>158</v>
      </c>
      <c r="CV100" s="17" t="s">
        <v>158</v>
      </c>
      <c r="CW100" s="17" t="s">
        <v>158</v>
      </c>
      <c r="CX100" s="17" t="s">
        <v>158</v>
      </c>
      <c r="CY100" s="67" t="s">
        <v>158</v>
      </c>
    </row>
    <row r="101" spans="1:103" x14ac:dyDescent="0.2">
      <c r="A101" s="32" t="s">
        <v>32</v>
      </c>
      <c r="B101" s="14" t="s">
        <v>32</v>
      </c>
      <c r="C101" s="14" t="s">
        <v>31</v>
      </c>
      <c r="G101" s="16" t="s">
        <v>31</v>
      </c>
      <c r="H101" s="16">
        <v>2018</v>
      </c>
      <c r="I101" s="135" t="s">
        <v>3</v>
      </c>
      <c r="J101" s="135" t="s">
        <v>158</v>
      </c>
      <c r="K101" s="136" t="s">
        <v>158</v>
      </c>
      <c r="L101" s="5" t="s">
        <v>158</v>
      </c>
      <c r="M101" s="5">
        <v>1.4999999999999999E-2</v>
      </c>
      <c r="N101" s="5">
        <v>2.3E-2</v>
      </c>
      <c r="O101" s="5">
        <v>0.01</v>
      </c>
      <c r="P101" s="5">
        <v>0.01</v>
      </c>
      <c r="Q101" s="5">
        <v>5.0000000000000001E-3</v>
      </c>
      <c r="R101" s="5">
        <v>0.01</v>
      </c>
      <c r="S101" s="5">
        <v>5.0000000000000001E-3</v>
      </c>
      <c r="T101" s="5" t="s">
        <v>158</v>
      </c>
      <c r="U101" s="17" t="s">
        <v>158</v>
      </c>
      <c r="V101" s="5">
        <v>1.2999999999999999E-2</v>
      </c>
      <c r="W101" s="5">
        <v>0.01</v>
      </c>
      <c r="X101" s="5">
        <v>1.2999999999999999E-2</v>
      </c>
      <c r="Y101" s="5">
        <v>1.4999999999999999E-2</v>
      </c>
      <c r="Z101" s="5">
        <v>0.01</v>
      </c>
      <c r="AA101" s="5">
        <v>0.02</v>
      </c>
      <c r="AB101" s="5">
        <v>1.2999999999999999E-2</v>
      </c>
      <c r="AC101" s="5">
        <v>0.1</v>
      </c>
      <c r="AD101" s="5" t="s">
        <v>158</v>
      </c>
      <c r="AE101" s="17" t="s">
        <v>158</v>
      </c>
      <c r="AF101" s="5">
        <v>4.0000000000000001E-3</v>
      </c>
      <c r="AG101" s="18" t="s">
        <v>158</v>
      </c>
      <c r="AH101" s="18">
        <v>0.2</v>
      </c>
      <c r="AI101" s="5">
        <v>0.2</v>
      </c>
      <c r="AJ101" s="5">
        <v>0.2</v>
      </c>
      <c r="AK101" s="5">
        <v>0.02</v>
      </c>
      <c r="AL101" s="5">
        <v>0.1</v>
      </c>
      <c r="AM101" s="5">
        <v>0.1</v>
      </c>
      <c r="AN101" s="5">
        <v>0.1</v>
      </c>
      <c r="AO101" s="5">
        <v>0.02</v>
      </c>
      <c r="AP101" s="5">
        <v>0.05</v>
      </c>
      <c r="AQ101" s="5">
        <v>0.1</v>
      </c>
      <c r="AR101" s="5">
        <v>0.05</v>
      </c>
      <c r="AS101" s="5" t="s">
        <v>158</v>
      </c>
      <c r="AT101" s="5" t="s">
        <v>158</v>
      </c>
      <c r="AU101" s="5" t="s">
        <v>158</v>
      </c>
      <c r="AV101" s="5" t="s">
        <v>158</v>
      </c>
      <c r="AW101" s="5" t="s">
        <v>158</v>
      </c>
      <c r="BC101" s="5">
        <v>0.2</v>
      </c>
      <c r="BD101" s="5">
        <v>0.2</v>
      </c>
      <c r="BE101" s="5">
        <v>0.21</v>
      </c>
      <c r="BF101" s="5">
        <v>0.02</v>
      </c>
      <c r="BG101" s="5">
        <v>0.2</v>
      </c>
      <c r="BH101" s="5">
        <v>0.05</v>
      </c>
      <c r="BI101" s="5">
        <v>0.1</v>
      </c>
      <c r="BJ101" s="5">
        <v>0.1</v>
      </c>
      <c r="BK101" s="5">
        <v>0.05</v>
      </c>
      <c r="BL101" s="5">
        <v>0.1</v>
      </c>
      <c r="BM101" s="5">
        <v>0.05</v>
      </c>
      <c r="BN101" s="17">
        <v>0.03</v>
      </c>
      <c r="BO101" s="5">
        <v>0.9506116229162711</v>
      </c>
      <c r="BP101" s="5">
        <v>1.3851882404237692</v>
      </c>
      <c r="BQ101" s="5">
        <v>0.18672634249058467</v>
      </c>
      <c r="BR101" s="5">
        <v>0.78167462607052207</v>
      </c>
      <c r="BS101" s="5">
        <v>0.18672634249058467</v>
      </c>
      <c r="BT101" s="5">
        <v>1.8672634249058466</v>
      </c>
      <c r="BU101" s="5">
        <v>1.8672634249058466</v>
      </c>
      <c r="BV101" s="5">
        <v>0.18672634249058467</v>
      </c>
      <c r="BW101" s="5">
        <v>0.18672634249058467</v>
      </c>
      <c r="BX101" s="5">
        <v>0.18672634249058467</v>
      </c>
      <c r="BY101" s="5">
        <v>6.2724999614951663E-2</v>
      </c>
      <c r="BZ101" s="5">
        <v>0.18672634249058467</v>
      </c>
      <c r="CA101" s="5">
        <v>0.18672634249058467</v>
      </c>
      <c r="CB101" s="5">
        <v>0.18672634249058467</v>
      </c>
      <c r="CC101" s="5">
        <v>0.18672634249058467</v>
      </c>
      <c r="CD101" s="5">
        <v>0.18672634249058467</v>
      </c>
      <c r="CE101" s="5">
        <v>0.12690837857116516</v>
      </c>
      <c r="CF101" s="5">
        <v>0.18672634249058467</v>
      </c>
      <c r="CG101" s="5">
        <v>0.18672634249058467</v>
      </c>
      <c r="CH101" s="5">
        <v>0.18672634249058467</v>
      </c>
      <c r="CI101" s="17" t="s">
        <v>158</v>
      </c>
      <c r="CJ101" s="17" t="s">
        <v>158</v>
      </c>
      <c r="CK101" s="17" t="s">
        <v>158</v>
      </c>
      <c r="CL101" s="17" t="s">
        <v>158</v>
      </c>
      <c r="CM101" s="17" t="s">
        <v>158</v>
      </c>
      <c r="CN101" s="17" t="s">
        <v>158</v>
      </c>
      <c r="CO101" s="17" t="s">
        <v>158</v>
      </c>
      <c r="CP101" s="17" t="s">
        <v>158</v>
      </c>
      <c r="CQ101" s="17" t="s">
        <v>158</v>
      </c>
      <c r="CR101" s="17" t="s">
        <v>158</v>
      </c>
      <c r="CS101" s="17" t="s">
        <v>158</v>
      </c>
      <c r="CT101" s="17" t="s">
        <v>158</v>
      </c>
      <c r="CU101" s="17" t="s">
        <v>158</v>
      </c>
      <c r="CV101" s="17" t="s">
        <v>158</v>
      </c>
      <c r="CW101" s="17" t="s">
        <v>158</v>
      </c>
      <c r="CX101" s="17" t="s">
        <v>158</v>
      </c>
      <c r="CY101" s="67" t="s">
        <v>158</v>
      </c>
    </row>
    <row r="102" spans="1:103" x14ac:dyDescent="0.2">
      <c r="A102" s="32" t="s">
        <v>4</v>
      </c>
      <c r="B102" s="14" t="s">
        <v>4</v>
      </c>
      <c r="C102" s="14" t="s">
        <v>19</v>
      </c>
      <c r="G102" s="4">
        <v>43332</v>
      </c>
      <c r="H102" s="16">
        <v>2018</v>
      </c>
      <c r="I102" s="135" t="s">
        <v>33</v>
      </c>
      <c r="J102" s="135">
        <v>10</v>
      </c>
      <c r="K102" s="136">
        <v>0.292873413602383</v>
      </c>
      <c r="L102" s="5">
        <v>5.4901960784313752</v>
      </c>
      <c r="M102" s="5">
        <v>0.27893942660056048</v>
      </c>
      <c r="N102" s="5">
        <v>0.60719443845656385</v>
      </c>
      <c r="O102" s="5">
        <v>1.9677408924337139</v>
      </c>
      <c r="P102" s="5">
        <v>1.7948049148523388</v>
      </c>
      <c r="Q102" s="5">
        <v>3.2576255658547097</v>
      </c>
      <c r="R102" s="5">
        <v>3.238844578572968</v>
      </c>
      <c r="S102" s="5">
        <v>0.73065854710066824</v>
      </c>
      <c r="T102" s="5">
        <v>11.875808363871524</v>
      </c>
      <c r="U102" s="17">
        <f t="shared" si="32"/>
        <v>172.10513110462068</v>
      </c>
      <c r="V102" s="5">
        <f>0.5*0.014</f>
        <v>7.0000000000000001E-3</v>
      </c>
      <c r="W102" s="5">
        <v>0.11104504541588939</v>
      </c>
      <c r="X102" s="5">
        <v>5.6389560447935305E-2</v>
      </c>
      <c r="Y102" s="5">
        <v>9.8603534806820936E-2</v>
      </c>
      <c r="Z102" s="5">
        <v>8.5933030233457039E-2</v>
      </c>
      <c r="AA102" s="5">
        <f>0.5*0.022</f>
        <v>1.0999999999999999E-2</v>
      </c>
      <c r="AB102" s="5">
        <f>0.5*0.014</f>
        <v>7.0000000000000001E-3</v>
      </c>
      <c r="AC102" s="5">
        <f t="shared" ref="AC102:AC114" si="62">0.5*0.1</f>
        <v>0.05</v>
      </c>
      <c r="AD102" s="5">
        <v>0.35197117090410268</v>
      </c>
      <c r="AE102" s="17">
        <f t="shared" ref="AE102:AE155" si="63">SUM(V102,W102,Y102,X102,AB102,AA102)</f>
        <v>0.29103814067064565</v>
      </c>
      <c r="AF102" s="5">
        <v>4.4956348350937703E-2</v>
      </c>
      <c r="AG102" s="18">
        <f>(AF102/K102)*5</f>
        <v>0.76750476934673717</v>
      </c>
      <c r="AH102" s="18">
        <v>11.850856232576664</v>
      </c>
      <c r="AI102" s="5">
        <f t="shared" ref="AI102:AJ114" si="64">0.5*0.2</f>
        <v>0.1</v>
      </c>
      <c r="AJ102" s="5">
        <f t="shared" si="64"/>
        <v>0.1</v>
      </c>
      <c r="AK102" s="5">
        <f t="shared" ref="AK102:AK114" si="65">0.5*0.02</f>
        <v>0.01</v>
      </c>
      <c r="AL102" s="5">
        <v>0.16427718040621267</v>
      </c>
      <c r="AM102" s="5">
        <f t="shared" ref="AM102:AM114" si="66">0.5*0.1</f>
        <v>0.05</v>
      </c>
      <c r="AN102" s="5">
        <v>0.39117881322182402</v>
      </c>
      <c r="AO102" s="5">
        <f>0.5*0.2</f>
        <v>0.1</v>
      </c>
      <c r="AP102" s="5">
        <f t="shared" ref="AP102:AP114" si="67">0.5*0.05</f>
        <v>2.5000000000000001E-2</v>
      </c>
      <c r="AQ102" s="5">
        <v>0.33157440594716581</v>
      </c>
      <c r="AR102" s="5">
        <v>0.12208615425461304</v>
      </c>
      <c r="AS102" s="5" t="s">
        <v>158</v>
      </c>
      <c r="AT102" s="5" t="s">
        <v>158</v>
      </c>
      <c r="AU102" s="5" t="s">
        <v>158</v>
      </c>
      <c r="AV102" s="5" t="s">
        <v>158</v>
      </c>
      <c r="AW102" s="5" t="s">
        <v>158</v>
      </c>
      <c r="BC102" s="5">
        <v>140</v>
      </c>
      <c r="BD102" s="5">
        <f t="shared" ref="BD102:BD114" si="68">0.5*0.2</f>
        <v>0.1</v>
      </c>
      <c r="BE102" s="5">
        <f t="shared" ref="BE102:BE114" si="69">0.5*0.1</f>
        <v>0.05</v>
      </c>
      <c r="BF102" s="5">
        <v>3.9414414414414414E-2</v>
      </c>
      <c r="BG102" s="5">
        <f t="shared" ref="BG102:BG108" si="70">0.5*0.2</f>
        <v>0.1</v>
      </c>
      <c r="BH102" s="5">
        <f>0.5*0.05</f>
        <v>2.5000000000000001E-2</v>
      </c>
      <c r="BI102" s="5">
        <v>6.2473817567567576</v>
      </c>
      <c r="BJ102" s="5">
        <v>0.95692567567567577</v>
      </c>
      <c r="BK102" s="5">
        <f>0.5*0.05</f>
        <v>2.5000000000000001E-2</v>
      </c>
      <c r="BL102" s="5">
        <v>4.8378659909909913</v>
      </c>
      <c r="BM102" s="5">
        <v>0.22687781531531537</v>
      </c>
      <c r="BN102" s="17">
        <v>100</v>
      </c>
      <c r="BO102" s="5">
        <f>0.5*1</f>
        <v>0.5</v>
      </c>
      <c r="BP102" s="5" t="s">
        <v>162</v>
      </c>
      <c r="BQ102" s="5">
        <v>2.1565513994647985</v>
      </c>
      <c r="BR102" s="5">
        <f>0.5*0.78</f>
        <v>0.39</v>
      </c>
      <c r="BS102" s="5">
        <f>0.5*0.2</f>
        <v>0.1</v>
      </c>
      <c r="BT102" s="5">
        <v>2.8482671838103841</v>
      </c>
      <c r="BU102" s="5">
        <v>4.94355775638215</v>
      </c>
      <c r="BV102" s="5">
        <f>0.5*0.19</f>
        <v>9.5000000000000001E-2</v>
      </c>
      <c r="BW102" s="5">
        <f>0.5*0.19</f>
        <v>9.5000000000000001E-2</v>
      </c>
      <c r="BX102" s="5">
        <f>0.5*0.19</f>
        <v>9.5000000000000001E-2</v>
      </c>
      <c r="BY102" s="5">
        <v>0.46182250865355157</v>
      </c>
      <c r="BZ102" s="5">
        <v>1.96622118572614</v>
      </c>
      <c r="CA102" s="5">
        <f t="shared" ref="CA102:CA114" si="71">0.5*0.19</f>
        <v>9.5000000000000001E-2</v>
      </c>
      <c r="CB102" s="5">
        <v>0.27326767661836199</v>
      </c>
      <c r="CC102" s="5">
        <v>10.957537485233415</v>
      </c>
      <c r="CD102" s="5">
        <f>0.5*0.19</f>
        <v>9.5000000000000001E-2</v>
      </c>
      <c r="CE102" s="5">
        <v>0.56363211476430231</v>
      </c>
      <c r="CF102" s="5">
        <f t="shared" ref="CF102:CH110" si="72">0.5*0.19</f>
        <v>9.5000000000000001E-2</v>
      </c>
      <c r="CG102" s="5">
        <f t="shared" si="72"/>
        <v>9.5000000000000001E-2</v>
      </c>
      <c r="CH102" s="5">
        <f t="shared" si="72"/>
        <v>9.5000000000000001E-2</v>
      </c>
      <c r="CI102" s="17" t="s">
        <v>158</v>
      </c>
      <c r="CJ102" s="17" t="s">
        <v>158</v>
      </c>
      <c r="CK102" s="17" t="s">
        <v>158</v>
      </c>
      <c r="CL102" s="17" t="s">
        <v>158</v>
      </c>
      <c r="CM102" s="17" t="s">
        <v>158</v>
      </c>
      <c r="CN102" s="17" t="s">
        <v>158</v>
      </c>
      <c r="CO102" s="17" t="s">
        <v>158</v>
      </c>
      <c r="CP102" s="17" t="s">
        <v>158</v>
      </c>
      <c r="CQ102" s="17" t="s">
        <v>158</v>
      </c>
      <c r="CR102" s="17" t="s">
        <v>158</v>
      </c>
      <c r="CS102" s="17" t="s">
        <v>158</v>
      </c>
      <c r="CT102" s="17" t="s">
        <v>158</v>
      </c>
      <c r="CU102" s="17" t="s">
        <v>158</v>
      </c>
      <c r="CV102" s="17" t="s">
        <v>158</v>
      </c>
      <c r="CW102" s="17" t="s">
        <v>158</v>
      </c>
      <c r="CX102" s="17" t="s">
        <v>158</v>
      </c>
      <c r="CY102" s="67" t="s">
        <v>158</v>
      </c>
    </row>
    <row r="103" spans="1:103" x14ac:dyDescent="0.2">
      <c r="A103" s="32" t="s">
        <v>82</v>
      </c>
      <c r="B103" s="14" t="s">
        <v>82</v>
      </c>
      <c r="C103" s="14" t="s">
        <v>19</v>
      </c>
      <c r="G103" s="4">
        <v>43329</v>
      </c>
      <c r="H103" s="16">
        <v>2018</v>
      </c>
      <c r="I103" s="135" t="s">
        <v>33</v>
      </c>
      <c r="J103" s="135">
        <v>15</v>
      </c>
      <c r="K103" s="136">
        <v>0.25720620842575137</v>
      </c>
      <c r="L103" s="5">
        <v>3.2450808694756677</v>
      </c>
      <c r="M103" s="5">
        <v>0.68899128290835587</v>
      </c>
      <c r="N103" s="5">
        <v>1.2293456115012402</v>
      </c>
      <c r="O103" s="5">
        <v>4.6938896402560601</v>
      </c>
      <c r="P103" s="5">
        <v>3.8195135216425982</v>
      </c>
      <c r="Q103" s="5">
        <v>7.9998650273419969</v>
      </c>
      <c r="R103" s="5">
        <v>7.3394171546110716</v>
      </c>
      <c r="S103" s="5">
        <v>2.4935294199585876</v>
      </c>
      <c r="T103" s="5">
        <v>28.264551658219911</v>
      </c>
      <c r="U103" s="17">
        <f t="shared" si="32"/>
        <v>475.2031120515108</v>
      </c>
      <c r="V103" s="5">
        <f>0.5*0.013</f>
        <v>6.4999999999999997E-3</v>
      </c>
      <c r="W103" s="5">
        <v>8.6783707965423215E-2</v>
      </c>
      <c r="X103" s="5">
        <v>3.1317323877682657E-2</v>
      </c>
      <c r="Y103" s="5">
        <v>4.7012528414843338E-2</v>
      </c>
      <c r="Z103" s="5">
        <f>0.5*0.013</f>
        <v>6.4999999999999997E-3</v>
      </c>
      <c r="AA103" s="5">
        <f>0.5*0.02</f>
        <v>0.01</v>
      </c>
      <c r="AB103" s="5">
        <v>3.0430310686378602E-2</v>
      </c>
      <c r="AC103" s="5">
        <f t="shared" si="62"/>
        <v>0.05</v>
      </c>
      <c r="AD103" s="5">
        <v>0.19554387094432782</v>
      </c>
      <c r="AE103" s="17">
        <f t="shared" si="63"/>
        <v>0.21204387094432783</v>
      </c>
      <c r="AF103" s="5">
        <v>2.8855094118948973E-2</v>
      </c>
      <c r="AG103" s="18">
        <f t="shared" ref="AG103:AG111" si="73">(AF103/K103)*5</f>
        <v>0.56093307963984618</v>
      </c>
      <c r="AH103" s="18">
        <v>3.9216209010930423</v>
      </c>
      <c r="AI103" s="5">
        <f t="shared" si="64"/>
        <v>0.1</v>
      </c>
      <c r="AJ103" s="5">
        <f t="shared" si="64"/>
        <v>0.1</v>
      </c>
      <c r="AK103" s="5">
        <f t="shared" si="65"/>
        <v>0.01</v>
      </c>
      <c r="AL103" s="5">
        <f>0.5*0.1</f>
        <v>0.05</v>
      </c>
      <c r="AM103" s="5">
        <f t="shared" si="66"/>
        <v>0.05</v>
      </c>
      <c r="AN103" s="5">
        <f>0.5*0.1</f>
        <v>0.05</v>
      </c>
      <c r="AO103" s="5">
        <f>0.5*0.2</f>
        <v>0.1</v>
      </c>
      <c r="AP103" s="5">
        <f t="shared" si="67"/>
        <v>2.5000000000000001E-2</v>
      </c>
      <c r="AQ103" s="5">
        <v>0.14399123196777155</v>
      </c>
      <c r="AR103" s="5">
        <v>0.1151900234011671</v>
      </c>
      <c r="AS103" s="5" t="s">
        <v>158</v>
      </c>
      <c r="AT103" s="5" t="s">
        <v>158</v>
      </c>
      <c r="AU103" s="5" t="s">
        <v>158</v>
      </c>
      <c r="AV103" s="5" t="s">
        <v>158</v>
      </c>
      <c r="AW103" s="5" t="s">
        <v>158</v>
      </c>
      <c r="BC103" s="5">
        <v>58.548868560423685</v>
      </c>
      <c r="BD103" s="5">
        <f t="shared" si="68"/>
        <v>0.1</v>
      </c>
      <c r="BE103" s="5">
        <f t="shared" si="69"/>
        <v>0.05</v>
      </c>
      <c r="BF103" s="5">
        <v>0.31937088749799392</v>
      </c>
      <c r="BG103" s="5">
        <f t="shared" si="70"/>
        <v>0.1</v>
      </c>
      <c r="BH103" s="5">
        <v>8.9231263039640463E-2</v>
      </c>
      <c r="BI103" s="5">
        <v>2.0865671641791042</v>
      </c>
      <c r="BJ103" s="5">
        <v>0.6913818006740492</v>
      </c>
      <c r="BK103" s="5">
        <v>0.68656716417910446</v>
      </c>
      <c r="BL103" s="5">
        <v>1.8276681110576152</v>
      </c>
      <c r="BM103" s="5">
        <v>0.32992136093724922</v>
      </c>
      <c r="BN103" s="17">
        <v>240</v>
      </c>
      <c r="BO103" s="5">
        <v>3.7147480048698935</v>
      </c>
      <c r="BP103" s="5" t="s">
        <v>162</v>
      </c>
      <c r="BQ103" s="5">
        <f>0.5*0.2</f>
        <v>0.1</v>
      </c>
      <c r="BR103" s="5">
        <v>2.8242698857238118</v>
      </c>
      <c r="BS103" s="5">
        <f>0.5*0.2</f>
        <v>0.1</v>
      </c>
      <c r="BT103" s="5" t="s">
        <v>164</v>
      </c>
      <c r="BU103" s="5" t="s">
        <v>164</v>
      </c>
      <c r="BV103" s="5">
        <f t="shared" ref="BV103:BV114" si="74">0.5*0.19</f>
        <v>9.5000000000000001E-2</v>
      </c>
      <c r="BW103" s="5">
        <v>0.21533437308481992</v>
      </c>
      <c r="BX103" s="5">
        <f>0.5*0.19</f>
        <v>9.5000000000000001E-2</v>
      </c>
      <c r="BY103" s="5">
        <v>0.15844538234022512</v>
      </c>
      <c r="BZ103" s="5">
        <v>1.5987682877689999</v>
      </c>
      <c r="CA103" s="5">
        <f t="shared" si="71"/>
        <v>9.5000000000000001E-2</v>
      </c>
      <c r="CB103" s="5">
        <v>0.28858978820912901</v>
      </c>
      <c r="CC103" s="5">
        <f>0.5*0.19</f>
        <v>9.5000000000000001E-2</v>
      </c>
      <c r="CD103" s="5">
        <v>0.23481159751060296</v>
      </c>
      <c r="CE103" s="5">
        <v>1.5119068209517521</v>
      </c>
      <c r="CF103" s="5">
        <f t="shared" si="72"/>
        <v>9.5000000000000001E-2</v>
      </c>
      <c r="CG103" s="5">
        <f t="shared" si="72"/>
        <v>9.5000000000000001E-2</v>
      </c>
      <c r="CH103" s="5">
        <f t="shared" si="72"/>
        <v>9.5000000000000001E-2</v>
      </c>
      <c r="CI103" s="17" t="s">
        <v>158</v>
      </c>
      <c r="CJ103" s="17" t="s">
        <v>158</v>
      </c>
      <c r="CK103" s="17" t="s">
        <v>158</v>
      </c>
      <c r="CL103" s="17" t="s">
        <v>158</v>
      </c>
      <c r="CM103" s="17" t="s">
        <v>158</v>
      </c>
      <c r="CN103" s="17" t="s">
        <v>158</v>
      </c>
      <c r="CO103" s="17" t="s">
        <v>158</v>
      </c>
      <c r="CP103" s="17" t="s">
        <v>158</v>
      </c>
      <c r="CQ103" s="17" t="s">
        <v>158</v>
      </c>
      <c r="CR103" s="17" t="s">
        <v>158</v>
      </c>
      <c r="CS103" s="17" t="s">
        <v>158</v>
      </c>
      <c r="CT103" s="17" t="s">
        <v>158</v>
      </c>
      <c r="CU103" s="17" t="s">
        <v>158</v>
      </c>
      <c r="CV103" s="17" t="s">
        <v>158</v>
      </c>
      <c r="CW103" s="17" t="s">
        <v>158</v>
      </c>
      <c r="CX103" s="17" t="s">
        <v>158</v>
      </c>
      <c r="CY103" s="67" t="s">
        <v>158</v>
      </c>
    </row>
    <row r="104" spans="1:103" x14ac:dyDescent="0.2">
      <c r="A104" s="32" t="s">
        <v>112</v>
      </c>
      <c r="B104" s="14" t="s">
        <v>24</v>
      </c>
      <c r="C104" s="14" t="s">
        <v>19</v>
      </c>
      <c r="G104" s="4">
        <v>43333</v>
      </c>
      <c r="H104" s="16">
        <v>2018</v>
      </c>
      <c r="I104" s="135" t="s">
        <v>33</v>
      </c>
      <c r="J104" s="135">
        <v>12</v>
      </c>
      <c r="K104" s="136">
        <v>0.34308164789861167</v>
      </c>
      <c r="L104" s="5">
        <v>3.6368003843382328</v>
      </c>
      <c r="M104" s="5">
        <v>0.48195788843428794</v>
      </c>
      <c r="N104" s="5">
        <v>1.1328659814389781</v>
      </c>
      <c r="O104" s="5">
        <v>3.2641652529687653</v>
      </c>
      <c r="P104" s="5">
        <v>2.6845524398762599</v>
      </c>
      <c r="Q104" s="5">
        <v>5.1638608921265341</v>
      </c>
      <c r="R104" s="5">
        <v>4.928051092705318</v>
      </c>
      <c r="S104" s="5">
        <v>1.465667099091907</v>
      </c>
      <c r="T104" s="5">
        <v>19.121120646642048</v>
      </c>
      <c r="U104" s="17">
        <f t="shared" si="32"/>
        <v>239.54309866820918</v>
      </c>
      <c r="V104" s="5">
        <f>0.5*0.013</f>
        <v>6.4999999999999997E-3</v>
      </c>
      <c r="W104" s="5">
        <v>7.4620489115553551E-2</v>
      </c>
      <c r="X104" s="5">
        <v>2.0356902382176214E-2</v>
      </c>
      <c r="Y104" s="5">
        <v>4.5954687725571854E-2</v>
      </c>
      <c r="Z104" s="5">
        <f>0.5*0.013</f>
        <v>6.4999999999999997E-3</v>
      </c>
      <c r="AA104" s="5">
        <f>0.5*0.02</f>
        <v>0.01</v>
      </c>
      <c r="AB104" s="5">
        <v>1.2448623407075811E-2</v>
      </c>
      <c r="AC104" s="5">
        <f t="shared" si="62"/>
        <v>0.05</v>
      </c>
      <c r="AD104" s="5">
        <v>0.15338070263037742</v>
      </c>
      <c r="AE104" s="17">
        <f t="shared" si="63"/>
        <v>0.16988070263037744</v>
      </c>
      <c r="AF104" s="5">
        <v>3.2574593353956689E-2</v>
      </c>
      <c r="AG104" s="18">
        <f t="shared" si="73"/>
        <v>0.47473529338391213</v>
      </c>
      <c r="AH104" s="18">
        <v>3.5299954894000902</v>
      </c>
      <c r="AI104" s="5">
        <f t="shared" si="64"/>
        <v>0.1</v>
      </c>
      <c r="AJ104" s="5">
        <f t="shared" si="64"/>
        <v>0.1</v>
      </c>
      <c r="AK104" s="5">
        <f t="shared" si="65"/>
        <v>0.01</v>
      </c>
      <c r="AL104" s="5">
        <f>0.5*0.1</f>
        <v>0.05</v>
      </c>
      <c r="AM104" s="5">
        <f t="shared" si="66"/>
        <v>0.05</v>
      </c>
      <c r="AN104" s="5">
        <f>0.5*0.1</f>
        <v>0.05</v>
      </c>
      <c r="AO104" s="5">
        <f>0.5*0.2</f>
        <v>0.1</v>
      </c>
      <c r="AP104" s="5">
        <f t="shared" si="67"/>
        <v>2.5000000000000001E-2</v>
      </c>
      <c r="AQ104" s="5">
        <v>0.13805442790557809</v>
      </c>
      <c r="AR104" s="5">
        <v>0.10611035934445948</v>
      </c>
      <c r="AS104" s="5" t="s">
        <v>158</v>
      </c>
      <c r="AT104" s="5" t="s">
        <v>158</v>
      </c>
      <c r="AU104" s="5" t="s">
        <v>158</v>
      </c>
      <c r="AV104" s="5" t="s">
        <v>158</v>
      </c>
      <c r="AW104" s="5" t="s">
        <v>158</v>
      </c>
      <c r="BC104" s="5">
        <v>70.473956338567589</v>
      </c>
      <c r="BD104" s="5">
        <f t="shared" si="68"/>
        <v>0.1</v>
      </c>
      <c r="BE104" s="5">
        <f t="shared" si="69"/>
        <v>0.05</v>
      </c>
      <c r="BF104" s="5">
        <v>0.22660538746329628</v>
      </c>
      <c r="BG104" s="5">
        <f t="shared" si="70"/>
        <v>0.1</v>
      </c>
      <c r="BH104" s="5">
        <f>0.5*0.05</f>
        <v>2.5000000000000001E-2</v>
      </c>
      <c r="BI104" s="5">
        <v>2.9652432018383759</v>
      </c>
      <c r="BJ104" s="5">
        <v>0.93163538873994634</v>
      </c>
      <c r="BK104" s="5">
        <f t="shared" ref="BK104:BK114" si="75">0.5*0.05</f>
        <v>2.5000000000000001E-2</v>
      </c>
      <c r="BL104" s="5">
        <v>2.2960870675347884</v>
      </c>
      <c r="BM104" s="5">
        <v>0.20549917017745437</v>
      </c>
      <c r="BN104" s="17">
        <v>190</v>
      </c>
      <c r="BO104" s="5" t="s">
        <v>161</v>
      </c>
      <c r="BP104" s="5" t="s">
        <v>162</v>
      </c>
      <c r="BQ104" s="5">
        <v>0.86593309944948949</v>
      </c>
      <c r="BR104" s="5">
        <f>0.5*0.78</f>
        <v>0.39</v>
      </c>
      <c r="BS104" s="5">
        <f>0.5*0.2</f>
        <v>0.1</v>
      </c>
      <c r="BT104" s="5" t="s">
        <v>164</v>
      </c>
      <c r="BU104" s="5" t="s">
        <v>164</v>
      </c>
      <c r="BV104" s="5">
        <f t="shared" si="74"/>
        <v>9.5000000000000001E-2</v>
      </c>
      <c r="BW104" s="5">
        <f t="shared" ref="BW104:BW114" si="76">0.5*0.19</f>
        <v>9.5000000000000001E-2</v>
      </c>
      <c r="BX104" s="5">
        <f>0.5*0.19</f>
        <v>9.5000000000000001E-2</v>
      </c>
      <c r="BY104" s="5">
        <v>0.42937522720224869</v>
      </c>
      <c r="BZ104" s="5">
        <v>0.70476582515727004</v>
      </c>
      <c r="CA104" s="5">
        <f t="shared" si="71"/>
        <v>9.5000000000000001E-2</v>
      </c>
      <c r="CB104" s="5">
        <f t="shared" ref="CB104:CB109" si="77">0.5*0.19</f>
        <v>9.5000000000000001E-2</v>
      </c>
      <c r="CC104" s="5">
        <v>9.0257433236374727</v>
      </c>
      <c r="CD104" s="5">
        <f>0.5*0.19</f>
        <v>9.5000000000000001E-2</v>
      </c>
      <c r="CE104" s="5">
        <v>0.47255119565978276</v>
      </c>
      <c r="CF104" s="5">
        <f t="shared" si="72"/>
        <v>9.5000000000000001E-2</v>
      </c>
      <c r="CG104" s="5">
        <f t="shared" si="72"/>
        <v>9.5000000000000001E-2</v>
      </c>
      <c r="CH104" s="5">
        <f t="shared" si="72"/>
        <v>9.5000000000000001E-2</v>
      </c>
      <c r="CI104" s="17" t="s">
        <v>158</v>
      </c>
      <c r="CJ104" s="17" t="s">
        <v>158</v>
      </c>
      <c r="CK104" s="17" t="s">
        <v>158</v>
      </c>
      <c r="CL104" s="17" t="s">
        <v>158</v>
      </c>
      <c r="CM104" s="17" t="s">
        <v>158</v>
      </c>
      <c r="CN104" s="17" t="s">
        <v>158</v>
      </c>
      <c r="CO104" s="17" t="s">
        <v>158</v>
      </c>
      <c r="CP104" s="17" t="s">
        <v>158</v>
      </c>
      <c r="CQ104" s="17" t="s">
        <v>158</v>
      </c>
      <c r="CR104" s="17" t="s">
        <v>158</v>
      </c>
      <c r="CS104" s="17" t="s">
        <v>158</v>
      </c>
      <c r="CT104" s="17" t="s">
        <v>158</v>
      </c>
      <c r="CU104" s="17" t="s">
        <v>158</v>
      </c>
      <c r="CV104" s="17" t="s">
        <v>158</v>
      </c>
      <c r="CW104" s="17" t="s">
        <v>158</v>
      </c>
      <c r="CX104" s="17" t="s">
        <v>158</v>
      </c>
      <c r="CY104" s="67" t="s">
        <v>158</v>
      </c>
    </row>
    <row r="105" spans="1:103" x14ac:dyDescent="0.2">
      <c r="A105" s="32" t="s">
        <v>21</v>
      </c>
      <c r="B105" s="14" t="s">
        <v>21</v>
      </c>
      <c r="C105" s="14" t="s">
        <v>19</v>
      </c>
      <c r="G105" s="4">
        <v>43327</v>
      </c>
      <c r="H105" s="16">
        <v>2018</v>
      </c>
      <c r="I105" s="135" t="s">
        <v>33</v>
      </c>
      <c r="J105" s="135">
        <v>12</v>
      </c>
      <c r="K105" s="136">
        <v>0.41920597456584663</v>
      </c>
      <c r="L105" s="5">
        <v>3.0491996464696083</v>
      </c>
      <c r="M105" s="5">
        <f>0.5*0.015</f>
        <v>7.4999999999999997E-3</v>
      </c>
      <c r="N105" s="5">
        <v>8.2934702084876716E-2</v>
      </c>
      <c r="O105" s="5">
        <v>1.5298550111122871</v>
      </c>
      <c r="P105" s="5">
        <v>1.3751402264789925</v>
      </c>
      <c r="Q105" s="5">
        <v>6.5432373796168903</v>
      </c>
      <c r="R105" s="5">
        <v>5.5734998412530423</v>
      </c>
      <c r="S105" s="5">
        <v>2.5909143824743364</v>
      </c>
      <c r="T105" s="5">
        <v>17.695581543020424</v>
      </c>
      <c r="U105" s="17">
        <f t="shared" si="32"/>
        <v>194.74843283724155</v>
      </c>
      <c r="V105" s="5">
        <f>0.5*0.014</f>
        <v>7.0000000000000001E-3</v>
      </c>
      <c r="W105" s="5">
        <v>0.22831771465736392</v>
      </c>
      <c r="X105" s="5">
        <v>8.2000012079135501E-2</v>
      </c>
      <c r="Y105" s="5">
        <v>0.15643782434260922</v>
      </c>
      <c r="Z105" s="5">
        <f>0.5*0.014</f>
        <v>7.0000000000000001E-3</v>
      </c>
      <c r="AA105" s="5">
        <v>4.2603244921032436E-2</v>
      </c>
      <c r="AB105" s="5">
        <v>3.0467775155647431E-2</v>
      </c>
      <c r="AC105" s="5">
        <f t="shared" si="62"/>
        <v>0.05</v>
      </c>
      <c r="AD105" s="5">
        <v>0.53982657115578858</v>
      </c>
      <c r="AE105" s="17">
        <f t="shared" si="63"/>
        <v>0.54682657115578848</v>
      </c>
      <c r="AF105" s="5">
        <v>3.0560376759445444E-2</v>
      </c>
      <c r="AG105" s="18">
        <f t="shared" si="73"/>
        <v>0.36450311557576787</v>
      </c>
      <c r="AH105" s="18">
        <v>20.195319871673902</v>
      </c>
      <c r="AI105" s="5">
        <f t="shared" si="64"/>
        <v>0.1</v>
      </c>
      <c r="AJ105" s="5">
        <f t="shared" si="64"/>
        <v>0.1</v>
      </c>
      <c r="AK105" s="5">
        <f t="shared" si="65"/>
        <v>0.01</v>
      </c>
      <c r="AL105" s="5">
        <f>0.5*0.1</f>
        <v>0.05</v>
      </c>
      <c r="AM105" s="5">
        <f t="shared" si="66"/>
        <v>0.05</v>
      </c>
      <c r="AN105" s="5">
        <v>0.34714096999433852</v>
      </c>
      <c r="AO105" s="5">
        <f>0.5*0.2</f>
        <v>0.1</v>
      </c>
      <c r="AP105" s="5">
        <f t="shared" si="67"/>
        <v>2.5000000000000001E-2</v>
      </c>
      <c r="AQ105" s="5">
        <v>0.21610995785368306</v>
      </c>
      <c r="AR105" s="5">
        <v>0.10626847832924449</v>
      </c>
      <c r="AS105" s="5" t="s">
        <v>158</v>
      </c>
      <c r="AT105" s="5" t="s">
        <v>158</v>
      </c>
      <c r="AU105" s="5" t="s">
        <v>158</v>
      </c>
      <c r="AV105" s="5" t="s">
        <v>158</v>
      </c>
      <c r="AW105" s="5" t="s">
        <v>158</v>
      </c>
      <c r="BC105" s="5">
        <v>260</v>
      </c>
      <c r="BD105" s="5">
        <f t="shared" si="68"/>
        <v>0.1</v>
      </c>
      <c r="BE105" s="5">
        <f t="shared" si="69"/>
        <v>0.05</v>
      </c>
      <c r="BF105" s="5">
        <v>0.33271478334472765</v>
      </c>
      <c r="BG105" s="5">
        <f t="shared" si="70"/>
        <v>0.1</v>
      </c>
      <c r="BH105" s="5">
        <f>0.5*0.05</f>
        <v>2.5000000000000001E-2</v>
      </c>
      <c r="BI105" s="5">
        <v>7.2437738060357457</v>
      </c>
      <c r="BJ105" s="5">
        <v>4.4564898915909756</v>
      </c>
      <c r="BK105" s="5">
        <f t="shared" si="75"/>
        <v>2.5000000000000001E-2</v>
      </c>
      <c r="BL105" s="5">
        <v>3.9730767978643744</v>
      </c>
      <c r="BM105" s="5">
        <v>0.2076602532799427</v>
      </c>
      <c r="BN105" s="17">
        <v>90</v>
      </c>
      <c r="BO105" s="5" t="s">
        <v>161</v>
      </c>
      <c r="BP105" s="5" t="s">
        <v>162</v>
      </c>
      <c r="BQ105" s="5">
        <v>2.1790858743679076</v>
      </c>
      <c r="BR105" s="5">
        <v>2.2210987287025525</v>
      </c>
      <c r="BS105" s="5">
        <f>0.5*0.2</f>
        <v>0.1</v>
      </c>
      <c r="BT105" s="5" t="s">
        <v>164</v>
      </c>
      <c r="BU105" s="5" t="s">
        <v>164</v>
      </c>
      <c r="BV105" s="5">
        <f t="shared" si="74"/>
        <v>9.5000000000000001E-2</v>
      </c>
      <c r="BW105" s="5">
        <f t="shared" si="76"/>
        <v>9.5000000000000001E-2</v>
      </c>
      <c r="BX105" s="5">
        <v>0.25833495611277191</v>
      </c>
      <c r="BY105" s="5">
        <v>0.55409375993113974</v>
      </c>
      <c r="BZ105" s="5">
        <v>1.6016051477059801</v>
      </c>
      <c r="CA105" s="5">
        <f t="shared" si="71"/>
        <v>9.5000000000000001E-2</v>
      </c>
      <c r="CB105" s="5">
        <f t="shared" si="77"/>
        <v>9.5000000000000001E-2</v>
      </c>
      <c r="CC105" s="5">
        <f>0.5*0.19</f>
        <v>9.5000000000000001E-2</v>
      </c>
      <c r="CD105" s="5">
        <f>0.5*0.19</f>
        <v>9.5000000000000001E-2</v>
      </c>
      <c r="CE105" s="5">
        <v>0.64685840057097199</v>
      </c>
      <c r="CF105" s="5">
        <f t="shared" si="72"/>
        <v>9.5000000000000001E-2</v>
      </c>
      <c r="CG105" s="5">
        <f t="shared" si="72"/>
        <v>9.5000000000000001E-2</v>
      </c>
      <c r="CH105" s="5">
        <f t="shared" si="72"/>
        <v>9.5000000000000001E-2</v>
      </c>
      <c r="CI105" s="17" t="s">
        <v>158</v>
      </c>
      <c r="CJ105" s="17" t="s">
        <v>158</v>
      </c>
      <c r="CK105" s="17" t="s">
        <v>158</v>
      </c>
      <c r="CL105" s="17" t="s">
        <v>158</v>
      </c>
      <c r="CM105" s="17" t="s">
        <v>158</v>
      </c>
      <c r="CN105" s="17" t="s">
        <v>158</v>
      </c>
      <c r="CO105" s="17" t="s">
        <v>158</v>
      </c>
      <c r="CP105" s="17" t="s">
        <v>158</v>
      </c>
      <c r="CQ105" s="17" t="s">
        <v>158</v>
      </c>
      <c r="CR105" s="17" t="s">
        <v>158</v>
      </c>
      <c r="CS105" s="17" t="s">
        <v>158</v>
      </c>
      <c r="CT105" s="17" t="s">
        <v>158</v>
      </c>
      <c r="CU105" s="17" t="s">
        <v>158</v>
      </c>
      <c r="CV105" s="17" t="s">
        <v>158</v>
      </c>
      <c r="CW105" s="17" t="s">
        <v>158</v>
      </c>
      <c r="CX105" s="17" t="s">
        <v>158</v>
      </c>
      <c r="CY105" s="67" t="s">
        <v>158</v>
      </c>
    </row>
    <row r="106" spans="1:103" x14ac:dyDescent="0.2">
      <c r="A106" s="32" t="s">
        <v>22</v>
      </c>
      <c r="B106" s="14" t="s">
        <v>22</v>
      </c>
      <c r="C106" s="14" t="s">
        <v>19</v>
      </c>
      <c r="G106" s="4">
        <v>43332</v>
      </c>
      <c r="H106" s="16">
        <v>2018</v>
      </c>
      <c r="I106" s="135" t="s">
        <v>33</v>
      </c>
      <c r="J106" s="135">
        <v>10</v>
      </c>
      <c r="K106" s="136">
        <v>0.30712932104814117</v>
      </c>
      <c r="L106" s="5">
        <v>3.830376371654189</v>
      </c>
      <c r="M106" s="5">
        <v>0.6939479035537911</v>
      </c>
      <c r="N106" s="5">
        <v>2.0754381717827055</v>
      </c>
      <c r="O106" s="5">
        <v>7.121884380749492</v>
      </c>
      <c r="P106" s="5">
        <v>5.5400213033794907</v>
      </c>
      <c r="Q106" s="5">
        <v>13.700866660211098</v>
      </c>
      <c r="R106" s="5">
        <v>12.835189309576839</v>
      </c>
      <c r="S106" s="5">
        <v>4.2656095671540619</v>
      </c>
      <c r="T106" s="5">
        <v>46.232957296407477</v>
      </c>
      <c r="U106" s="17">
        <f t="shared" si="32"/>
        <v>662.47233989504946</v>
      </c>
      <c r="V106" s="5">
        <f>0.5*0.013</f>
        <v>6.4999999999999997E-3</v>
      </c>
      <c r="W106" s="5">
        <v>0.28488883099087009</v>
      </c>
      <c r="X106" s="5">
        <v>0.10052463025888335</v>
      </c>
      <c r="Y106" s="5">
        <v>0.27551925850083175</v>
      </c>
      <c r="Z106" s="5">
        <f>0.5*0.013</f>
        <v>6.4999999999999997E-3</v>
      </c>
      <c r="AA106" s="5">
        <v>3.9410836842264603E-2</v>
      </c>
      <c r="AB106" s="5">
        <v>4.5657929947623577E-2</v>
      </c>
      <c r="AC106" s="5">
        <f t="shared" si="62"/>
        <v>0.05</v>
      </c>
      <c r="AD106" s="5">
        <v>0.74600148654047338</v>
      </c>
      <c r="AE106" s="17">
        <f t="shared" si="63"/>
        <v>0.75250148654047344</v>
      </c>
      <c r="AF106" s="5">
        <v>5.4708531035150568E-2</v>
      </c>
      <c r="AG106" s="18">
        <f t="shared" si="73"/>
        <v>0.89064324513932103</v>
      </c>
      <c r="AH106" s="18">
        <v>15.152957171991844</v>
      </c>
      <c r="AI106" s="5">
        <f t="shared" si="64"/>
        <v>0.1</v>
      </c>
      <c r="AJ106" s="5">
        <f t="shared" si="64"/>
        <v>0.1</v>
      </c>
      <c r="AK106" s="5">
        <f t="shared" si="65"/>
        <v>0.01</v>
      </c>
      <c r="AL106" s="5">
        <v>0.19520248616101776</v>
      </c>
      <c r="AM106" s="5">
        <f t="shared" si="66"/>
        <v>0.05</v>
      </c>
      <c r="AN106" s="5">
        <v>0.50587549771778184</v>
      </c>
      <c r="AO106" s="5">
        <f>0.5*0.2</f>
        <v>0.1</v>
      </c>
      <c r="AP106" s="5">
        <f t="shared" si="67"/>
        <v>2.5000000000000001E-2</v>
      </c>
      <c r="AQ106" s="5">
        <v>0.62254378297886115</v>
      </c>
      <c r="AR106" s="5">
        <v>0.11714415201838722</v>
      </c>
      <c r="AS106" s="5" t="s">
        <v>158</v>
      </c>
      <c r="AT106" s="5" t="s">
        <v>158</v>
      </c>
      <c r="AU106" s="5" t="s">
        <v>158</v>
      </c>
      <c r="AV106" s="5" t="s">
        <v>158</v>
      </c>
      <c r="AW106" s="5" t="s">
        <v>158</v>
      </c>
      <c r="BC106" s="5">
        <v>110</v>
      </c>
      <c r="BD106" s="5">
        <f t="shared" si="68"/>
        <v>0.1</v>
      </c>
      <c r="BE106" s="5">
        <f t="shared" si="69"/>
        <v>0.05</v>
      </c>
      <c r="BF106" s="5">
        <v>0.15173566192324278</v>
      </c>
      <c r="BG106" s="5">
        <f t="shared" si="70"/>
        <v>0.1</v>
      </c>
      <c r="BH106" s="5">
        <f>0.5*0.05</f>
        <v>2.5000000000000001E-2</v>
      </c>
      <c r="BI106" s="5">
        <v>2.8597186287192757</v>
      </c>
      <c r="BJ106" s="5">
        <v>1.4092820181112549</v>
      </c>
      <c r="BK106" s="5">
        <f t="shared" si="75"/>
        <v>2.5000000000000001E-2</v>
      </c>
      <c r="BL106" s="5">
        <v>3.0304279862009489</v>
      </c>
      <c r="BM106" s="5">
        <v>0.18080799913755932</v>
      </c>
      <c r="BN106" s="17">
        <v>110</v>
      </c>
      <c r="BO106" s="5">
        <v>2.0811106317668981</v>
      </c>
      <c r="BP106" s="5" t="s">
        <v>162</v>
      </c>
      <c r="BQ106" s="5">
        <v>0.32136058549477453</v>
      </c>
      <c r="BR106" s="5">
        <f>0.5*0.78</f>
        <v>0.39</v>
      </c>
      <c r="BS106" s="5">
        <v>1.2956023230632374</v>
      </c>
      <c r="BT106" s="5" t="s">
        <v>164</v>
      </c>
      <c r="BU106" s="5" t="s">
        <v>164</v>
      </c>
      <c r="BV106" s="5">
        <f t="shared" si="74"/>
        <v>9.5000000000000001E-2</v>
      </c>
      <c r="BW106" s="5">
        <f t="shared" si="76"/>
        <v>9.5000000000000001E-2</v>
      </c>
      <c r="BX106" s="5">
        <v>0.21172998098916415</v>
      </c>
      <c r="BY106" s="5">
        <v>0.58464481295433379</v>
      </c>
      <c r="BZ106" s="5">
        <v>3.77051507090437</v>
      </c>
      <c r="CA106" s="5">
        <f t="shared" si="71"/>
        <v>9.5000000000000001E-2</v>
      </c>
      <c r="CB106" s="5">
        <f t="shared" si="77"/>
        <v>9.5000000000000001E-2</v>
      </c>
      <c r="CC106" s="5">
        <f>0.5*0.19</f>
        <v>9.5000000000000001E-2</v>
      </c>
      <c r="CD106" s="5">
        <f>0.5*0.19</f>
        <v>9.5000000000000001E-2</v>
      </c>
      <c r="CE106" s="5">
        <v>0.50786539393511243</v>
      </c>
      <c r="CF106" s="5">
        <f t="shared" si="72"/>
        <v>9.5000000000000001E-2</v>
      </c>
      <c r="CG106" s="5">
        <f t="shared" si="72"/>
        <v>9.5000000000000001E-2</v>
      </c>
      <c r="CH106" s="5">
        <f t="shared" si="72"/>
        <v>9.5000000000000001E-2</v>
      </c>
      <c r="CI106" s="17" t="s">
        <v>158</v>
      </c>
      <c r="CJ106" s="17" t="s">
        <v>158</v>
      </c>
      <c r="CK106" s="17" t="s">
        <v>158</v>
      </c>
      <c r="CL106" s="17" t="s">
        <v>158</v>
      </c>
      <c r="CM106" s="17" t="s">
        <v>158</v>
      </c>
      <c r="CN106" s="17" t="s">
        <v>158</v>
      </c>
      <c r="CO106" s="17" t="s">
        <v>158</v>
      </c>
      <c r="CP106" s="17" t="s">
        <v>158</v>
      </c>
      <c r="CQ106" s="17" t="s">
        <v>158</v>
      </c>
      <c r="CR106" s="17" t="s">
        <v>158</v>
      </c>
      <c r="CS106" s="17" t="s">
        <v>158</v>
      </c>
      <c r="CT106" s="17" t="s">
        <v>158</v>
      </c>
      <c r="CU106" s="17" t="s">
        <v>158</v>
      </c>
      <c r="CV106" s="17" t="s">
        <v>158</v>
      </c>
      <c r="CW106" s="17" t="s">
        <v>158</v>
      </c>
      <c r="CX106" s="17" t="s">
        <v>158</v>
      </c>
      <c r="CY106" s="67" t="s">
        <v>158</v>
      </c>
    </row>
    <row r="107" spans="1:103" x14ac:dyDescent="0.2">
      <c r="A107" s="32" t="s">
        <v>25</v>
      </c>
      <c r="B107" s="14" t="s">
        <v>25</v>
      </c>
      <c r="C107" s="14" t="s">
        <v>19</v>
      </c>
      <c r="G107" s="4">
        <v>43327</v>
      </c>
      <c r="H107" s="16">
        <v>2018</v>
      </c>
      <c r="I107" s="135" t="s">
        <v>33</v>
      </c>
      <c r="J107" s="135">
        <v>11</v>
      </c>
      <c r="K107" s="136">
        <v>0.28651096160247419</v>
      </c>
      <c r="L107" s="5">
        <v>3.3899277274291575</v>
      </c>
      <c r="M107" s="5">
        <f>0.5*0.015</f>
        <v>7.4999999999999997E-3</v>
      </c>
      <c r="N107" s="5">
        <v>8.9675151034960876E-2</v>
      </c>
      <c r="O107" s="5">
        <v>0.78679805882935527</v>
      </c>
      <c r="P107" s="5">
        <v>0.73567396256313755</v>
      </c>
      <c r="Q107" s="5">
        <v>3.1366693077151631</v>
      </c>
      <c r="R107" s="5">
        <v>2.7038724373576315</v>
      </c>
      <c r="S107" s="5">
        <v>1.2078191542042191</v>
      </c>
      <c r="T107" s="5">
        <v>8.6605080717044682</v>
      </c>
      <c r="U107" s="17">
        <f t="shared" si="32"/>
        <v>138.42985386624088</v>
      </c>
      <c r="V107" s="5">
        <f>0.5*0.013</f>
        <v>6.4999999999999997E-3</v>
      </c>
      <c r="W107" s="5">
        <v>8.0942882063804955E-2</v>
      </c>
      <c r="X107" s="5">
        <v>3.9544751251164099E-2</v>
      </c>
      <c r="Y107" s="5">
        <v>8.4235997060343556E-2</v>
      </c>
      <c r="Z107" s="5">
        <f>0.5*0.013</f>
        <v>6.4999999999999997E-3</v>
      </c>
      <c r="AA107" s="5">
        <v>2.7045671296966493E-2</v>
      </c>
      <c r="AB107" s="5">
        <v>1.8650244165199812E-2</v>
      </c>
      <c r="AC107" s="5">
        <f t="shared" si="62"/>
        <v>0.05</v>
      </c>
      <c r="AD107" s="5">
        <v>0.25041954583747894</v>
      </c>
      <c r="AE107" s="17">
        <f t="shared" si="63"/>
        <v>0.25691954583747895</v>
      </c>
      <c r="AF107" s="5">
        <v>3.0809646429632565E-2</v>
      </c>
      <c r="AG107" s="18">
        <f t="shared" si="73"/>
        <v>0.53766959311630236</v>
      </c>
      <c r="AH107" s="18">
        <v>33.479955928468513</v>
      </c>
      <c r="AI107" s="5">
        <f t="shared" si="64"/>
        <v>0.1</v>
      </c>
      <c r="AJ107" s="5">
        <f t="shared" si="64"/>
        <v>0.1</v>
      </c>
      <c r="AK107" s="5">
        <f t="shared" si="65"/>
        <v>0.01</v>
      </c>
      <c r="AL107" s="5">
        <f>0.5*0.1</f>
        <v>0.05</v>
      </c>
      <c r="AM107" s="5">
        <f t="shared" si="66"/>
        <v>0.05</v>
      </c>
      <c r="AN107" s="5">
        <v>0.61606915840325449</v>
      </c>
      <c r="AO107" s="5">
        <v>0.26838432635534082</v>
      </c>
      <c r="AP107" s="5">
        <f t="shared" si="67"/>
        <v>2.5000000000000001E-2</v>
      </c>
      <c r="AQ107" s="5">
        <v>0.29327344125208349</v>
      </c>
      <c r="AR107" s="5">
        <v>8.6976297426335572E-2</v>
      </c>
      <c r="AS107" s="5" t="s">
        <v>158</v>
      </c>
      <c r="AT107" s="5" t="s">
        <v>158</v>
      </c>
      <c r="AU107" s="5" t="s">
        <v>158</v>
      </c>
      <c r="AV107" s="5" t="s">
        <v>158</v>
      </c>
      <c r="AW107" s="5" t="s">
        <v>158</v>
      </c>
      <c r="BC107" s="5">
        <v>280</v>
      </c>
      <c r="BD107" s="5">
        <f t="shared" si="68"/>
        <v>0.1</v>
      </c>
      <c r="BE107" s="5">
        <f t="shared" si="69"/>
        <v>0.05</v>
      </c>
      <c r="BF107" s="5">
        <v>0.23168967784352401</v>
      </c>
      <c r="BG107" s="5">
        <f t="shared" si="70"/>
        <v>0.1</v>
      </c>
      <c r="BH107" s="5">
        <f>0.5*0.05</f>
        <v>2.5000000000000001E-2</v>
      </c>
      <c r="BI107" s="5">
        <v>5.9147140039447725</v>
      </c>
      <c r="BJ107" s="5">
        <v>2.6138067061143979</v>
      </c>
      <c r="BK107" s="5">
        <f t="shared" si="75"/>
        <v>2.5000000000000001E-2</v>
      </c>
      <c r="BL107" s="5">
        <v>2.4442077580539117</v>
      </c>
      <c r="BM107" s="5">
        <v>0.16301643655489809</v>
      </c>
      <c r="BN107" s="17">
        <v>170</v>
      </c>
      <c r="BO107" s="5" t="s">
        <v>161</v>
      </c>
      <c r="BP107" s="5" t="s">
        <v>162</v>
      </c>
      <c r="BQ107" s="5">
        <f>0.5*0.2</f>
        <v>0.1</v>
      </c>
      <c r="BR107" s="5">
        <f>0.5*0.78</f>
        <v>0.39</v>
      </c>
      <c r="BS107" s="5">
        <f>0.5*0.2</f>
        <v>0.1</v>
      </c>
      <c r="BT107" s="5" t="s">
        <v>164</v>
      </c>
      <c r="BU107" s="5" t="s">
        <v>164</v>
      </c>
      <c r="BV107" s="5">
        <f t="shared" si="74"/>
        <v>9.5000000000000001E-2</v>
      </c>
      <c r="BW107" s="5">
        <f t="shared" si="76"/>
        <v>9.5000000000000001E-2</v>
      </c>
      <c r="BX107" s="5">
        <f>0.5*0.19</f>
        <v>9.5000000000000001E-2</v>
      </c>
      <c r="BY107" s="5">
        <v>0.25574563521606392</v>
      </c>
      <c r="BZ107" s="5">
        <f>0.5*0.19</f>
        <v>9.5000000000000001E-2</v>
      </c>
      <c r="CA107" s="5">
        <f t="shared" si="71"/>
        <v>9.5000000000000001E-2</v>
      </c>
      <c r="CB107" s="5">
        <f t="shared" si="77"/>
        <v>9.5000000000000001E-2</v>
      </c>
      <c r="CC107" s="5">
        <f>0.5*0.19</f>
        <v>9.5000000000000001E-2</v>
      </c>
      <c r="CD107" s="5">
        <f>0.5*0.19</f>
        <v>9.5000000000000001E-2</v>
      </c>
      <c r="CE107" s="5">
        <v>0.80503432368330841</v>
      </c>
      <c r="CF107" s="5">
        <f t="shared" si="72"/>
        <v>9.5000000000000001E-2</v>
      </c>
      <c r="CG107" s="5">
        <f t="shared" si="72"/>
        <v>9.5000000000000001E-2</v>
      </c>
      <c r="CH107" s="5">
        <f t="shared" si="72"/>
        <v>9.5000000000000001E-2</v>
      </c>
      <c r="CI107" s="17" t="s">
        <v>158</v>
      </c>
      <c r="CJ107" s="17" t="s">
        <v>158</v>
      </c>
      <c r="CK107" s="17" t="s">
        <v>158</v>
      </c>
      <c r="CL107" s="17" t="s">
        <v>158</v>
      </c>
      <c r="CM107" s="17" t="s">
        <v>158</v>
      </c>
      <c r="CN107" s="17" t="s">
        <v>158</v>
      </c>
      <c r="CO107" s="17" t="s">
        <v>158</v>
      </c>
      <c r="CP107" s="17" t="s">
        <v>158</v>
      </c>
      <c r="CQ107" s="17" t="s">
        <v>158</v>
      </c>
      <c r="CR107" s="17" t="s">
        <v>158</v>
      </c>
      <c r="CS107" s="17" t="s">
        <v>158</v>
      </c>
      <c r="CT107" s="17" t="s">
        <v>158</v>
      </c>
      <c r="CU107" s="17" t="s">
        <v>158</v>
      </c>
      <c r="CV107" s="17" t="s">
        <v>158</v>
      </c>
      <c r="CW107" s="17" t="s">
        <v>158</v>
      </c>
      <c r="CX107" s="17" t="s">
        <v>158</v>
      </c>
      <c r="CY107" s="67" t="s">
        <v>158</v>
      </c>
    </row>
    <row r="108" spans="1:103" x14ac:dyDescent="0.2">
      <c r="A108" s="32" t="s">
        <v>5</v>
      </c>
      <c r="B108" s="14" t="s">
        <v>5</v>
      </c>
      <c r="C108" s="14" t="s">
        <v>19</v>
      </c>
      <c r="G108" s="4">
        <v>43332</v>
      </c>
      <c r="H108" s="16">
        <v>2018</v>
      </c>
      <c r="I108" s="135" t="s">
        <v>33</v>
      </c>
      <c r="J108" s="135">
        <v>12</v>
      </c>
      <c r="K108" s="136">
        <v>0.20147327331106513</v>
      </c>
      <c r="L108" s="5">
        <v>3.2044516933704186</v>
      </c>
      <c r="M108" s="5">
        <v>0.67163660278090942</v>
      </c>
      <c r="N108" s="5">
        <v>1.7113819992484027</v>
      </c>
      <c r="O108" s="5">
        <v>5.8178034573468622</v>
      </c>
      <c r="P108" s="5">
        <v>5.8379650507328069</v>
      </c>
      <c r="Q108" s="5">
        <v>9.7315435926343472</v>
      </c>
      <c r="R108" s="5">
        <v>9.0027245396467492</v>
      </c>
      <c r="S108" s="5">
        <v>2.2164740698985343</v>
      </c>
      <c r="T108" s="5">
        <v>34.98952931228861</v>
      </c>
      <c r="U108" s="17">
        <f t="shared" si="32"/>
        <v>723.45983619740923</v>
      </c>
      <c r="V108" s="5">
        <f>0.5*0.012</f>
        <v>6.0000000000000001E-3</v>
      </c>
      <c r="W108" s="5">
        <v>0.26001460462533249</v>
      </c>
      <c r="X108" s="5">
        <v>7.7446728545998184E-2</v>
      </c>
      <c r="Y108" s="5">
        <v>0.18761107922220391</v>
      </c>
      <c r="Z108" s="5">
        <v>1.0239421309245508E-2</v>
      </c>
      <c r="AA108" s="5">
        <v>3.105319826962773E-2</v>
      </c>
      <c r="AB108" s="5">
        <v>3.6759044022560097E-2</v>
      </c>
      <c r="AC108" s="5">
        <f t="shared" si="62"/>
        <v>0.05</v>
      </c>
      <c r="AD108" s="5">
        <v>0.60312407599496787</v>
      </c>
      <c r="AE108" s="17">
        <f t="shared" si="63"/>
        <v>0.5988846546857225</v>
      </c>
      <c r="AF108" s="5">
        <v>6.1204904171364143E-2</v>
      </c>
      <c r="AG108" s="18">
        <f t="shared" si="73"/>
        <v>1.5189335827404435</v>
      </c>
      <c r="AH108" s="18">
        <v>11.555790892461731</v>
      </c>
      <c r="AI108" s="5">
        <f t="shared" si="64"/>
        <v>0.1</v>
      </c>
      <c r="AJ108" s="5">
        <f t="shared" si="64"/>
        <v>0.1</v>
      </c>
      <c r="AK108" s="5">
        <f t="shared" si="65"/>
        <v>0.01</v>
      </c>
      <c r="AL108" s="5">
        <v>0.33984788678155387</v>
      </c>
      <c r="AM108" s="5">
        <f t="shared" si="66"/>
        <v>0.05</v>
      </c>
      <c r="AN108" s="5">
        <v>0.27332242225859249</v>
      </c>
      <c r="AO108" s="5">
        <f>0.5*0.2</f>
        <v>0.1</v>
      </c>
      <c r="AP108" s="5">
        <f t="shared" si="67"/>
        <v>2.5000000000000001E-2</v>
      </c>
      <c r="AQ108" s="5">
        <v>0.83954301851673585</v>
      </c>
      <c r="AR108" s="5">
        <v>0.1190173614453965</v>
      </c>
      <c r="AS108" s="5" t="s">
        <v>158</v>
      </c>
      <c r="AT108" s="5" t="s">
        <v>158</v>
      </c>
      <c r="AU108" s="5" t="s">
        <v>158</v>
      </c>
      <c r="AV108" s="5" t="s">
        <v>158</v>
      </c>
      <c r="AW108" s="5" t="s">
        <v>158</v>
      </c>
      <c r="BC108" s="5">
        <v>100</v>
      </c>
      <c r="BD108" s="5">
        <f t="shared" si="68"/>
        <v>0.1</v>
      </c>
      <c r="BE108" s="5">
        <f t="shared" si="69"/>
        <v>0.05</v>
      </c>
      <c r="BF108" s="5">
        <v>0.25938653430062364</v>
      </c>
      <c r="BG108" s="5">
        <f t="shared" si="70"/>
        <v>0.1</v>
      </c>
      <c r="BH108" s="5">
        <v>0.26778668703067321</v>
      </c>
      <c r="BI108" s="5">
        <v>3.7318823978617797</v>
      </c>
      <c r="BJ108" s="5">
        <v>2.2245131729667809</v>
      </c>
      <c r="BK108" s="5">
        <f t="shared" si="75"/>
        <v>2.5000000000000001E-2</v>
      </c>
      <c r="BL108" s="5">
        <v>6.0695176275932283</v>
      </c>
      <c r="BM108" s="5">
        <v>0.35022782232404226</v>
      </c>
      <c r="BN108" s="17">
        <v>140</v>
      </c>
      <c r="BO108" s="5">
        <v>8.0973819489639443</v>
      </c>
      <c r="BP108" s="5" t="s">
        <v>162</v>
      </c>
      <c r="BQ108" s="5">
        <v>0.3159801808032463</v>
      </c>
      <c r="BR108" s="5">
        <v>7.046038584244684</v>
      </c>
      <c r="BS108" s="5">
        <v>0.83127036433264601</v>
      </c>
      <c r="BT108" s="5" t="s">
        <v>164</v>
      </c>
      <c r="BU108" s="5" t="s">
        <v>164</v>
      </c>
      <c r="BV108" s="5">
        <f t="shared" si="74"/>
        <v>9.5000000000000001E-2</v>
      </c>
      <c r="BW108" s="5">
        <f t="shared" si="76"/>
        <v>9.5000000000000001E-2</v>
      </c>
      <c r="BX108" s="5">
        <v>0.2017525358081031</v>
      </c>
      <c r="BY108" s="5">
        <v>0.1222872942984459</v>
      </c>
      <c r="BZ108" s="5">
        <v>3.9680578858432898</v>
      </c>
      <c r="CA108" s="5">
        <f t="shared" si="71"/>
        <v>9.5000000000000001E-2</v>
      </c>
      <c r="CB108" s="5">
        <f t="shared" si="77"/>
        <v>9.5000000000000001E-2</v>
      </c>
      <c r="CC108" s="5">
        <f>0.5*0.19</f>
        <v>9.5000000000000001E-2</v>
      </c>
      <c r="CD108" s="5">
        <v>0.19677088210064811</v>
      </c>
      <c r="CE108" s="5">
        <v>1.0291177338192528</v>
      </c>
      <c r="CF108" s="5">
        <f t="shared" si="72"/>
        <v>9.5000000000000001E-2</v>
      </c>
      <c r="CG108" s="5">
        <f t="shared" si="72"/>
        <v>9.5000000000000001E-2</v>
      </c>
      <c r="CH108" s="5">
        <f t="shared" si="72"/>
        <v>9.5000000000000001E-2</v>
      </c>
      <c r="CI108" s="17" t="s">
        <v>158</v>
      </c>
      <c r="CJ108" s="17" t="s">
        <v>158</v>
      </c>
      <c r="CK108" s="17" t="s">
        <v>158</v>
      </c>
      <c r="CL108" s="17" t="s">
        <v>158</v>
      </c>
      <c r="CM108" s="17" t="s">
        <v>158</v>
      </c>
      <c r="CN108" s="17" t="s">
        <v>158</v>
      </c>
      <c r="CO108" s="17" t="s">
        <v>158</v>
      </c>
      <c r="CP108" s="17" t="s">
        <v>158</v>
      </c>
      <c r="CQ108" s="17" t="s">
        <v>158</v>
      </c>
      <c r="CR108" s="17" t="s">
        <v>158</v>
      </c>
      <c r="CS108" s="17" t="s">
        <v>158</v>
      </c>
      <c r="CT108" s="17" t="s">
        <v>158</v>
      </c>
      <c r="CU108" s="17" t="s">
        <v>158</v>
      </c>
      <c r="CV108" s="17" t="s">
        <v>158</v>
      </c>
      <c r="CW108" s="17" t="s">
        <v>158</v>
      </c>
      <c r="CX108" s="17" t="s">
        <v>158</v>
      </c>
      <c r="CY108" s="67" t="s">
        <v>158</v>
      </c>
    </row>
    <row r="109" spans="1:103" x14ac:dyDescent="0.2">
      <c r="A109" s="32" t="s">
        <v>23</v>
      </c>
      <c r="B109" s="14" t="s">
        <v>23</v>
      </c>
      <c r="C109" s="14" t="s">
        <v>19</v>
      </c>
      <c r="G109" s="4">
        <v>43333</v>
      </c>
      <c r="H109" s="16">
        <v>2018</v>
      </c>
      <c r="I109" s="135" t="s">
        <v>33</v>
      </c>
      <c r="J109" s="135">
        <v>11</v>
      </c>
      <c r="K109" s="136">
        <v>0.17288153625199784</v>
      </c>
      <c r="L109" s="5">
        <v>5.4299103504482602</v>
      </c>
      <c r="M109" s="5">
        <v>0.33318658673660551</v>
      </c>
      <c r="N109" s="5">
        <v>1.3073576245784937</v>
      </c>
      <c r="O109" s="5">
        <v>6.2243911577369797</v>
      </c>
      <c r="P109" s="5">
        <v>5.7780723117272377</v>
      </c>
      <c r="Q109" s="5">
        <v>12.467623641813415</v>
      </c>
      <c r="R109" s="5">
        <v>11.260771824653428</v>
      </c>
      <c r="S109" s="5">
        <v>4.3252294866991381</v>
      </c>
      <c r="T109" s="5">
        <v>41.696632633945292</v>
      </c>
      <c r="U109" s="17">
        <f t="shared" ref="U109:U172" si="78">SUM(M109,N109,O109,Q109,R109,S109)*(5/K109)</f>
        <v>1038.8200238417012</v>
      </c>
      <c r="V109" s="5">
        <f>0.5*0.012</f>
        <v>6.0000000000000001E-3</v>
      </c>
      <c r="W109" s="5">
        <v>0.10699359252420752</v>
      </c>
      <c r="X109" s="5">
        <v>3.4581757635072326E-2</v>
      </c>
      <c r="Y109" s="5">
        <v>3.022020507474062E-2</v>
      </c>
      <c r="Z109" s="5">
        <f>0.5*0.012</f>
        <v>6.0000000000000001E-3</v>
      </c>
      <c r="AA109" s="5">
        <f>0.5*0.019</f>
        <v>9.4999999999999998E-3</v>
      </c>
      <c r="AB109" s="5">
        <v>3.5772712633653801E-2</v>
      </c>
      <c r="AC109" s="5">
        <f t="shared" si="62"/>
        <v>0.05</v>
      </c>
      <c r="AD109" s="5">
        <v>0.20756826786767429</v>
      </c>
      <c r="AE109" s="17">
        <f t="shared" si="63"/>
        <v>0.22306826786767428</v>
      </c>
      <c r="AF109" s="5">
        <v>3.253606219557887E-2</v>
      </c>
      <c r="AG109" s="18">
        <f t="shared" si="73"/>
        <v>0.9409929741760632</v>
      </c>
      <c r="AH109" s="18">
        <v>5.4508381641863419</v>
      </c>
      <c r="AI109" s="5">
        <f t="shared" si="64"/>
        <v>0.1</v>
      </c>
      <c r="AJ109" s="5">
        <f t="shared" si="64"/>
        <v>0.1</v>
      </c>
      <c r="AK109" s="5">
        <f t="shared" si="65"/>
        <v>0.01</v>
      </c>
      <c r="AL109" s="5">
        <v>0.35416262371434115</v>
      </c>
      <c r="AM109" s="5">
        <f t="shared" si="66"/>
        <v>0.05</v>
      </c>
      <c r="AN109" s="5">
        <f>0.5*0.1</f>
        <v>0.05</v>
      </c>
      <c r="AO109" s="5">
        <f>0.5*0.2</f>
        <v>0.1</v>
      </c>
      <c r="AP109" s="5">
        <f t="shared" si="67"/>
        <v>2.5000000000000001E-2</v>
      </c>
      <c r="AQ109" s="5">
        <v>0.18455275109077379</v>
      </c>
      <c r="AR109" s="5">
        <v>0.10093718469948267</v>
      </c>
      <c r="AS109" s="5" t="s">
        <v>158</v>
      </c>
      <c r="AT109" s="5" t="s">
        <v>158</v>
      </c>
      <c r="AU109" s="5" t="s">
        <v>158</v>
      </c>
      <c r="AV109" s="5" t="s">
        <v>158</v>
      </c>
      <c r="AW109" s="5" t="s">
        <v>158</v>
      </c>
      <c r="BC109" s="5">
        <v>280</v>
      </c>
      <c r="BD109" s="5">
        <f t="shared" si="68"/>
        <v>0.1</v>
      </c>
      <c r="BE109" s="5">
        <f t="shared" si="69"/>
        <v>0.05</v>
      </c>
      <c r="BF109" s="5">
        <v>0.26803075174249896</v>
      </c>
      <c r="BG109" s="5">
        <v>0.23781746387866823</v>
      </c>
      <c r="BH109" s="5">
        <v>0.31649166891022762</v>
      </c>
      <c r="BI109" s="5">
        <v>12.659876155433903</v>
      </c>
      <c r="BJ109" s="5">
        <v>3.6821322803553795</v>
      </c>
      <c r="BK109" s="5">
        <f t="shared" si="75"/>
        <v>2.5000000000000001E-2</v>
      </c>
      <c r="BL109" s="5">
        <v>10.085285231385923</v>
      </c>
      <c r="BM109" s="5">
        <v>0.18632624368063655</v>
      </c>
      <c r="BN109" s="17">
        <v>270</v>
      </c>
      <c r="BO109" s="5">
        <v>9.0550999525257172</v>
      </c>
      <c r="BP109" s="5" t="s">
        <v>162</v>
      </c>
      <c r="BQ109" s="5">
        <v>1.8053944889681586</v>
      </c>
      <c r="BR109" s="5">
        <v>9.6033623660369329</v>
      </c>
      <c r="BS109" s="5">
        <f>0.5*0.2</f>
        <v>0.1</v>
      </c>
      <c r="BT109" s="5">
        <v>2.8672096715040705</v>
      </c>
      <c r="BU109" s="5">
        <v>18.572311475009375</v>
      </c>
      <c r="BV109" s="5">
        <f t="shared" si="74"/>
        <v>9.5000000000000001E-2</v>
      </c>
      <c r="BW109" s="5">
        <f t="shared" si="76"/>
        <v>9.5000000000000001E-2</v>
      </c>
      <c r="BX109" s="5">
        <f>0.5*0.19</f>
        <v>9.5000000000000001E-2</v>
      </c>
      <c r="BY109" s="5">
        <f>0.5*0.06</f>
        <v>0.03</v>
      </c>
      <c r="BZ109" s="5">
        <f>0.5*0.19</f>
        <v>9.5000000000000001E-2</v>
      </c>
      <c r="CA109" s="5">
        <f t="shared" si="71"/>
        <v>9.5000000000000001E-2</v>
      </c>
      <c r="CB109" s="5">
        <f t="shared" si="77"/>
        <v>9.5000000000000001E-2</v>
      </c>
      <c r="CC109" s="5">
        <f>0.5*0.19</f>
        <v>9.5000000000000001E-2</v>
      </c>
      <c r="CD109" s="5">
        <f t="shared" ref="CD109:CD114" si="79">0.5*0.19</f>
        <v>9.5000000000000001E-2</v>
      </c>
      <c r="CE109" s="5">
        <v>0.6419081560484009</v>
      </c>
      <c r="CF109" s="5">
        <f t="shared" si="72"/>
        <v>9.5000000000000001E-2</v>
      </c>
      <c r="CG109" s="5">
        <f t="shared" si="72"/>
        <v>9.5000000000000001E-2</v>
      </c>
      <c r="CH109" s="5">
        <f t="shared" si="72"/>
        <v>9.5000000000000001E-2</v>
      </c>
      <c r="CI109" s="17" t="s">
        <v>158</v>
      </c>
      <c r="CJ109" s="17" t="s">
        <v>158</v>
      </c>
      <c r="CK109" s="17" t="s">
        <v>158</v>
      </c>
      <c r="CL109" s="17" t="s">
        <v>158</v>
      </c>
      <c r="CM109" s="17" t="s">
        <v>158</v>
      </c>
      <c r="CN109" s="17" t="s">
        <v>158</v>
      </c>
      <c r="CO109" s="17" t="s">
        <v>158</v>
      </c>
      <c r="CP109" s="17" t="s">
        <v>158</v>
      </c>
      <c r="CQ109" s="17" t="s">
        <v>158</v>
      </c>
      <c r="CR109" s="17" t="s">
        <v>158</v>
      </c>
      <c r="CS109" s="17" t="s">
        <v>158</v>
      </c>
      <c r="CT109" s="17" t="s">
        <v>158</v>
      </c>
      <c r="CU109" s="17" t="s">
        <v>158</v>
      </c>
      <c r="CV109" s="17" t="s">
        <v>158</v>
      </c>
      <c r="CW109" s="17" t="s">
        <v>158</v>
      </c>
      <c r="CX109" s="17" t="s">
        <v>158</v>
      </c>
      <c r="CY109" s="67" t="s">
        <v>158</v>
      </c>
    </row>
    <row r="110" spans="1:103" x14ac:dyDescent="0.2">
      <c r="A110" s="32" t="s">
        <v>6</v>
      </c>
      <c r="B110" s="14" t="s">
        <v>6</v>
      </c>
      <c r="C110" s="14" t="s">
        <v>19</v>
      </c>
      <c r="G110" s="4">
        <v>43335</v>
      </c>
      <c r="H110" s="16">
        <v>2018</v>
      </c>
      <c r="I110" s="135" t="s">
        <v>33</v>
      </c>
      <c r="J110" s="135">
        <v>10</v>
      </c>
      <c r="K110" s="136">
        <v>0.18550690497922698</v>
      </c>
      <c r="L110" s="5">
        <v>6.5783812210163957</v>
      </c>
      <c r="M110" s="5">
        <v>3.1422061894816784E-2</v>
      </c>
      <c r="N110" s="5">
        <v>0.17346271743346695</v>
      </c>
      <c r="O110" s="5">
        <v>0.99568078831520479</v>
      </c>
      <c r="P110" s="5">
        <v>1.3333562252254516</v>
      </c>
      <c r="Q110" s="5">
        <v>3.3465728180575405</v>
      </c>
      <c r="R110" s="5">
        <v>2.5419850931761681</v>
      </c>
      <c r="S110" s="5">
        <v>1.1359274844885408</v>
      </c>
      <c r="T110" s="5">
        <v>9.5269851266963723</v>
      </c>
      <c r="U110" s="17">
        <f t="shared" si="78"/>
        <v>221.6912347356228</v>
      </c>
      <c r="V110" s="5">
        <f>0.5*0.012</f>
        <v>6.0000000000000001E-3</v>
      </c>
      <c r="W110" s="5">
        <v>7.8841681054816329E-2</v>
      </c>
      <c r="X110" s="5">
        <v>2.7618599586597844E-2</v>
      </c>
      <c r="Y110" s="5">
        <v>5.6156578057047317E-2</v>
      </c>
      <c r="Z110" s="5">
        <v>1.4805772395656376E-2</v>
      </c>
      <c r="AA110" s="5">
        <f>0.5*0.019</f>
        <v>9.4999999999999998E-3</v>
      </c>
      <c r="AB110" s="5">
        <v>1.4280003446251787E-2</v>
      </c>
      <c r="AC110" s="5">
        <f t="shared" si="62"/>
        <v>0.05</v>
      </c>
      <c r="AD110" s="5">
        <v>0.18183211960993209</v>
      </c>
      <c r="AE110" s="17">
        <f t="shared" si="63"/>
        <v>0.1923968621447133</v>
      </c>
      <c r="AF110" s="5">
        <v>2.6235792896546425E-2</v>
      </c>
      <c r="AG110" s="18">
        <f t="shared" si="73"/>
        <v>0.70713790679339683</v>
      </c>
      <c r="AH110" s="18">
        <v>13.51472424175663</v>
      </c>
      <c r="AI110" s="5">
        <f t="shared" si="64"/>
        <v>0.1</v>
      </c>
      <c r="AJ110" s="5">
        <f t="shared" si="64"/>
        <v>0.1</v>
      </c>
      <c r="AK110" s="5">
        <f t="shared" si="65"/>
        <v>0.01</v>
      </c>
      <c r="AL110" s="5">
        <f>0.5*0.1</f>
        <v>0.05</v>
      </c>
      <c r="AM110" s="5">
        <f t="shared" si="66"/>
        <v>0.05</v>
      </c>
      <c r="AN110" s="5">
        <v>1.628038481310127</v>
      </c>
      <c r="AO110" s="5">
        <f>0.5*0.2</f>
        <v>0.1</v>
      </c>
      <c r="AP110" s="5">
        <f t="shared" si="67"/>
        <v>2.5000000000000001E-2</v>
      </c>
      <c r="AQ110" s="5">
        <f>0.5*0.1</f>
        <v>0.05</v>
      </c>
      <c r="AR110" s="5">
        <v>9.5926660302073405E-2</v>
      </c>
      <c r="AS110" s="5" t="s">
        <v>158</v>
      </c>
      <c r="AT110" s="5" t="s">
        <v>158</v>
      </c>
      <c r="AU110" s="5" t="s">
        <v>158</v>
      </c>
      <c r="AV110" s="5" t="s">
        <v>158</v>
      </c>
      <c r="AW110" s="5" t="s">
        <v>158</v>
      </c>
      <c r="BC110" s="5">
        <v>160</v>
      </c>
      <c r="BD110" s="5">
        <f t="shared" si="68"/>
        <v>0.1</v>
      </c>
      <c r="BE110" s="5">
        <f t="shared" si="69"/>
        <v>0.05</v>
      </c>
      <c r="BF110" s="5">
        <f>0.5*0.02</f>
        <v>0.01</v>
      </c>
      <c r="BG110" s="5">
        <f>0.5*0.2</f>
        <v>0.1</v>
      </c>
      <c r="BH110" s="5">
        <v>1.0031073446327683</v>
      </c>
      <c r="BI110" s="5">
        <v>15.938050847457626</v>
      </c>
      <c r="BJ110" s="5">
        <v>3.0025423728813561</v>
      </c>
      <c r="BK110" s="5">
        <f t="shared" si="75"/>
        <v>2.5000000000000001E-2</v>
      </c>
      <c r="BL110" s="5">
        <v>6.2864689265536731</v>
      </c>
      <c r="BM110" s="5">
        <v>0.32256214689265539</v>
      </c>
      <c r="BN110" s="17">
        <v>72</v>
      </c>
      <c r="BO110" s="5">
        <v>2.5270341648163388</v>
      </c>
      <c r="BP110" s="5" t="s">
        <v>162</v>
      </c>
      <c r="BQ110" s="5">
        <f>0.5*0.2</f>
        <v>0.1</v>
      </c>
      <c r="BR110" s="5">
        <f>0.5*0.78</f>
        <v>0.39</v>
      </c>
      <c r="BS110" s="5">
        <f>0.5*0.2</f>
        <v>0.1</v>
      </c>
      <c r="BT110" s="5" t="s">
        <v>164</v>
      </c>
      <c r="BU110" s="5">
        <v>5.6585851769697353</v>
      </c>
      <c r="BV110" s="5">
        <f t="shared" si="74"/>
        <v>9.5000000000000001E-2</v>
      </c>
      <c r="BW110" s="5">
        <f t="shared" si="76"/>
        <v>9.5000000000000001E-2</v>
      </c>
      <c r="BX110" s="5">
        <f>0.5*0.19</f>
        <v>9.5000000000000001E-2</v>
      </c>
      <c r="BY110" s="5">
        <v>0.45603913607957569</v>
      </c>
      <c r="BZ110" s="5">
        <v>1.92983723273029</v>
      </c>
      <c r="CA110" s="5">
        <f t="shared" si="71"/>
        <v>9.5000000000000001E-2</v>
      </c>
      <c r="CB110" s="5">
        <v>0.44137363698955462</v>
      </c>
      <c r="CC110" s="5">
        <v>3.4567019132982248</v>
      </c>
      <c r="CD110" s="5">
        <f t="shared" si="79"/>
        <v>9.5000000000000001E-2</v>
      </c>
      <c r="CE110" s="5">
        <v>0.96007449016492241</v>
      </c>
      <c r="CF110" s="5">
        <f t="shared" si="72"/>
        <v>9.5000000000000001E-2</v>
      </c>
      <c r="CG110" s="5">
        <f t="shared" si="72"/>
        <v>9.5000000000000001E-2</v>
      </c>
      <c r="CH110" s="5">
        <f t="shared" si="72"/>
        <v>9.5000000000000001E-2</v>
      </c>
      <c r="CI110" s="17" t="s">
        <v>158</v>
      </c>
      <c r="CJ110" s="17" t="s">
        <v>158</v>
      </c>
      <c r="CK110" s="17" t="s">
        <v>158</v>
      </c>
      <c r="CL110" s="17" t="s">
        <v>158</v>
      </c>
      <c r="CM110" s="17" t="s">
        <v>158</v>
      </c>
      <c r="CN110" s="17" t="s">
        <v>158</v>
      </c>
      <c r="CO110" s="17" t="s">
        <v>158</v>
      </c>
      <c r="CP110" s="17" t="s">
        <v>158</v>
      </c>
      <c r="CQ110" s="17" t="s">
        <v>158</v>
      </c>
      <c r="CR110" s="17" t="s">
        <v>158</v>
      </c>
      <c r="CS110" s="17" t="s">
        <v>158</v>
      </c>
      <c r="CT110" s="17" t="s">
        <v>158</v>
      </c>
      <c r="CU110" s="17" t="s">
        <v>158</v>
      </c>
      <c r="CV110" s="17" t="s">
        <v>158</v>
      </c>
      <c r="CW110" s="17" t="s">
        <v>158</v>
      </c>
      <c r="CX110" s="17" t="s">
        <v>158</v>
      </c>
      <c r="CY110" s="67" t="s">
        <v>158</v>
      </c>
    </row>
    <row r="111" spans="1:103" x14ac:dyDescent="0.2">
      <c r="A111" s="32" t="s">
        <v>81</v>
      </c>
      <c r="B111" s="14" t="s">
        <v>81</v>
      </c>
      <c r="C111" s="14" t="s">
        <v>19</v>
      </c>
      <c r="G111" s="4">
        <v>43328</v>
      </c>
      <c r="H111" s="16">
        <v>2018</v>
      </c>
      <c r="I111" s="135" t="s">
        <v>33</v>
      </c>
      <c r="J111" s="135">
        <v>13</v>
      </c>
      <c r="K111" s="136">
        <v>0.19387245542398815</v>
      </c>
      <c r="L111" s="5">
        <v>4.7855408686269341</v>
      </c>
      <c r="M111" s="5">
        <v>5.921173235563703E-2</v>
      </c>
      <c r="N111" s="5">
        <v>0.13955087076076991</v>
      </c>
      <c r="O111" s="5">
        <v>0.43413789591608104</v>
      </c>
      <c r="P111" s="5">
        <v>0.32781342295549443</v>
      </c>
      <c r="Q111" s="5">
        <v>0.95560138506976255</v>
      </c>
      <c r="R111" s="5">
        <v>0.88471331092779315</v>
      </c>
      <c r="S111" s="5">
        <v>0.36377940727161623</v>
      </c>
      <c r="T111" s="5">
        <v>3.164808025257154</v>
      </c>
      <c r="U111" s="17">
        <f t="shared" si="78"/>
        <v>73.166520641039796</v>
      </c>
      <c r="V111" s="5">
        <f>0.5*0.013</f>
        <v>6.4999999999999997E-3</v>
      </c>
      <c r="W111" s="5">
        <v>8.5188058480274123E-2</v>
      </c>
      <c r="X111" s="5">
        <v>3.1980837675395384E-2</v>
      </c>
      <c r="Y111" s="5">
        <v>0.10884898085158279</v>
      </c>
      <c r="Z111" s="5">
        <v>1.3094883985111308E-2</v>
      </c>
      <c r="AA111" s="5">
        <v>1.9983151725224652E-2</v>
      </c>
      <c r="AB111" s="5">
        <v>1.7447886515321826E-2</v>
      </c>
      <c r="AC111" s="5">
        <f t="shared" si="62"/>
        <v>0.05</v>
      </c>
      <c r="AD111" s="5">
        <v>0.27654379923291006</v>
      </c>
      <c r="AE111" s="17">
        <f t="shared" si="63"/>
        <v>0.26994891524779879</v>
      </c>
      <c r="AF111" s="5">
        <v>7.7997250229147566E-2</v>
      </c>
      <c r="AG111" s="18">
        <f t="shared" si="73"/>
        <v>2.0115609011752591</v>
      </c>
      <c r="AH111" s="18">
        <v>8.83908160222642</v>
      </c>
      <c r="AI111" s="5">
        <f t="shared" si="64"/>
        <v>0.1</v>
      </c>
      <c r="AJ111" s="5">
        <f t="shared" si="64"/>
        <v>0.1</v>
      </c>
      <c r="AK111" s="5">
        <f t="shared" si="65"/>
        <v>0.01</v>
      </c>
      <c r="AL111" s="5">
        <f>0.5*0.1</f>
        <v>0.05</v>
      </c>
      <c r="AM111" s="5">
        <f t="shared" si="66"/>
        <v>0.05</v>
      </c>
      <c r="AN111" s="5">
        <v>0.9014014511479973</v>
      </c>
      <c r="AO111" s="5">
        <v>0.98863598714508161</v>
      </c>
      <c r="AP111" s="5">
        <f t="shared" si="67"/>
        <v>2.5000000000000001E-2</v>
      </c>
      <c r="AQ111" s="5">
        <v>0.91346121989199225</v>
      </c>
      <c r="AR111" s="5">
        <v>0.44590332306265118</v>
      </c>
      <c r="AS111" s="5" t="s">
        <v>158</v>
      </c>
      <c r="AT111" s="5" t="s">
        <v>158</v>
      </c>
      <c r="AU111" s="5" t="s">
        <v>158</v>
      </c>
      <c r="AV111" s="5" t="s">
        <v>158</v>
      </c>
      <c r="AW111" s="5" t="s">
        <v>158</v>
      </c>
      <c r="BC111" s="5">
        <v>120</v>
      </c>
      <c r="BD111" s="5">
        <f t="shared" si="68"/>
        <v>0.1</v>
      </c>
      <c r="BE111" s="5">
        <f t="shared" si="69"/>
        <v>0.05</v>
      </c>
      <c r="BF111" s="5">
        <v>0.26849296398514433</v>
      </c>
      <c r="BG111" s="5">
        <f>0.5*0.2</f>
        <v>0.1</v>
      </c>
      <c r="BH111" s="5">
        <f>0.5*0.05</f>
        <v>2.5000000000000001E-2</v>
      </c>
      <c r="BI111" s="5">
        <v>12.273229070837168</v>
      </c>
      <c r="BJ111" s="5">
        <v>12.371460697127672</v>
      </c>
      <c r="BK111" s="5">
        <f t="shared" si="75"/>
        <v>2.5000000000000001E-2</v>
      </c>
      <c r="BL111" s="5">
        <v>10.260690313128215</v>
      </c>
      <c r="BM111" s="5">
        <v>2.2024157552216432</v>
      </c>
      <c r="BN111" s="17">
        <v>27</v>
      </c>
      <c r="BO111" s="5" t="s">
        <v>161</v>
      </c>
      <c r="BP111" s="5" t="s">
        <v>162</v>
      </c>
      <c r="BQ111" s="5">
        <f>0.5*0.2</f>
        <v>0.1</v>
      </c>
      <c r="BR111" s="5">
        <v>8.7932592600819248</v>
      </c>
      <c r="BS111" s="5">
        <f>0.5*0.2</f>
        <v>0.1</v>
      </c>
      <c r="BT111" s="5">
        <v>6.6579024827043369</v>
      </c>
      <c r="BU111" s="5" t="s">
        <v>164</v>
      </c>
      <c r="BV111" s="5">
        <f t="shared" si="74"/>
        <v>9.5000000000000001E-2</v>
      </c>
      <c r="BW111" s="5">
        <f t="shared" si="76"/>
        <v>9.5000000000000001E-2</v>
      </c>
      <c r="BX111" s="5">
        <f>0.5*0.19</f>
        <v>9.5000000000000001E-2</v>
      </c>
      <c r="BY111" s="5">
        <v>0.33281175697602938</v>
      </c>
      <c r="BZ111" s="5">
        <f>0.5*0.19</f>
        <v>9.5000000000000001E-2</v>
      </c>
      <c r="CA111" s="5">
        <f t="shared" si="71"/>
        <v>9.5000000000000001E-2</v>
      </c>
      <c r="CB111" s="5">
        <v>0.30495444687965123</v>
      </c>
      <c r="CC111" s="5">
        <f>0.5*0.19</f>
        <v>9.5000000000000001E-2</v>
      </c>
      <c r="CD111" s="5">
        <f t="shared" si="79"/>
        <v>9.5000000000000001E-2</v>
      </c>
      <c r="CE111" s="5">
        <v>0.28081731247423236</v>
      </c>
      <c r="CF111" s="5">
        <v>1.4891435501085373</v>
      </c>
      <c r="CG111" s="5">
        <f t="shared" ref="CG111:CH114" si="80">0.5*0.19</f>
        <v>9.5000000000000001E-2</v>
      </c>
      <c r="CH111" s="5">
        <f t="shared" si="80"/>
        <v>9.5000000000000001E-2</v>
      </c>
      <c r="CI111" s="17" t="s">
        <v>158</v>
      </c>
      <c r="CJ111" s="17" t="s">
        <v>158</v>
      </c>
      <c r="CK111" s="17" t="s">
        <v>158</v>
      </c>
      <c r="CL111" s="17" t="s">
        <v>158</v>
      </c>
      <c r="CM111" s="17" t="s">
        <v>158</v>
      </c>
      <c r="CN111" s="17" t="s">
        <v>158</v>
      </c>
      <c r="CO111" s="17" t="s">
        <v>158</v>
      </c>
      <c r="CP111" s="17" t="s">
        <v>158</v>
      </c>
      <c r="CQ111" s="17" t="s">
        <v>158</v>
      </c>
      <c r="CR111" s="17" t="s">
        <v>158</v>
      </c>
      <c r="CS111" s="17" t="s">
        <v>158</v>
      </c>
      <c r="CT111" s="17" t="s">
        <v>158</v>
      </c>
      <c r="CU111" s="17" t="s">
        <v>158</v>
      </c>
      <c r="CV111" s="17" t="s">
        <v>158</v>
      </c>
      <c r="CW111" s="17" t="s">
        <v>158</v>
      </c>
      <c r="CX111" s="17" t="s">
        <v>158</v>
      </c>
      <c r="CY111" s="67" t="s">
        <v>158</v>
      </c>
    </row>
    <row r="112" spans="1:103" x14ac:dyDescent="0.2">
      <c r="A112" s="32" t="s">
        <v>26</v>
      </c>
      <c r="B112" s="14" t="s">
        <v>26</v>
      </c>
      <c r="C112" s="14" t="s">
        <v>19</v>
      </c>
      <c r="G112" s="4">
        <v>43328</v>
      </c>
      <c r="H112" s="16">
        <v>2018</v>
      </c>
      <c r="I112" s="135" t="s">
        <v>33</v>
      </c>
      <c r="J112" s="135">
        <v>17</v>
      </c>
      <c r="K112" s="136">
        <v>0.3479313213826441</v>
      </c>
      <c r="L112" s="5">
        <v>5.9379797359532906</v>
      </c>
      <c r="M112" s="5">
        <v>3.1578415521422792E-2</v>
      </c>
      <c r="N112" s="5">
        <v>4.77162489894907E-2</v>
      </c>
      <c r="O112" s="5">
        <v>0.2997776879547292</v>
      </c>
      <c r="P112" s="5">
        <v>0.37506063055780114</v>
      </c>
      <c r="Q112" s="5">
        <v>1.1963571139854483</v>
      </c>
      <c r="R112" s="5">
        <v>1.0582053354890864</v>
      </c>
      <c r="S112" s="5">
        <v>0.52019502829426023</v>
      </c>
      <c r="T112" s="5">
        <v>3.4495957962813257</v>
      </c>
      <c r="U112" s="17">
        <f t="shared" si="78"/>
        <v>45.322591506010944</v>
      </c>
      <c r="V112" s="5">
        <f>0.5*0.013</f>
        <v>6.4999999999999997E-3</v>
      </c>
      <c r="W112" s="5">
        <v>1.0168977750713805E-2</v>
      </c>
      <c r="X112" s="5">
        <f>0.5*0.01</f>
        <v>5.0000000000000001E-3</v>
      </c>
      <c r="Y112" s="5">
        <f>0.5*0.015</f>
        <v>7.4999999999999997E-3</v>
      </c>
      <c r="Z112" s="5">
        <f>0.5*0.013</f>
        <v>6.4999999999999997E-3</v>
      </c>
      <c r="AA112" s="5">
        <f>0.5*0.02</f>
        <v>0.01</v>
      </c>
      <c r="AB112" s="5">
        <f>0.5*0.013</f>
        <v>6.4999999999999997E-3</v>
      </c>
      <c r="AC112" s="5">
        <f t="shared" si="62"/>
        <v>0.05</v>
      </c>
      <c r="AD112" s="5">
        <v>1.0168977750713805E-2</v>
      </c>
      <c r="AE112" s="17">
        <f t="shared" si="63"/>
        <v>4.566897775071381E-2</v>
      </c>
      <c r="AF112" s="5">
        <f>0.5*0.004</f>
        <v>2E-3</v>
      </c>
      <c r="AG112" s="18" t="s">
        <v>158</v>
      </c>
      <c r="AH112" s="18">
        <v>1.1888059701492537</v>
      </c>
      <c r="AI112" s="5">
        <f t="shared" si="64"/>
        <v>0.1</v>
      </c>
      <c r="AJ112" s="5">
        <f t="shared" si="64"/>
        <v>0.1</v>
      </c>
      <c r="AK112" s="5">
        <f t="shared" si="65"/>
        <v>0.01</v>
      </c>
      <c r="AL112" s="5">
        <f>0.5*0.1</f>
        <v>0.05</v>
      </c>
      <c r="AM112" s="5">
        <f t="shared" si="66"/>
        <v>0.05</v>
      </c>
      <c r="AN112" s="5">
        <f>0.5*0.1</f>
        <v>0.05</v>
      </c>
      <c r="AO112" s="5">
        <f>0.5*0.2</f>
        <v>0.1</v>
      </c>
      <c r="AP112" s="5">
        <f t="shared" si="67"/>
        <v>2.5000000000000001E-2</v>
      </c>
      <c r="AQ112" s="5">
        <f>0.5*0.1</f>
        <v>0.05</v>
      </c>
      <c r="AR112" s="5">
        <v>7.3599502487562182E-2</v>
      </c>
      <c r="AS112" s="5" t="s">
        <v>158</v>
      </c>
      <c r="AT112" s="5" t="s">
        <v>158</v>
      </c>
      <c r="AU112" s="5" t="s">
        <v>158</v>
      </c>
      <c r="AV112" s="5" t="s">
        <v>158</v>
      </c>
      <c r="AW112" s="5" t="s">
        <v>158</v>
      </c>
      <c r="BC112" s="5">
        <v>33.51260043827611</v>
      </c>
      <c r="BD112" s="5">
        <f t="shared" si="68"/>
        <v>0.1</v>
      </c>
      <c r="BE112" s="5">
        <f t="shared" si="69"/>
        <v>0.05</v>
      </c>
      <c r="BF112" s="5">
        <v>0.15765765765765763</v>
      </c>
      <c r="BG112" s="5">
        <f>0.5*0.2</f>
        <v>0.1</v>
      </c>
      <c r="BH112" s="5">
        <f>0.5*0.05</f>
        <v>2.5000000000000001E-2</v>
      </c>
      <c r="BI112" s="5">
        <v>2.4533418553688819</v>
      </c>
      <c r="BJ112" s="5">
        <v>0.2008765522279036</v>
      </c>
      <c r="BK112" s="5">
        <f t="shared" si="75"/>
        <v>2.5000000000000001E-2</v>
      </c>
      <c r="BL112" s="5">
        <v>1.4499939128317505</v>
      </c>
      <c r="BM112" s="5">
        <v>0.10831202824446068</v>
      </c>
      <c r="BN112" s="17">
        <v>72</v>
      </c>
      <c r="BO112" s="5" t="s">
        <v>161</v>
      </c>
      <c r="BP112" s="5" t="s">
        <v>162</v>
      </c>
      <c r="BQ112" s="5">
        <f>0.5*0.2</f>
        <v>0.1</v>
      </c>
      <c r="BR112" s="5">
        <v>13.401868859979899</v>
      </c>
      <c r="BS112" s="5">
        <f>0.5*0.2</f>
        <v>0.1</v>
      </c>
      <c r="BT112" s="5">
        <v>4.5258179261757823</v>
      </c>
      <c r="BU112" s="5" t="s">
        <v>164</v>
      </c>
      <c r="BV112" s="5">
        <f t="shared" si="74"/>
        <v>9.5000000000000001E-2</v>
      </c>
      <c r="BW112" s="5">
        <f t="shared" si="76"/>
        <v>9.5000000000000001E-2</v>
      </c>
      <c r="BX112" s="5">
        <f>0.5*0.19</f>
        <v>9.5000000000000001E-2</v>
      </c>
      <c r="BY112" s="5">
        <v>0.19043939959137526</v>
      </c>
      <c r="BZ112" s="5">
        <f>0.5*0.19</f>
        <v>9.5000000000000001E-2</v>
      </c>
      <c r="CA112" s="5">
        <f t="shared" si="71"/>
        <v>9.5000000000000001E-2</v>
      </c>
      <c r="CB112" s="5">
        <f>0.5*0.19</f>
        <v>9.5000000000000001E-2</v>
      </c>
      <c r="CC112" s="5">
        <f>0.5*0.19</f>
        <v>9.5000000000000001E-2</v>
      </c>
      <c r="CD112" s="5">
        <f t="shared" si="79"/>
        <v>9.5000000000000001E-2</v>
      </c>
      <c r="CE112" s="5">
        <v>0.29722991058421988</v>
      </c>
      <c r="CF112" s="5">
        <f>0.5*0.19</f>
        <v>9.5000000000000001E-2</v>
      </c>
      <c r="CG112" s="5">
        <f t="shared" si="80"/>
        <v>9.5000000000000001E-2</v>
      </c>
      <c r="CH112" s="5">
        <f t="shared" si="80"/>
        <v>9.5000000000000001E-2</v>
      </c>
      <c r="CI112" s="17" t="s">
        <v>158</v>
      </c>
      <c r="CJ112" s="17" t="s">
        <v>158</v>
      </c>
      <c r="CK112" s="17" t="s">
        <v>158</v>
      </c>
      <c r="CL112" s="17" t="s">
        <v>158</v>
      </c>
      <c r="CM112" s="17" t="s">
        <v>158</v>
      </c>
      <c r="CN112" s="17" t="s">
        <v>158</v>
      </c>
      <c r="CO112" s="17" t="s">
        <v>158</v>
      </c>
      <c r="CP112" s="17" t="s">
        <v>158</v>
      </c>
      <c r="CQ112" s="17" t="s">
        <v>158</v>
      </c>
      <c r="CR112" s="17" t="s">
        <v>158</v>
      </c>
      <c r="CS112" s="17" t="s">
        <v>158</v>
      </c>
      <c r="CT112" s="17" t="s">
        <v>158</v>
      </c>
      <c r="CU112" s="17" t="s">
        <v>158</v>
      </c>
      <c r="CV112" s="17" t="s">
        <v>158</v>
      </c>
      <c r="CW112" s="17" t="s">
        <v>158</v>
      </c>
      <c r="CX112" s="17" t="s">
        <v>158</v>
      </c>
      <c r="CY112" s="67" t="s">
        <v>158</v>
      </c>
    </row>
    <row r="113" spans="1:103" x14ac:dyDescent="0.2">
      <c r="A113" s="32" t="s">
        <v>7</v>
      </c>
      <c r="B113" s="14" t="s">
        <v>7</v>
      </c>
      <c r="C113" s="14" t="s">
        <v>19</v>
      </c>
      <c r="G113" s="4">
        <v>43334</v>
      </c>
      <c r="H113" s="16">
        <v>2018</v>
      </c>
      <c r="I113" s="135" t="s">
        <v>33</v>
      </c>
      <c r="J113" s="135">
        <v>12</v>
      </c>
      <c r="K113" s="136">
        <v>0.19475701743537557</v>
      </c>
      <c r="L113" s="5">
        <v>3.1048805815160994</v>
      </c>
      <c r="M113" s="5">
        <v>3.3443509615384615E-2</v>
      </c>
      <c r="N113" s="5">
        <v>0.1867938701923077</v>
      </c>
      <c r="O113" s="5">
        <v>1.2864583333333333</v>
      </c>
      <c r="P113" s="5">
        <v>1.289042467948718</v>
      </c>
      <c r="Q113" s="5">
        <v>3.9413812099358978</v>
      </c>
      <c r="R113" s="5">
        <v>3.5015024038461533</v>
      </c>
      <c r="S113" s="5">
        <v>1.3199368990384617</v>
      </c>
      <c r="T113" s="5">
        <v>11.525115184294872</v>
      </c>
      <c r="U113" s="17">
        <f t="shared" si="78"/>
        <v>263.64945307732438</v>
      </c>
      <c r="V113" s="5">
        <f>0.5*0.013</f>
        <v>6.4999999999999997E-3</v>
      </c>
      <c r="W113" s="5">
        <v>0.10905329303773273</v>
      </c>
      <c r="X113" s="5">
        <v>4.162210532268891E-2</v>
      </c>
      <c r="Y113" s="5">
        <v>7.7374588843606984E-2</v>
      </c>
      <c r="Z113" s="5">
        <f>0.5*0.013</f>
        <v>6.4999999999999997E-3</v>
      </c>
      <c r="AA113" s="5">
        <v>2.3607455072157862E-2</v>
      </c>
      <c r="AB113" s="5">
        <v>1.4672604671521389E-2</v>
      </c>
      <c r="AC113" s="5">
        <f t="shared" si="62"/>
        <v>0.05</v>
      </c>
      <c r="AD113" s="5">
        <v>0.26633004694770784</v>
      </c>
      <c r="AE113" s="17">
        <f t="shared" si="63"/>
        <v>0.2728300469477079</v>
      </c>
      <c r="AF113" s="5">
        <v>0.11</v>
      </c>
      <c r="AG113" s="18">
        <f>(AF113/K113)*5</f>
        <v>2.8240317460319568</v>
      </c>
      <c r="AH113" s="18">
        <v>2.6906177306797621</v>
      </c>
      <c r="AI113" s="5">
        <f t="shared" si="64"/>
        <v>0.1</v>
      </c>
      <c r="AJ113" s="5">
        <f t="shared" si="64"/>
        <v>0.1</v>
      </c>
      <c r="AK113" s="5">
        <f t="shared" si="65"/>
        <v>0.01</v>
      </c>
      <c r="AL113" s="5">
        <v>0.22055656069613164</v>
      </c>
      <c r="AM113" s="5">
        <f t="shared" si="66"/>
        <v>0.05</v>
      </c>
      <c r="AN113" s="5">
        <v>0.34625656931162224</v>
      </c>
      <c r="AO113" s="5">
        <v>0.31762442204416869</v>
      </c>
      <c r="AP113" s="5">
        <f t="shared" si="67"/>
        <v>2.5000000000000001E-2</v>
      </c>
      <c r="AQ113" s="5">
        <v>0.29726314580282009</v>
      </c>
      <c r="AR113" s="5">
        <v>0.13838488268573562</v>
      </c>
      <c r="AS113" s="5" t="s">
        <v>158</v>
      </c>
      <c r="AT113" s="5" t="s">
        <v>158</v>
      </c>
      <c r="AU113" s="5" t="s">
        <v>158</v>
      </c>
      <c r="AV113" s="5" t="s">
        <v>158</v>
      </c>
      <c r="AW113" s="5" t="s">
        <v>158</v>
      </c>
      <c r="BC113" s="5">
        <v>110</v>
      </c>
      <c r="BD113" s="5">
        <f t="shared" si="68"/>
        <v>0.1</v>
      </c>
      <c r="BE113" s="5">
        <f t="shared" si="69"/>
        <v>0.05</v>
      </c>
      <c r="BF113" s="5">
        <v>0.11992872807017541</v>
      </c>
      <c r="BG113" s="5">
        <f>0.5*0.2</f>
        <v>0.1</v>
      </c>
      <c r="BH113" s="5">
        <v>0.1209566885964912</v>
      </c>
      <c r="BI113" s="5">
        <v>15.220908717105264</v>
      </c>
      <c r="BJ113" s="5">
        <v>7.2399259868421053</v>
      </c>
      <c r="BK113" s="5">
        <f t="shared" si="75"/>
        <v>2.5000000000000001E-2</v>
      </c>
      <c r="BL113" s="5">
        <v>7.1628632127192988</v>
      </c>
      <c r="BM113" s="5">
        <v>0.30800095942982458</v>
      </c>
      <c r="BN113" s="17">
        <v>110</v>
      </c>
      <c r="BO113" s="5">
        <v>8.6041031748993202</v>
      </c>
      <c r="BP113" s="5" t="s">
        <v>162</v>
      </c>
      <c r="BQ113" s="5">
        <f>0.5*0.2</f>
        <v>0.1</v>
      </c>
      <c r="BR113" s="5">
        <v>10.134069264602326</v>
      </c>
      <c r="BS113" s="5">
        <f>0.5*0.2</f>
        <v>0.1</v>
      </c>
      <c r="BT113" s="5">
        <v>4.9002545579458987</v>
      </c>
      <c r="BU113" s="5" t="s">
        <v>164</v>
      </c>
      <c r="BV113" s="5">
        <f t="shared" si="74"/>
        <v>9.5000000000000001E-2</v>
      </c>
      <c r="BW113" s="5">
        <f t="shared" si="76"/>
        <v>9.5000000000000001E-2</v>
      </c>
      <c r="BX113" s="5">
        <v>0.49815478449815925</v>
      </c>
      <c r="BY113" s="5">
        <v>1.0733534955207105</v>
      </c>
      <c r="BZ113" s="5">
        <v>2.0290723160295001</v>
      </c>
      <c r="CA113" s="5">
        <f t="shared" si="71"/>
        <v>9.5000000000000001E-2</v>
      </c>
      <c r="CB113" s="5">
        <v>0.1882620640084588</v>
      </c>
      <c r="CC113" s="5">
        <v>9.6848002116386294</v>
      </c>
      <c r="CD113" s="5">
        <f t="shared" si="79"/>
        <v>9.5000000000000001E-2</v>
      </c>
      <c r="CE113" s="5">
        <v>1.0108297661485108</v>
      </c>
      <c r="CF113" s="5">
        <f>0.5*0.19</f>
        <v>9.5000000000000001E-2</v>
      </c>
      <c r="CG113" s="5">
        <f t="shared" si="80"/>
        <v>9.5000000000000001E-2</v>
      </c>
      <c r="CH113" s="5">
        <f t="shared" si="80"/>
        <v>9.5000000000000001E-2</v>
      </c>
      <c r="CI113" s="17" t="s">
        <v>158</v>
      </c>
      <c r="CJ113" s="17" t="s">
        <v>158</v>
      </c>
      <c r="CK113" s="17" t="s">
        <v>158</v>
      </c>
      <c r="CL113" s="17" t="s">
        <v>158</v>
      </c>
      <c r="CM113" s="17" t="s">
        <v>158</v>
      </c>
      <c r="CN113" s="17" t="s">
        <v>158</v>
      </c>
      <c r="CO113" s="17" t="s">
        <v>158</v>
      </c>
      <c r="CP113" s="17" t="s">
        <v>158</v>
      </c>
      <c r="CQ113" s="17" t="s">
        <v>158</v>
      </c>
      <c r="CR113" s="17" t="s">
        <v>158</v>
      </c>
      <c r="CS113" s="17" t="s">
        <v>158</v>
      </c>
      <c r="CT113" s="17" t="s">
        <v>158</v>
      </c>
      <c r="CU113" s="17" t="s">
        <v>158</v>
      </c>
      <c r="CV113" s="17" t="s">
        <v>158</v>
      </c>
      <c r="CW113" s="17" t="s">
        <v>158</v>
      </c>
      <c r="CX113" s="17" t="s">
        <v>158</v>
      </c>
      <c r="CY113" s="67" t="s">
        <v>158</v>
      </c>
    </row>
    <row r="114" spans="1:103" x14ac:dyDescent="0.2">
      <c r="A114" s="32" t="s">
        <v>8</v>
      </c>
      <c r="B114" s="14" t="s">
        <v>8</v>
      </c>
      <c r="C114" s="14" t="s">
        <v>19</v>
      </c>
      <c r="G114" s="4">
        <v>43334</v>
      </c>
      <c r="H114" s="16">
        <v>2018</v>
      </c>
      <c r="I114" s="135" t="s">
        <v>33</v>
      </c>
      <c r="J114" s="135">
        <v>11</v>
      </c>
      <c r="K114" s="136">
        <v>0.23712415820924732</v>
      </c>
      <c r="L114" s="5">
        <v>3.2128514056224877</v>
      </c>
      <c r="M114" s="5">
        <f>0.5*0.015</f>
        <v>7.4999999999999997E-3</v>
      </c>
      <c r="N114" s="5">
        <v>5.5980098541203747E-2</v>
      </c>
      <c r="O114" s="5">
        <v>0.55810066660226065</v>
      </c>
      <c r="P114" s="5">
        <v>0.54307796348178916</v>
      </c>
      <c r="Q114" s="5">
        <v>2.3768090039609695</v>
      </c>
      <c r="R114" s="5">
        <v>1.8690947734518404</v>
      </c>
      <c r="S114" s="5">
        <v>0.9400106269925611</v>
      </c>
      <c r="T114" s="5">
        <v>6.3430731330306243</v>
      </c>
      <c r="U114" s="17">
        <f t="shared" si="78"/>
        <v>122.45684314510211</v>
      </c>
      <c r="V114" s="5">
        <f>0.5*0.013</f>
        <v>6.4999999999999997E-3</v>
      </c>
      <c r="W114" s="5">
        <v>8.5320401868538995E-2</v>
      </c>
      <c r="X114" s="5">
        <v>2.7288006481420379E-2</v>
      </c>
      <c r="Y114" s="5">
        <v>3.5716764272918165E-2</v>
      </c>
      <c r="Z114" s="5">
        <f>0.5*0.013</f>
        <v>6.4999999999999997E-3</v>
      </c>
      <c r="AA114" s="5">
        <f>0.5*0.019</f>
        <v>9.4999999999999998E-3</v>
      </c>
      <c r="AB114" s="5">
        <f>0.5*0.013</f>
        <v>6.4999999999999997E-3</v>
      </c>
      <c r="AC114" s="5">
        <f t="shared" si="62"/>
        <v>0.05</v>
      </c>
      <c r="AD114" s="5">
        <v>0.14832517262287753</v>
      </c>
      <c r="AE114" s="17">
        <f t="shared" si="63"/>
        <v>0.17082517262287755</v>
      </c>
      <c r="AF114" s="5">
        <v>8.8947927736450581E-3</v>
      </c>
      <c r="AG114" s="18">
        <f>(AF114/K114)*5</f>
        <v>0.18755560042507263</v>
      </c>
      <c r="AH114" s="18">
        <v>1.6832380114386272</v>
      </c>
      <c r="AI114" s="5">
        <f t="shared" si="64"/>
        <v>0.1</v>
      </c>
      <c r="AJ114" s="5">
        <f t="shared" si="64"/>
        <v>0.1</v>
      </c>
      <c r="AK114" s="5">
        <f t="shared" si="65"/>
        <v>0.01</v>
      </c>
      <c r="AL114" s="5">
        <f>0.5*0.1</f>
        <v>0.05</v>
      </c>
      <c r="AM114" s="5">
        <f t="shared" si="66"/>
        <v>0.05</v>
      </c>
      <c r="AN114" s="5">
        <f>0.5*0.1</f>
        <v>0.05</v>
      </c>
      <c r="AO114" s="5">
        <f>0.5*0.2</f>
        <v>0.1</v>
      </c>
      <c r="AP114" s="5">
        <f t="shared" si="67"/>
        <v>2.5000000000000001E-2</v>
      </c>
      <c r="AQ114" s="5">
        <v>0.12673412523830471</v>
      </c>
      <c r="AR114" s="5">
        <v>9.1177592022290657E-2</v>
      </c>
      <c r="AS114" s="5" t="s">
        <v>158</v>
      </c>
      <c r="AT114" s="5" t="s">
        <v>158</v>
      </c>
      <c r="AU114" s="5" t="s">
        <v>158</v>
      </c>
      <c r="AV114" s="5" t="s">
        <v>158</v>
      </c>
      <c r="AW114" s="5" t="s">
        <v>158</v>
      </c>
      <c r="BC114" s="5">
        <v>49.335614170621341</v>
      </c>
      <c r="BD114" s="5">
        <f t="shared" si="68"/>
        <v>0.1</v>
      </c>
      <c r="BE114" s="5">
        <f t="shared" si="69"/>
        <v>0.05</v>
      </c>
      <c r="BF114" s="5">
        <f>0.5*0.02</f>
        <v>0.01</v>
      </c>
      <c r="BG114" s="5">
        <f>0.5*0.2</f>
        <v>0.1</v>
      </c>
      <c r="BH114" s="5">
        <v>6.8057241658389417E-2</v>
      </c>
      <c r="BI114" s="5">
        <v>6.0996578744067991</v>
      </c>
      <c r="BJ114" s="5">
        <v>1.3387043372696168</v>
      </c>
      <c r="BK114" s="5">
        <f t="shared" si="75"/>
        <v>2.5000000000000001E-2</v>
      </c>
      <c r="BL114" s="5">
        <v>3.4521943861972555</v>
      </c>
      <c r="BM114" s="5">
        <v>0.16623257182798071</v>
      </c>
      <c r="BN114" s="17">
        <v>90</v>
      </c>
      <c r="BO114" s="5">
        <v>7.7097330290307324</v>
      </c>
      <c r="BP114" s="5" t="s">
        <v>162</v>
      </c>
      <c r="BQ114" s="5">
        <v>1.6761666998479086</v>
      </c>
      <c r="BR114" s="5">
        <f>0.5*0.78</f>
        <v>0.39</v>
      </c>
      <c r="BS114" s="5">
        <v>3.6632518118324708</v>
      </c>
      <c r="BT114" s="5" t="s">
        <v>164</v>
      </c>
      <c r="BU114" s="5">
        <v>2.383050507567205</v>
      </c>
      <c r="BV114" s="5">
        <f t="shared" si="74"/>
        <v>9.5000000000000001E-2</v>
      </c>
      <c r="BW114" s="5">
        <f t="shared" si="76"/>
        <v>9.5000000000000001E-2</v>
      </c>
      <c r="BX114" s="5">
        <f>0.5*0.19</f>
        <v>9.5000000000000001E-2</v>
      </c>
      <c r="BY114" s="5">
        <v>0.30393927189143943</v>
      </c>
      <c r="BZ114" s="5">
        <f>0.5*0.19</f>
        <v>9.5000000000000001E-2</v>
      </c>
      <c r="CA114" s="5">
        <f t="shared" si="71"/>
        <v>9.5000000000000001E-2</v>
      </c>
      <c r="CB114" s="5">
        <f>0.5*0.19</f>
        <v>9.5000000000000001E-2</v>
      </c>
      <c r="CC114" s="5">
        <v>14.049977164756505</v>
      </c>
      <c r="CD114" s="5">
        <f t="shared" si="79"/>
        <v>9.5000000000000001E-2</v>
      </c>
      <c r="CE114" s="5">
        <v>0.40168947421446194</v>
      </c>
      <c r="CF114" s="5">
        <f>0.5*0.19</f>
        <v>9.5000000000000001E-2</v>
      </c>
      <c r="CG114" s="5">
        <f t="shared" si="80"/>
        <v>9.5000000000000001E-2</v>
      </c>
      <c r="CH114" s="5">
        <f t="shared" si="80"/>
        <v>9.5000000000000001E-2</v>
      </c>
      <c r="CI114" s="17" t="s">
        <v>158</v>
      </c>
      <c r="CJ114" s="17" t="s">
        <v>158</v>
      </c>
      <c r="CK114" s="17" t="s">
        <v>158</v>
      </c>
      <c r="CL114" s="17" t="s">
        <v>158</v>
      </c>
      <c r="CM114" s="17" t="s">
        <v>158</v>
      </c>
      <c r="CN114" s="17" t="s">
        <v>158</v>
      </c>
      <c r="CO114" s="17" t="s">
        <v>158</v>
      </c>
      <c r="CP114" s="17" t="s">
        <v>158</v>
      </c>
      <c r="CQ114" s="17" t="s">
        <v>158</v>
      </c>
      <c r="CR114" s="17" t="s">
        <v>158</v>
      </c>
      <c r="CS114" s="17" t="s">
        <v>158</v>
      </c>
      <c r="CT114" s="17" t="s">
        <v>158</v>
      </c>
      <c r="CU114" s="17" t="s">
        <v>158</v>
      </c>
      <c r="CV114" s="17" t="s">
        <v>158</v>
      </c>
      <c r="CW114" s="17" t="s">
        <v>158</v>
      </c>
      <c r="CX114" s="17" t="s">
        <v>158</v>
      </c>
      <c r="CY114" s="67" t="s">
        <v>158</v>
      </c>
    </row>
    <row r="115" spans="1:103" x14ac:dyDescent="0.2">
      <c r="A115" s="32" t="s">
        <v>32</v>
      </c>
      <c r="B115" s="14" t="s">
        <v>32</v>
      </c>
      <c r="C115" s="14" t="s">
        <v>31</v>
      </c>
      <c r="G115" s="16" t="s">
        <v>31</v>
      </c>
      <c r="H115" s="16">
        <v>2017</v>
      </c>
      <c r="I115" s="135" t="s">
        <v>3</v>
      </c>
      <c r="J115" s="135" t="s">
        <v>158</v>
      </c>
      <c r="K115" s="136" t="s">
        <v>158</v>
      </c>
      <c r="L115" s="5" t="s">
        <v>158</v>
      </c>
      <c r="M115" s="5">
        <v>1.4999999999999999E-2</v>
      </c>
      <c r="N115" s="5">
        <v>2.3E-2</v>
      </c>
      <c r="O115" s="5">
        <v>0.01</v>
      </c>
      <c r="P115" s="5">
        <v>0.01</v>
      </c>
      <c r="Q115" s="5">
        <v>5.0000000000000001E-3</v>
      </c>
      <c r="R115" s="5">
        <v>0.01</v>
      </c>
      <c r="S115" s="5">
        <v>5.0000000000000001E-3</v>
      </c>
      <c r="T115" s="5" t="s">
        <v>158</v>
      </c>
      <c r="U115" s="17" t="s">
        <v>158</v>
      </c>
      <c r="V115" s="5">
        <v>1.2999999999999999E-2</v>
      </c>
      <c r="W115" s="5">
        <v>0.01</v>
      </c>
      <c r="X115" s="5">
        <v>1.2999999999999999E-2</v>
      </c>
      <c r="Y115" s="5">
        <v>1.4999999999999999E-2</v>
      </c>
      <c r="Z115" s="5">
        <v>0.01</v>
      </c>
      <c r="AA115" s="5">
        <v>0.02</v>
      </c>
      <c r="AB115" s="5">
        <v>1.2999999999999999E-2</v>
      </c>
      <c r="AC115" s="5">
        <v>0.1</v>
      </c>
      <c r="AD115" s="5" t="s">
        <v>158</v>
      </c>
      <c r="AE115" s="17">
        <f t="shared" si="63"/>
        <v>8.4000000000000005E-2</v>
      </c>
      <c r="AF115" s="5">
        <v>0.3</v>
      </c>
      <c r="AG115" s="18" t="s">
        <v>158</v>
      </c>
      <c r="AH115" s="18">
        <v>0.2</v>
      </c>
      <c r="AI115" s="5">
        <v>0.2</v>
      </c>
      <c r="AJ115" s="5">
        <v>0.2</v>
      </c>
      <c r="AK115" s="5">
        <v>0.02</v>
      </c>
      <c r="AL115" s="5">
        <v>0.1</v>
      </c>
      <c r="AM115" s="5">
        <v>0.1</v>
      </c>
      <c r="AN115" s="5">
        <v>0.1</v>
      </c>
      <c r="AO115" s="5">
        <v>0.02</v>
      </c>
      <c r="AP115" s="5">
        <v>0.05</v>
      </c>
      <c r="AQ115" s="5">
        <v>0.1</v>
      </c>
      <c r="AR115" s="5">
        <v>0.05</v>
      </c>
      <c r="AS115" s="5" t="s">
        <v>158</v>
      </c>
      <c r="AT115" s="5" t="s">
        <v>158</v>
      </c>
      <c r="AU115" s="5" t="s">
        <v>158</v>
      </c>
      <c r="AV115" s="5" t="s">
        <v>158</v>
      </c>
      <c r="AW115" s="5" t="s">
        <v>158</v>
      </c>
      <c r="BC115" s="5">
        <v>0.2</v>
      </c>
      <c r="BD115" s="5">
        <v>0.2</v>
      </c>
      <c r="BE115" s="5">
        <v>0.21</v>
      </c>
      <c r="BF115" s="5">
        <v>0.02</v>
      </c>
      <c r="BG115" s="5">
        <v>0.2</v>
      </c>
      <c r="BH115" s="5">
        <v>0.05</v>
      </c>
      <c r="BI115" s="5">
        <v>0.1</v>
      </c>
      <c r="BJ115" s="5">
        <v>0.1</v>
      </c>
      <c r="BK115" s="5">
        <v>0.05</v>
      </c>
      <c r="BL115" s="5">
        <v>0.1</v>
      </c>
      <c r="BM115" s="5">
        <v>0.05</v>
      </c>
      <c r="BN115" s="17">
        <v>0.03</v>
      </c>
      <c r="BO115" s="5">
        <v>0.04</v>
      </c>
      <c r="BP115" s="5">
        <v>0.4</v>
      </c>
      <c r="BQ115" s="5">
        <v>0.1</v>
      </c>
      <c r="BR115" s="5">
        <v>2.2999999999999998</v>
      </c>
      <c r="BS115" s="5">
        <v>0.2</v>
      </c>
      <c r="BT115" s="5">
        <v>1.7</v>
      </c>
      <c r="BU115" s="5">
        <v>2.5</v>
      </c>
      <c r="BV115" s="5">
        <v>0.2</v>
      </c>
      <c r="BW115" s="5">
        <v>0.2</v>
      </c>
      <c r="BX115" s="5">
        <v>0.2</v>
      </c>
      <c r="BY115" s="5">
        <v>0.2</v>
      </c>
      <c r="BZ115" s="5">
        <v>0.2</v>
      </c>
      <c r="CA115" s="5">
        <v>0.2</v>
      </c>
      <c r="CB115" s="5">
        <v>0.2</v>
      </c>
      <c r="CC115" s="5">
        <v>0.2</v>
      </c>
      <c r="CD115" s="5">
        <v>0.5</v>
      </c>
      <c r="CE115" s="5">
        <v>0.2</v>
      </c>
      <c r="CF115" s="5">
        <v>0.2</v>
      </c>
      <c r="CG115" s="5">
        <v>0.2</v>
      </c>
      <c r="CH115" s="5">
        <v>0.2</v>
      </c>
      <c r="CI115" s="17" t="s">
        <v>158</v>
      </c>
      <c r="CJ115" s="17" t="s">
        <v>158</v>
      </c>
      <c r="CK115" s="17" t="s">
        <v>158</v>
      </c>
      <c r="CL115" s="17" t="s">
        <v>158</v>
      </c>
      <c r="CM115" s="17" t="s">
        <v>158</v>
      </c>
      <c r="CN115" s="17" t="s">
        <v>158</v>
      </c>
      <c r="CO115" s="17" t="s">
        <v>158</v>
      </c>
      <c r="CP115" s="17" t="s">
        <v>158</v>
      </c>
      <c r="CQ115" s="17" t="s">
        <v>158</v>
      </c>
      <c r="CR115" s="17" t="s">
        <v>158</v>
      </c>
      <c r="CS115" s="17" t="s">
        <v>158</v>
      </c>
      <c r="CT115" s="17" t="s">
        <v>158</v>
      </c>
      <c r="CU115" s="17" t="s">
        <v>158</v>
      </c>
      <c r="CV115" s="17" t="s">
        <v>158</v>
      </c>
      <c r="CW115" s="17" t="s">
        <v>158</v>
      </c>
      <c r="CX115" s="17" t="s">
        <v>158</v>
      </c>
      <c r="CY115" s="67" t="s">
        <v>158</v>
      </c>
    </row>
    <row r="116" spans="1:103" x14ac:dyDescent="0.2">
      <c r="A116" s="32" t="s">
        <v>4</v>
      </c>
      <c r="B116" s="14" t="s">
        <v>4</v>
      </c>
      <c r="C116" s="14" t="s">
        <v>20</v>
      </c>
      <c r="G116" s="28">
        <v>42972</v>
      </c>
      <c r="H116" s="16">
        <v>2017</v>
      </c>
      <c r="I116" s="135" t="s">
        <v>33</v>
      </c>
      <c r="J116" s="135">
        <v>10</v>
      </c>
      <c r="K116" s="136">
        <v>1.0017439266740096</v>
      </c>
      <c r="L116" s="5">
        <v>3.963198867657407</v>
      </c>
      <c r="M116" s="5">
        <v>0.38505105900151287</v>
      </c>
      <c r="N116" s="5">
        <v>0.86286403177004534</v>
      </c>
      <c r="O116" s="5">
        <v>1.9087651285930409</v>
      </c>
      <c r="P116" s="5">
        <v>1.4936838124054463</v>
      </c>
      <c r="Q116" s="5">
        <v>2.3789759833585475</v>
      </c>
      <c r="R116" s="5">
        <v>2.476645234493192</v>
      </c>
      <c r="S116" s="5">
        <v>0.72621974281391832</v>
      </c>
      <c r="T116" s="5">
        <v>10.232204992435705</v>
      </c>
      <c r="U116" s="17">
        <f t="shared" si="78"/>
        <v>43.616541849392085</v>
      </c>
      <c r="V116" s="5">
        <f t="shared" ref="V116:V121" si="81">0.5*0.013</f>
        <v>6.4999999999999997E-3</v>
      </c>
      <c r="W116" s="5">
        <v>0.11424786112344715</v>
      </c>
      <c r="X116" s="5">
        <v>2.8353279637652096E-2</v>
      </c>
      <c r="Y116" s="5">
        <v>0.13238763639965007</v>
      </c>
      <c r="Z116" s="5">
        <v>1.814435125415606E-2</v>
      </c>
      <c r="AA116" s="5">
        <f>0.5*0.02</f>
        <v>0.01</v>
      </c>
      <c r="AB116" s="5">
        <v>1.8173082622835412E-2</v>
      </c>
      <c r="AC116" s="5" t="s">
        <v>158</v>
      </c>
      <c r="AD116" s="5" t="s">
        <v>158</v>
      </c>
      <c r="AE116" s="17">
        <f t="shared" si="63"/>
        <v>0.30966185978358474</v>
      </c>
      <c r="AF116" s="5">
        <f t="shared" ref="AF116:AF124" si="82">0.5*0.03</f>
        <v>1.4999999999999999E-2</v>
      </c>
      <c r="AG116" s="18" t="s">
        <v>158</v>
      </c>
      <c r="AH116" s="18">
        <v>13.96996596955336</v>
      </c>
      <c r="AI116" s="5">
        <f t="shared" ref="AI116:AJ127" si="83">0.5*0.2</f>
        <v>0.1</v>
      </c>
      <c r="AJ116" s="5">
        <f t="shared" si="83"/>
        <v>0.1</v>
      </c>
      <c r="AK116" s="5">
        <f>0.5*0.02</f>
        <v>0.01</v>
      </c>
      <c r="AL116" s="5">
        <f t="shared" ref="AL116:AM127" si="84">0.5*0.1</f>
        <v>0.05</v>
      </c>
      <c r="AM116" s="5">
        <f t="shared" si="84"/>
        <v>0.05</v>
      </c>
      <c r="AN116" s="5">
        <v>0.47909368393338519</v>
      </c>
      <c r="AO116" s="5">
        <v>0.12785781089131476</v>
      </c>
      <c r="AP116" s="5">
        <f t="shared" ref="AP116:AP127" si="85">0.5*0.05</f>
        <v>2.5000000000000001E-2</v>
      </c>
      <c r="AQ116" s="5">
        <v>0.40086082097470116</v>
      </c>
      <c r="AR116" s="5">
        <v>5.9450031043940935E-2</v>
      </c>
      <c r="AS116" s="5" t="s">
        <v>158</v>
      </c>
      <c r="AT116" s="5" t="s">
        <v>158</v>
      </c>
      <c r="AU116" s="5" t="s">
        <v>158</v>
      </c>
      <c r="AV116" s="5" t="s">
        <v>158</v>
      </c>
      <c r="AW116" s="5" t="s">
        <v>158</v>
      </c>
      <c r="BC116" s="5">
        <v>200</v>
      </c>
      <c r="BD116" s="5">
        <f t="shared" ref="BD116:BD127" si="86">0.5*0.2</f>
        <v>0.1</v>
      </c>
      <c r="BE116" s="5">
        <f>0.5*0.1</f>
        <v>0.05</v>
      </c>
      <c r="BF116" s="5">
        <v>0.42399999999999999</v>
      </c>
      <c r="BG116" s="5">
        <f t="shared" ref="BG116:BG127" si="87">0.5*0.2</f>
        <v>0.1</v>
      </c>
      <c r="BH116" s="5">
        <v>0.44139515279241309</v>
      </c>
      <c r="BI116" s="5">
        <v>7.2784931506849313</v>
      </c>
      <c r="BJ116" s="5">
        <v>2.08</v>
      </c>
      <c r="BK116" s="5">
        <f>0.5*0.05</f>
        <v>2.5000000000000001E-2</v>
      </c>
      <c r="BL116" s="5">
        <v>5.6167123287671235</v>
      </c>
      <c r="BM116" s="5">
        <v>0.21631401475237091</v>
      </c>
      <c r="BN116" s="17">
        <v>88</v>
      </c>
      <c r="BO116" s="5">
        <v>1.4098738861549749</v>
      </c>
      <c r="BP116" s="5">
        <v>1.2216774031039999</v>
      </c>
      <c r="BQ116" s="5">
        <v>0.50420471765517094</v>
      </c>
      <c r="BR116" s="5">
        <v>10.312670270675087</v>
      </c>
      <c r="BS116" s="5">
        <f t="shared" ref="BS116:BS126" si="88">0.5*0.2</f>
        <v>0.1</v>
      </c>
      <c r="BT116" s="5">
        <v>6.766200283945385</v>
      </c>
      <c r="BU116" s="5">
        <v>5.3492408569426493</v>
      </c>
      <c r="BV116" s="5">
        <f>0.5*0.2</f>
        <v>0.1</v>
      </c>
      <c r="BW116" s="5">
        <f>0.5*0.2</f>
        <v>0.1</v>
      </c>
      <c r="BX116" s="5">
        <v>1.0413250783549901</v>
      </c>
      <c r="BY116" s="5">
        <v>0.90188657518862725</v>
      </c>
      <c r="BZ116" s="5">
        <v>3.2612570967417902</v>
      </c>
      <c r="CA116" s="5">
        <f>0.5*0.2</f>
        <v>0.1</v>
      </c>
      <c r="CB116" s="5">
        <f>0.5*0.2</f>
        <v>0.1</v>
      </c>
      <c r="CC116" s="5">
        <f>0.5*0.2</f>
        <v>0.1</v>
      </c>
      <c r="CD116" s="5">
        <v>0.39737139673571137</v>
      </c>
      <c r="CE116" s="5">
        <v>3.2062937451879505</v>
      </c>
      <c r="CF116" s="5">
        <f t="shared" ref="CF116:CH127" si="89">0.5*0.2</f>
        <v>0.1</v>
      </c>
      <c r="CG116" s="5">
        <f t="shared" si="89"/>
        <v>0.1</v>
      </c>
      <c r="CH116" s="5">
        <f t="shared" si="89"/>
        <v>0.1</v>
      </c>
      <c r="CI116" s="17" t="s">
        <v>158</v>
      </c>
      <c r="CJ116" s="17" t="s">
        <v>158</v>
      </c>
      <c r="CK116" s="17" t="s">
        <v>158</v>
      </c>
      <c r="CL116" s="17" t="s">
        <v>158</v>
      </c>
      <c r="CM116" s="17" t="s">
        <v>158</v>
      </c>
      <c r="CN116" s="17" t="s">
        <v>158</v>
      </c>
      <c r="CO116" s="17" t="s">
        <v>158</v>
      </c>
      <c r="CP116" s="17" t="s">
        <v>158</v>
      </c>
      <c r="CQ116" s="17" t="s">
        <v>158</v>
      </c>
      <c r="CR116" s="17" t="s">
        <v>158</v>
      </c>
      <c r="CS116" s="17" t="s">
        <v>158</v>
      </c>
      <c r="CT116" s="17" t="s">
        <v>158</v>
      </c>
      <c r="CU116" s="17" t="s">
        <v>158</v>
      </c>
      <c r="CV116" s="17" t="s">
        <v>158</v>
      </c>
      <c r="CW116" s="17" t="s">
        <v>158</v>
      </c>
      <c r="CX116" s="17" t="s">
        <v>158</v>
      </c>
      <c r="CY116" s="67" t="s">
        <v>158</v>
      </c>
    </row>
    <row r="117" spans="1:103" x14ac:dyDescent="0.2">
      <c r="A117" s="33" t="s">
        <v>82</v>
      </c>
      <c r="B117" s="55" t="s">
        <v>82</v>
      </c>
      <c r="C117" s="14" t="s">
        <v>20</v>
      </c>
      <c r="E117" s="8"/>
      <c r="F117" s="9"/>
      <c r="G117" s="2">
        <v>42974</v>
      </c>
      <c r="H117" s="1">
        <v>2017</v>
      </c>
      <c r="I117" s="142" t="s">
        <v>33</v>
      </c>
      <c r="J117" s="142">
        <v>10</v>
      </c>
      <c r="K117" s="136">
        <v>0.84397163120565966</v>
      </c>
      <c r="L117" s="5">
        <v>5.7117117117116827</v>
      </c>
      <c r="M117" s="6">
        <v>0.40412450611930228</v>
      </c>
      <c r="N117" s="6">
        <v>0.85238026404548517</v>
      </c>
      <c r="O117" s="6">
        <v>2.8678905271273005</v>
      </c>
      <c r="P117" s="6">
        <v>2.1854004047412547</v>
      </c>
      <c r="Q117" s="6">
        <v>4.5955815746362143</v>
      </c>
      <c r="R117" s="6">
        <v>4.2550544473354526</v>
      </c>
      <c r="S117" s="6">
        <v>1.9516141466705212</v>
      </c>
      <c r="T117" s="6">
        <v>17.112045870675534</v>
      </c>
      <c r="U117" s="17">
        <f t="shared" si="78"/>
        <v>88.430966835998674</v>
      </c>
      <c r="V117" s="6">
        <f t="shared" si="81"/>
        <v>6.4999999999999997E-3</v>
      </c>
      <c r="W117" s="6">
        <v>0.15222446627406813</v>
      </c>
      <c r="X117" s="6">
        <v>6.388941447891397E-2</v>
      </c>
      <c r="Y117" s="6">
        <v>7.6815567958729944E-2</v>
      </c>
      <c r="Z117" s="6">
        <v>1.3629488301511847E-2</v>
      </c>
      <c r="AA117" s="6">
        <v>2.311500386978857E-2</v>
      </c>
      <c r="AB117" s="6">
        <v>2.290590432820331E-2</v>
      </c>
      <c r="AC117" s="6" t="s">
        <v>158</v>
      </c>
      <c r="AD117" s="6" t="s">
        <v>158</v>
      </c>
      <c r="AE117" s="17">
        <f t="shared" si="63"/>
        <v>0.34545035690970394</v>
      </c>
      <c r="AF117" s="6">
        <f t="shared" si="82"/>
        <v>1.4999999999999999E-2</v>
      </c>
      <c r="AG117" s="18" t="s">
        <v>158</v>
      </c>
      <c r="AH117" s="23">
        <v>5.0439121756487024</v>
      </c>
      <c r="AI117" s="6">
        <f t="shared" si="83"/>
        <v>0.1</v>
      </c>
      <c r="AJ117" s="6">
        <f t="shared" si="83"/>
        <v>0.1</v>
      </c>
      <c r="AK117" s="6">
        <f>0.5*0.02</f>
        <v>0.01</v>
      </c>
      <c r="AL117" s="6">
        <f t="shared" si="84"/>
        <v>0.05</v>
      </c>
      <c r="AM117" s="6">
        <f t="shared" si="84"/>
        <v>0.05</v>
      </c>
      <c r="AN117" s="6">
        <v>0.15537924151696605</v>
      </c>
      <c r="AO117" s="6">
        <v>3.3932135728542916E-2</v>
      </c>
      <c r="AP117" s="6">
        <f t="shared" si="85"/>
        <v>2.5000000000000001E-2</v>
      </c>
      <c r="AQ117" s="6">
        <v>0.22111776447105788</v>
      </c>
      <c r="AR117" s="6">
        <v>8.8223552894211577E-2</v>
      </c>
      <c r="AS117" s="5" t="s">
        <v>158</v>
      </c>
      <c r="AT117" s="5" t="s">
        <v>158</v>
      </c>
      <c r="AU117" s="5" t="s">
        <v>158</v>
      </c>
      <c r="AV117" s="5" t="s">
        <v>158</v>
      </c>
      <c r="AW117" s="5" t="s">
        <v>158</v>
      </c>
      <c r="BC117" s="6">
        <v>92.8</v>
      </c>
      <c r="BD117" s="6">
        <f t="shared" si="86"/>
        <v>0.1</v>
      </c>
      <c r="BE117" s="6">
        <v>0.14780265725169561</v>
      </c>
      <c r="BF117" s="6">
        <v>0.59799999999999998</v>
      </c>
      <c r="BG117" s="6">
        <f t="shared" si="87"/>
        <v>0.1</v>
      </c>
      <c r="BH117" s="6">
        <v>0.58801821053609582</v>
      </c>
      <c r="BI117" s="6">
        <v>4.856722103502741</v>
      </c>
      <c r="BJ117" s="6">
        <v>1.42</v>
      </c>
      <c r="BK117" s="6">
        <f>0.5*0.05</f>
        <v>2.5000000000000001E-2</v>
      </c>
      <c r="BL117" s="6">
        <v>4.227687447737619</v>
      </c>
      <c r="BM117" s="6">
        <v>0.37840936541856357</v>
      </c>
      <c r="BN117" s="24">
        <v>170</v>
      </c>
      <c r="BO117" s="6">
        <v>3.7624004719882644</v>
      </c>
      <c r="BP117" s="6">
        <v>7.8707427292704137</v>
      </c>
      <c r="BQ117" s="6">
        <v>1.7584638960296295</v>
      </c>
      <c r="BR117" s="6">
        <v>30.164602257370525</v>
      </c>
      <c r="BS117" s="6">
        <f t="shared" si="88"/>
        <v>0.1</v>
      </c>
      <c r="BT117" s="6">
        <v>35.690011421399547</v>
      </c>
      <c r="BU117" s="6">
        <v>8.9233797213010924</v>
      </c>
      <c r="BV117" s="6">
        <v>0.63484220279747672</v>
      </c>
      <c r="BW117" s="6">
        <v>0.653732724013382</v>
      </c>
      <c r="BX117" s="6">
        <v>4.8717100444812553</v>
      </c>
      <c r="BY117" s="6">
        <v>3.8344688375677043</v>
      </c>
      <c r="BZ117" s="6">
        <v>2.1170775053431505</v>
      </c>
      <c r="CA117" s="6">
        <f t="shared" ref="CA117:CA127" si="90">0.5*0.2</f>
        <v>0.1</v>
      </c>
      <c r="CB117" s="6">
        <v>0.77533309429359543</v>
      </c>
      <c r="CC117" s="6">
        <f>0.5*0.2</f>
        <v>0.1</v>
      </c>
      <c r="CD117" s="6">
        <v>0.72246374011759229</v>
      </c>
      <c r="CE117" s="6">
        <v>5.6576202427395055</v>
      </c>
      <c r="CF117" s="6">
        <f t="shared" si="89"/>
        <v>0.1</v>
      </c>
      <c r="CG117" s="6">
        <f t="shared" si="89"/>
        <v>0.1</v>
      </c>
      <c r="CH117" s="6">
        <f t="shared" si="89"/>
        <v>0.1</v>
      </c>
      <c r="CI117" s="17" t="s">
        <v>158</v>
      </c>
      <c r="CJ117" s="17" t="s">
        <v>158</v>
      </c>
      <c r="CK117" s="17" t="s">
        <v>158</v>
      </c>
      <c r="CL117" s="17" t="s">
        <v>158</v>
      </c>
      <c r="CM117" s="17" t="s">
        <v>158</v>
      </c>
      <c r="CN117" s="17" t="s">
        <v>158</v>
      </c>
      <c r="CO117" s="17" t="s">
        <v>158</v>
      </c>
      <c r="CP117" s="17" t="s">
        <v>158</v>
      </c>
      <c r="CQ117" s="17" t="s">
        <v>158</v>
      </c>
      <c r="CR117" s="17" t="s">
        <v>158</v>
      </c>
      <c r="CS117" s="17" t="s">
        <v>158</v>
      </c>
      <c r="CT117" s="17" t="s">
        <v>158</v>
      </c>
      <c r="CU117" s="17" t="s">
        <v>158</v>
      </c>
      <c r="CV117" s="17" t="s">
        <v>158</v>
      </c>
      <c r="CW117" s="17" t="s">
        <v>158</v>
      </c>
      <c r="CX117" s="17" t="s">
        <v>158</v>
      </c>
      <c r="CY117" s="67" t="s">
        <v>158</v>
      </c>
    </row>
    <row r="118" spans="1:103" x14ac:dyDescent="0.2">
      <c r="A118" s="33" t="s">
        <v>112</v>
      </c>
      <c r="B118" s="55" t="s">
        <v>24</v>
      </c>
      <c r="C118" s="14" t="s">
        <v>20</v>
      </c>
      <c r="E118" s="8"/>
      <c r="F118" s="9"/>
      <c r="G118" s="2">
        <v>42968</v>
      </c>
      <c r="H118" s="16">
        <v>2017</v>
      </c>
      <c r="I118" s="135" t="s">
        <v>33</v>
      </c>
      <c r="J118" s="135">
        <v>10</v>
      </c>
      <c r="K118" s="136">
        <v>0.71412876290924521</v>
      </c>
      <c r="L118" s="5">
        <v>5.2290076335878037</v>
      </c>
      <c r="M118" s="6">
        <v>0.52636707098826807</v>
      </c>
      <c r="N118" s="6">
        <v>1.0365231656392921</v>
      </c>
      <c r="O118" s="6">
        <v>2.4791509246371048</v>
      </c>
      <c r="P118" s="6">
        <v>2.0918174587393121</v>
      </c>
      <c r="Q118" s="6">
        <v>3.6029081328295884</v>
      </c>
      <c r="R118" s="6">
        <v>3.4178067210180951</v>
      </c>
      <c r="S118" s="6">
        <v>1.3863094054483993</v>
      </c>
      <c r="T118" s="6">
        <v>14.54088287930006</v>
      </c>
      <c r="U118" s="17">
        <f t="shared" si="78"/>
        <v>87.162610352265233</v>
      </c>
      <c r="V118" s="6">
        <f t="shared" si="81"/>
        <v>6.4999999999999997E-3</v>
      </c>
      <c r="W118" s="6">
        <v>0.16378591113790711</v>
      </c>
      <c r="X118" s="6">
        <v>5.528589240371367E-2</v>
      </c>
      <c r="Y118" s="6">
        <v>5.5541953379057186E-2</v>
      </c>
      <c r="Z118" s="6">
        <f>0.5*0.013</f>
        <v>6.4999999999999997E-3</v>
      </c>
      <c r="AA118" s="6">
        <v>1.9693416830964955E-2</v>
      </c>
      <c r="AB118" s="6">
        <f>0.5*0.013</f>
        <v>6.4999999999999997E-3</v>
      </c>
      <c r="AC118" s="6" t="s">
        <v>158</v>
      </c>
      <c r="AD118" s="6" t="s">
        <v>158</v>
      </c>
      <c r="AE118" s="17">
        <f>SUM(V118,W118,Y118,X118,AB118,AA118)</f>
        <v>0.30730717375164296</v>
      </c>
      <c r="AF118" s="6">
        <f t="shared" si="82"/>
        <v>1.4999999999999999E-2</v>
      </c>
      <c r="AG118" s="18" t="s">
        <v>158</v>
      </c>
      <c r="AH118" s="23">
        <v>16.431795878312073</v>
      </c>
      <c r="AI118" s="6">
        <f t="shared" si="83"/>
        <v>0.1</v>
      </c>
      <c r="AJ118" s="6">
        <f t="shared" si="83"/>
        <v>0.1</v>
      </c>
      <c r="AK118" s="6">
        <v>2.19169120052339E-2</v>
      </c>
      <c r="AL118" s="6">
        <f t="shared" si="84"/>
        <v>0.05</v>
      </c>
      <c r="AM118" s="6">
        <f t="shared" si="84"/>
        <v>0.05</v>
      </c>
      <c r="AN118" s="6">
        <v>1.0350245338567226</v>
      </c>
      <c r="AO118" s="6">
        <v>0.23552502453385674</v>
      </c>
      <c r="AP118" s="6">
        <f t="shared" si="85"/>
        <v>2.5000000000000001E-2</v>
      </c>
      <c r="AQ118" s="6">
        <v>0.92792934249263992</v>
      </c>
      <c r="AR118" s="6">
        <v>4.8478900883218837E-2</v>
      </c>
      <c r="AS118" s="5" t="s">
        <v>158</v>
      </c>
      <c r="AT118" s="5" t="s">
        <v>158</v>
      </c>
      <c r="AU118" s="5" t="s">
        <v>158</v>
      </c>
      <c r="AV118" s="5" t="s">
        <v>158</v>
      </c>
      <c r="AW118" s="5" t="s">
        <v>158</v>
      </c>
      <c r="BC118" s="6">
        <v>213</v>
      </c>
      <c r="BD118" s="6">
        <f t="shared" si="86"/>
        <v>0.1</v>
      </c>
      <c r="BE118" s="6">
        <f t="shared" ref="BE118:BE127" si="91">0.5*0.1</f>
        <v>0.05</v>
      </c>
      <c r="BF118" s="6">
        <v>0.47</v>
      </c>
      <c r="BG118" s="6">
        <f t="shared" si="87"/>
        <v>0.1</v>
      </c>
      <c r="BH118" s="6">
        <v>0.57172696897374697</v>
      </c>
      <c r="BI118" s="6">
        <v>9.7253365155131242</v>
      </c>
      <c r="BJ118" s="6">
        <v>3.72</v>
      </c>
      <c r="BK118" s="6">
        <f>0.5*0.05</f>
        <v>2.5000000000000001E-2</v>
      </c>
      <c r="BL118" s="6">
        <v>8.9071694510739832</v>
      </c>
      <c r="BM118" s="6">
        <v>0.24847923627684962</v>
      </c>
      <c r="BN118" s="24">
        <v>310</v>
      </c>
      <c r="BO118" s="6">
        <v>1.5470928635688512</v>
      </c>
      <c r="BP118" s="6">
        <v>1.1857210555583342</v>
      </c>
      <c r="BQ118" s="6">
        <v>0.51396705079173755</v>
      </c>
      <c r="BR118" s="6">
        <v>8.577870090022321</v>
      </c>
      <c r="BS118" s="6">
        <f t="shared" si="88"/>
        <v>0.1</v>
      </c>
      <c r="BT118" s="6">
        <v>4.2280056209031889</v>
      </c>
      <c r="BU118" s="6">
        <f t="shared" ref="BU118:BU124" si="92">0.5*2.5</f>
        <v>1.25</v>
      </c>
      <c r="BV118" s="6">
        <v>0.64123531398228806</v>
      </c>
      <c r="BW118" s="6">
        <v>0.26080067244096022</v>
      </c>
      <c r="BX118" s="6">
        <v>1.3044144932466386</v>
      </c>
      <c r="BY118" s="6">
        <v>1.4848243284178557</v>
      </c>
      <c r="BZ118" s="6">
        <v>4.1993884650383499</v>
      </c>
      <c r="CA118" s="6">
        <f t="shared" si="90"/>
        <v>0.1</v>
      </c>
      <c r="CB118" s="6">
        <v>0.20420406553216125</v>
      </c>
      <c r="CC118" s="6">
        <v>25.886505919185705</v>
      </c>
      <c r="CD118" s="6">
        <v>0.1940735455380852</v>
      </c>
      <c r="CE118" s="6">
        <v>1.003616196104157</v>
      </c>
      <c r="CF118" s="6">
        <f t="shared" si="89"/>
        <v>0.1</v>
      </c>
      <c r="CG118" s="6">
        <f t="shared" si="89"/>
        <v>0.1</v>
      </c>
      <c r="CH118" s="6">
        <f t="shared" si="89"/>
        <v>0.1</v>
      </c>
      <c r="CI118" s="17" t="s">
        <v>158</v>
      </c>
      <c r="CJ118" s="17" t="s">
        <v>158</v>
      </c>
      <c r="CK118" s="17" t="s">
        <v>158</v>
      </c>
      <c r="CL118" s="17" t="s">
        <v>158</v>
      </c>
      <c r="CM118" s="17" t="s">
        <v>158</v>
      </c>
      <c r="CN118" s="17" t="s">
        <v>158</v>
      </c>
      <c r="CO118" s="17" t="s">
        <v>158</v>
      </c>
      <c r="CP118" s="17" t="s">
        <v>158</v>
      </c>
      <c r="CQ118" s="17" t="s">
        <v>158</v>
      </c>
      <c r="CR118" s="17" t="s">
        <v>158</v>
      </c>
      <c r="CS118" s="17" t="s">
        <v>158</v>
      </c>
      <c r="CT118" s="17" t="s">
        <v>158</v>
      </c>
      <c r="CU118" s="17" t="s">
        <v>158</v>
      </c>
      <c r="CV118" s="17" t="s">
        <v>158</v>
      </c>
      <c r="CW118" s="17" t="s">
        <v>158</v>
      </c>
      <c r="CX118" s="17" t="s">
        <v>158</v>
      </c>
      <c r="CY118" s="67" t="s">
        <v>158</v>
      </c>
    </row>
    <row r="119" spans="1:103" x14ac:dyDescent="0.2">
      <c r="A119" s="34" t="s">
        <v>21</v>
      </c>
      <c r="B119" s="56" t="s">
        <v>21</v>
      </c>
      <c r="C119" s="14" t="s">
        <v>20</v>
      </c>
      <c r="E119" s="10"/>
      <c r="F119" s="11"/>
      <c r="G119" s="3">
        <v>42961</v>
      </c>
      <c r="H119" s="1">
        <v>2017</v>
      </c>
      <c r="I119" s="142" t="s">
        <v>33</v>
      </c>
      <c r="J119" s="142">
        <v>10</v>
      </c>
      <c r="K119" s="136">
        <v>0.50703889286564841</v>
      </c>
      <c r="L119" s="5">
        <v>4.1492776886035552</v>
      </c>
      <c r="M119" s="6">
        <v>3.445519147256218E-2</v>
      </c>
      <c r="N119" s="6">
        <v>0.10729865771812079</v>
      </c>
      <c r="O119" s="6">
        <v>0.75058231346229765</v>
      </c>
      <c r="P119" s="6">
        <v>0.62582905645479669</v>
      </c>
      <c r="Q119" s="6">
        <v>2.0800582313462299</v>
      </c>
      <c r="R119" s="6">
        <v>2.0016877220686937</v>
      </c>
      <c r="S119" s="6">
        <v>0.89178839320963288</v>
      </c>
      <c r="T119" s="6">
        <v>6.4916995657323335</v>
      </c>
      <c r="U119" s="17">
        <f t="shared" si="78"/>
        <v>57.844384245606918</v>
      </c>
      <c r="V119" s="6">
        <f t="shared" si="81"/>
        <v>6.4999999999999997E-3</v>
      </c>
      <c r="W119" s="6">
        <v>0.17639634160875056</v>
      </c>
      <c r="X119" s="6">
        <v>6.1427336750044054E-2</v>
      </c>
      <c r="Y119" s="6">
        <v>9.2343201756896365E-2</v>
      </c>
      <c r="Z119" s="6">
        <f>0.5*0.013</f>
        <v>6.4999999999999997E-3</v>
      </c>
      <c r="AA119" s="6">
        <v>3.2108825134651069E-2</v>
      </c>
      <c r="AB119" s="6">
        <v>1.4740134460428609E-2</v>
      </c>
      <c r="AC119" s="6" t="s">
        <v>158</v>
      </c>
      <c r="AD119" s="6" t="s">
        <v>158</v>
      </c>
      <c r="AE119" s="17">
        <f t="shared" si="63"/>
        <v>0.38351583971077069</v>
      </c>
      <c r="AF119" s="6">
        <f t="shared" si="82"/>
        <v>1.4999999999999999E-2</v>
      </c>
      <c r="AG119" s="18" t="s">
        <v>158</v>
      </c>
      <c r="AH119" s="23">
        <v>36.719764011799413</v>
      </c>
      <c r="AI119" s="6">
        <f t="shared" si="83"/>
        <v>0.1</v>
      </c>
      <c r="AJ119" s="6">
        <f t="shared" si="83"/>
        <v>0.1</v>
      </c>
      <c r="AK119" s="6">
        <v>4.0642412323828286E-2</v>
      </c>
      <c r="AL119" s="6">
        <f t="shared" si="84"/>
        <v>0.05</v>
      </c>
      <c r="AM119" s="6">
        <f t="shared" si="84"/>
        <v>0.05</v>
      </c>
      <c r="AN119" s="6">
        <v>1.3517109144542774</v>
      </c>
      <c r="AO119" s="6">
        <v>1.056047197640118</v>
      </c>
      <c r="AP119" s="6">
        <f t="shared" si="85"/>
        <v>2.5000000000000001E-2</v>
      </c>
      <c r="AQ119" s="6">
        <v>1.0585644051130778</v>
      </c>
      <c r="AR119" s="6">
        <v>4.5722713864306784E-2</v>
      </c>
      <c r="AS119" s="5" t="s">
        <v>158</v>
      </c>
      <c r="AT119" s="5" t="s">
        <v>158</v>
      </c>
      <c r="AU119" s="5" t="s">
        <v>158</v>
      </c>
      <c r="AV119" s="5" t="s">
        <v>158</v>
      </c>
      <c r="AW119" s="5" t="s">
        <v>158</v>
      </c>
      <c r="BC119" s="6">
        <v>587</v>
      </c>
      <c r="BD119" s="6">
        <f t="shared" si="86"/>
        <v>0.1</v>
      </c>
      <c r="BE119" s="6">
        <f t="shared" si="91"/>
        <v>0.05</v>
      </c>
      <c r="BF119" s="6">
        <v>0.60899999999999999</v>
      </c>
      <c r="BG119" s="6">
        <f t="shared" si="87"/>
        <v>0.1</v>
      </c>
      <c r="BH119" s="6">
        <v>0.54630310994305742</v>
      </c>
      <c r="BI119" s="6">
        <v>19.587483574244416</v>
      </c>
      <c r="BJ119" s="6">
        <v>14.8</v>
      </c>
      <c r="BK119" s="6">
        <v>1.7</v>
      </c>
      <c r="BL119" s="6">
        <v>13.677463863337712</v>
      </c>
      <c r="BM119" s="6">
        <v>0.28830705212439772</v>
      </c>
      <c r="BN119" s="24">
        <v>68</v>
      </c>
      <c r="BO119" s="6">
        <v>0.95745339478638347</v>
      </c>
      <c r="BP119" s="6">
        <v>0.55054281442904895</v>
      </c>
      <c r="BQ119" s="6">
        <v>4.031719246854939</v>
      </c>
      <c r="BR119" s="6">
        <v>5.2795278025854735</v>
      </c>
      <c r="BS119" s="6">
        <f t="shared" si="88"/>
        <v>0.1</v>
      </c>
      <c r="BT119" s="6">
        <v>2.7754233961210208</v>
      </c>
      <c r="BU119" s="6">
        <f t="shared" si="92"/>
        <v>1.25</v>
      </c>
      <c r="BV119" s="6">
        <f t="shared" ref="BV119:BW124" si="93">0.5*0.2</f>
        <v>0.1</v>
      </c>
      <c r="BW119" s="6">
        <f t="shared" si="93"/>
        <v>0.1</v>
      </c>
      <c r="BX119" s="6">
        <v>0.75246197355842348</v>
      </c>
      <c r="BY119" s="6">
        <v>1.1208792380866111</v>
      </c>
      <c r="BZ119" s="6">
        <v>3.8334489820177549</v>
      </c>
      <c r="CA119" s="6">
        <f t="shared" si="90"/>
        <v>0.1</v>
      </c>
      <c r="CB119" s="6">
        <f>0.5*0.2</f>
        <v>0.1</v>
      </c>
      <c r="CC119" s="6">
        <f>0.5*0.2</f>
        <v>0.1</v>
      </c>
      <c r="CD119" s="6">
        <f>0.5*0.2</f>
        <v>0.1</v>
      </c>
      <c r="CE119" s="6">
        <v>0.54570643268730235</v>
      </c>
      <c r="CF119" s="6">
        <f t="shared" si="89"/>
        <v>0.1</v>
      </c>
      <c r="CG119" s="6">
        <f t="shared" si="89"/>
        <v>0.1</v>
      </c>
      <c r="CH119" s="6">
        <f t="shared" si="89"/>
        <v>0.1</v>
      </c>
      <c r="CI119" s="17" t="s">
        <v>158</v>
      </c>
      <c r="CJ119" s="17" t="s">
        <v>158</v>
      </c>
      <c r="CK119" s="17" t="s">
        <v>158</v>
      </c>
      <c r="CL119" s="17" t="s">
        <v>158</v>
      </c>
      <c r="CM119" s="17" t="s">
        <v>158</v>
      </c>
      <c r="CN119" s="17" t="s">
        <v>158</v>
      </c>
      <c r="CO119" s="17" t="s">
        <v>158</v>
      </c>
      <c r="CP119" s="17" t="s">
        <v>158</v>
      </c>
      <c r="CQ119" s="17" t="s">
        <v>158</v>
      </c>
      <c r="CR119" s="17" t="s">
        <v>158</v>
      </c>
      <c r="CS119" s="17" t="s">
        <v>158</v>
      </c>
      <c r="CT119" s="17" t="s">
        <v>158</v>
      </c>
      <c r="CU119" s="17" t="s">
        <v>158</v>
      </c>
      <c r="CV119" s="17" t="s">
        <v>158</v>
      </c>
      <c r="CW119" s="17" t="s">
        <v>158</v>
      </c>
      <c r="CX119" s="17" t="s">
        <v>158</v>
      </c>
      <c r="CY119" s="67" t="s">
        <v>158</v>
      </c>
    </row>
    <row r="120" spans="1:103" x14ac:dyDescent="0.2">
      <c r="A120" s="35" t="s">
        <v>22</v>
      </c>
      <c r="B120" s="57" t="s">
        <v>22</v>
      </c>
      <c r="C120" s="14" t="s">
        <v>20</v>
      </c>
      <c r="E120" s="12"/>
      <c r="F120" s="13"/>
      <c r="G120" s="4">
        <v>42985</v>
      </c>
      <c r="H120" s="16">
        <v>2017</v>
      </c>
      <c r="I120" s="135" t="s">
        <v>33</v>
      </c>
      <c r="J120" s="135">
        <v>10</v>
      </c>
      <c r="K120" s="136">
        <v>0.42030051486814662</v>
      </c>
      <c r="L120" s="5">
        <v>4.7704590818362007</v>
      </c>
      <c r="M120" s="6">
        <v>0.71336541616537241</v>
      </c>
      <c r="N120" s="6">
        <v>1.6686700207809251</v>
      </c>
      <c r="O120" s="6">
        <v>3.7139943125888655</v>
      </c>
      <c r="P120" s="6">
        <v>2.6614568522366837</v>
      </c>
      <c r="Q120" s="6">
        <v>5.305080389368916</v>
      </c>
      <c r="R120" s="6">
        <v>4.9528929235480685</v>
      </c>
      <c r="S120" s="6">
        <v>1.9803237449414852</v>
      </c>
      <c r="T120" s="6">
        <v>20.995783659630316</v>
      </c>
      <c r="U120" s="17">
        <f t="shared" si="78"/>
        <v>218.10973528244824</v>
      </c>
      <c r="V120" s="6">
        <f t="shared" si="81"/>
        <v>6.4999999999999997E-3</v>
      </c>
      <c r="W120" s="6">
        <v>0.25535616727969934</v>
      </c>
      <c r="X120" s="6">
        <v>9.5357270999735233E-2</v>
      </c>
      <c r="Y120" s="6">
        <v>0.26902597589390986</v>
      </c>
      <c r="Z120" s="6">
        <f>0.5*0.013</f>
        <v>6.4999999999999997E-3</v>
      </c>
      <c r="AA120" s="6">
        <v>3.1730525449955339E-2</v>
      </c>
      <c r="AB120" s="6">
        <v>2.6055483691934601E-2</v>
      </c>
      <c r="AC120" s="6" t="s">
        <v>158</v>
      </c>
      <c r="AD120" s="6" t="s">
        <v>158</v>
      </c>
      <c r="AE120" s="17">
        <f t="shared" si="63"/>
        <v>0.68402542331523442</v>
      </c>
      <c r="AF120" s="6">
        <f t="shared" si="82"/>
        <v>1.4999999999999999E-2</v>
      </c>
      <c r="AG120" s="18" t="s">
        <v>158</v>
      </c>
      <c r="AH120" s="23">
        <v>17.311219512195123</v>
      </c>
      <c r="AI120" s="6">
        <f t="shared" si="83"/>
        <v>0.1</v>
      </c>
      <c r="AJ120" s="6">
        <f t="shared" si="83"/>
        <v>0.1</v>
      </c>
      <c r="AK120" s="6">
        <f>0.5*0.02</f>
        <v>0.01</v>
      </c>
      <c r="AL120" s="6">
        <f t="shared" si="84"/>
        <v>0.05</v>
      </c>
      <c r="AM120" s="6">
        <f t="shared" si="84"/>
        <v>0.05</v>
      </c>
      <c r="AN120" s="6">
        <v>0.57725853658536586</v>
      </c>
      <c r="AO120" s="6">
        <v>0.28390243902439027</v>
      </c>
      <c r="AP120" s="6">
        <f t="shared" si="85"/>
        <v>2.5000000000000001E-2</v>
      </c>
      <c r="AQ120" s="6">
        <v>0.71176585365853662</v>
      </c>
      <c r="AR120" s="6">
        <v>7.8439024390243903E-2</v>
      </c>
      <c r="AS120" s="5" t="s">
        <v>158</v>
      </c>
      <c r="AT120" s="5" t="s">
        <v>158</v>
      </c>
      <c r="AU120" s="5" t="s">
        <v>158</v>
      </c>
      <c r="AV120" s="5" t="s">
        <v>158</v>
      </c>
      <c r="AW120" s="5" t="s">
        <v>158</v>
      </c>
      <c r="BC120" s="6">
        <v>192</v>
      </c>
      <c r="BD120" s="6">
        <f t="shared" si="86"/>
        <v>0.1</v>
      </c>
      <c r="BE120" s="6">
        <f t="shared" si="91"/>
        <v>0.05</v>
      </c>
      <c r="BF120" s="6">
        <v>0.26500000000000001</v>
      </c>
      <c r="BG120" s="6">
        <f t="shared" si="87"/>
        <v>0.1</v>
      </c>
      <c r="BH120" s="6">
        <v>0.42019573503657154</v>
      </c>
      <c r="BI120" s="6">
        <v>7.5175543422272577</v>
      </c>
      <c r="BJ120" s="6">
        <v>2.85</v>
      </c>
      <c r="BK120" s="6">
        <f>0.5*0.05</f>
        <v>2.5000000000000001E-2</v>
      </c>
      <c r="BL120" s="6">
        <v>8.3241578242505394</v>
      </c>
      <c r="BM120" s="6">
        <v>0.2990439888740084</v>
      </c>
      <c r="BN120" s="24">
        <v>83</v>
      </c>
      <c r="BO120" s="6">
        <v>2.9999785292300758</v>
      </c>
      <c r="BP120" s="6">
        <v>0.18418420460123613</v>
      </c>
      <c r="BQ120" s="6">
        <v>0.29240110574376638</v>
      </c>
      <c r="BR120" s="6">
        <v>6.3669350065018637</v>
      </c>
      <c r="BS120" s="6">
        <f t="shared" si="88"/>
        <v>0.1</v>
      </c>
      <c r="BT120" s="6">
        <v>16.233059670336107</v>
      </c>
      <c r="BU120" s="6">
        <f t="shared" si="92"/>
        <v>1.25</v>
      </c>
      <c r="BV120" s="6">
        <f t="shared" si="93"/>
        <v>0.1</v>
      </c>
      <c r="BW120" s="6">
        <f t="shared" si="93"/>
        <v>0.1</v>
      </c>
      <c r="BX120" s="6">
        <v>0.84820274349753311</v>
      </c>
      <c r="BY120" s="6">
        <v>1.5876104345265103</v>
      </c>
      <c r="BZ120" s="6">
        <v>4.9392908468709829</v>
      </c>
      <c r="CA120" s="6">
        <f t="shared" si="90"/>
        <v>0.1</v>
      </c>
      <c r="CB120" s="6">
        <f t="shared" ref="CB120:CC123" si="94">0.5*0.2</f>
        <v>0.1</v>
      </c>
      <c r="CC120" s="6">
        <f t="shared" si="94"/>
        <v>0.1</v>
      </c>
      <c r="CD120" s="6">
        <v>0.42577950477359999</v>
      </c>
      <c r="CE120" s="6">
        <v>1.6028701491040183</v>
      </c>
      <c r="CF120" s="6">
        <f t="shared" si="89"/>
        <v>0.1</v>
      </c>
      <c r="CG120" s="6">
        <f t="shared" si="89"/>
        <v>0.1</v>
      </c>
      <c r="CH120" s="6">
        <f t="shared" si="89"/>
        <v>0.1</v>
      </c>
      <c r="CI120" s="17" t="s">
        <v>158</v>
      </c>
      <c r="CJ120" s="17" t="s">
        <v>158</v>
      </c>
      <c r="CK120" s="17" t="s">
        <v>158</v>
      </c>
      <c r="CL120" s="17" t="s">
        <v>158</v>
      </c>
      <c r="CM120" s="17" t="s">
        <v>158</v>
      </c>
      <c r="CN120" s="17" t="s">
        <v>158</v>
      </c>
      <c r="CO120" s="17" t="s">
        <v>158</v>
      </c>
      <c r="CP120" s="17" t="s">
        <v>158</v>
      </c>
      <c r="CQ120" s="17" t="s">
        <v>158</v>
      </c>
      <c r="CR120" s="17" t="s">
        <v>158</v>
      </c>
      <c r="CS120" s="17" t="s">
        <v>158</v>
      </c>
      <c r="CT120" s="17" t="s">
        <v>158</v>
      </c>
      <c r="CU120" s="17" t="s">
        <v>158</v>
      </c>
      <c r="CV120" s="17" t="s">
        <v>158</v>
      </c>
      <c r="CW120" s="17" t="s">
        <v>158</v>
      </c>
      <c r="CX120" s="17" t="s">
        <v>158</v>
      </c>
      <c r="CY120" s="67" t="s">
        <v>158</v>
      </c>
    </row>
    <row r="121" spans="1:103" x14ac:dyDescent="0.2">
      <c r="A121" s="35" t="s">
        <v>25</v>
      </c>
      <c r="B121" s="57" t="s">
        <v>25</v>
      </c>
      <c r="C121" s="14" t="s">
        <v>20</v>
      </c>
      <c r="E121" s="12"/>
      <c r="F121" s="13"/>
      <c r="G121" s="4">
        <v>42962</v>
      </c>
      <c r="H121" s="1">
        <v>2017</v>
      </c>
      <c r="I121" s="142" t="s">
        <v>33</v>
      </c>
      <c r="J121" s="142">
        <v>10</v>
      </c>
      <c r="K121" s="136">
        <v>0.45115831094437497</v>
      </c>
      <c r="L121" s="5">
        <v>3.6928386540120557</v>
      </c>
      <c r="M121" s="6">
        <v>3.4289932638184001E-2</v>
      </c>
      <c r="N121" s="6">
        <v>9.1302943619082769E-2</v>
      </c>
      <c r="O121" s="6">
        <v>0.38661068561409989</v>
      </c>
      <c r="P121" s="6">
        <v>0.29720402325366801</v>
      </c>
      <c r="Q121" s="6">
        <v>0.82254775306819228</v>
      </c>
      <c r="R121" s="6">
        <v>0.77604503091261423</v>
      </c>
      <c r="S121" s="6">
        <v>0.32070683768570635</v>
      </c>
      <c r="T121" s="6">
        <v>2.7287072067915479</v>
      </c>
      <c r="U121" s="17">
        <f t="shared" si="78"/>
        <v>26.947338933513173</v>
      </c>
      <c r="V121" s="6">
        <f t="shared" si="81"/>
        <v>6.4999999999999997E-3</v>
      </c>
      <c r="W121" s="6">
        <v>5.6953680545536747E-2</v>
      </c>
      <c r="X121" s="6">
        <f>0.5*0.01</f>
        <v>5.0000000000000001E-3</v>
      </c>
      <c r="Y121" s="6">
        <v>6.0711184030465694E-2</v>
      </c>
      <c r="Z121" s="6">
        <v>1.2471803597822488E-2</v>
      </c>
      <c r="AA121" s="6">
        <f>0.5*0.02</f>
        <v>0.01</v>
      </c>
      <c r="AB121" s="6">
        <v>1.3801074500573902E-2</v>
      </c>
      <c r="AC121" s="6" t="s">
        <v>158</v>
      </c>
      <c r="AD121" s="7" t="s">
        <v>158</v>
      </c>
      <c r="AE121" s="17">
        <f t="shared" si="63"/>
        <v>0.15296593907657638</v>
      </c>
      <c r="AF121" s="6">
        <f t="shared" si="82"/>
        <v>1.4999999999999999E-2</v>
      </c>
      <c r="AG121" s="18" t="s">
        <v>158</v>
      </c>
      <c r="AH121" s="23">
        <v>35.969260326609032</v>
      </c>
      <c r="AI121" s="6">
        <f t="shared" si="83"/>
        <v>0.1</v>
      </c>
      <c r="AJ121" s="6">
        <f t="shared" si="83"/>
        <v>0.1</v>
      </c>
      <c r="AK121" s="6">
        <f>0.5*0.02</f>
        <v>0.01</v>
      </c>
      <c r="AL121" s="6">
        <f t="shared" si="84"/>
        <v>0.05</v>
      </c>
      <c r="AM121" s="6">
        <f t="shared" si="84"/>
        <v>0.05</v>
      </c>
      <c r="AN121" s="6">
        <v>0.85945244956772338</v>
      </c>
      <c r="AO121" s="6">
        <v>0.41690682036503357</v>
      </c>
      <c r="AP121" s="6">
        <f t="shared" si="85"/>
        <v>2.5000000000000001E-2</v>
      </c>
      <c r="AQ121" s="6">
        <v>0.40303554274735831</v>
      </c>
      <c r="AR121" s="6">
        <f>0.5*0.05</f>
        <v>2.5000000000000001E-2</v>
      </c>
      <c r="AS121" s="5" t="s">
        <v>158</v>
      </c>
      <c r="AT121" s="5" t="s">
        <v>158</v>
      </c>
      <c r="AU121" s="5" t="s">
        <v>158</v>
      </c>
      <c r="AV121" s="5" t="s">
        <v>158</v>
      </c>
      <c r="AW121" s="5" t="s">
        <v>158</v>
      </c>
      <c r="BC121" s="6">
        <v>579</v>
      </c>
      <c r="BD121" s="6">
        <f t="shared" si="86"/>
        <v>0.1</v>
      </c>
      <c r="BE121" s="6">
        <f t="shared" si="91"/>
        <v>0.05</v>
      </c>
      <c r="BF121" s="6">
        <v>0.42699999999999999</v>
      </c>
      <c r="BG121" s="6">
        <f t="shared" si="87"/>
        <v>0.1</v>
      </c>
      <c r="BH121" s="6">
        <v>0.63869239228231534</v>
      </c>
      <c r="BI121" s="6">
        <v>12.783454963510948</v>
      </c>
      <c r="BJ121" s="6">
        <v>7.17</v>
      </c>
      <c r="BK121" s="6">
        <v>3.2</v>
      </c>
      <c r="BL121" s="6">
        <v>6.3783464960511846</v>
      </c>
      <c r="BM121" s="6">
        <v>0.25720483854843551</v>
      </c>
      <c r="BN121" s="24">
        <v>130</v>
      </c>
      <c r="BO121" s="6">
        <v>0.86808938352401754</v>
      </c>
      <c r="BP121" s="6">
        <v>0.30351418923293927</v>
      </c>
      <c r="BQ121" s="6">
        <v>0.23707257465100043</v>
      </c>
      <c r="BR121" s="6">
        <v>4.9382036276577743</v>
      </c>
      <c r="BS121" s="6">
        <f t="shared" si="88"/>
        <v>0.1</v>
      </c>
      <c r="BT121" s="6">
        <v>2.4737963202353841</v>
      </c>
      <c r="BU121" s="6">
        <f t="shared" si="92"/>
        <v>1.25</v>
      </c>
      <c r="BV121" s="6">
        <f t="shared" si="93"/>
        <v>0.1</v>
      </c>
      <c r="BW121" s="6">
        <f t="shared" si="93"/>
        <v>0.1</v>
      </c>
      <c r="BX121" s="6">
        <v>1.334697716239625</v>
      </c>
      <c r="BY121" s="6">
        <v>1.3162901845739678</v>
      </c>
      <c r="BZ121" s="6">
        <v>2.9396617180144951</v>
      </c>
      <c r="CA121" s="6">
        <f t="shared" si="90"/>
        <v>0.1</v>
      </c>
      <c r="CB121" s="6">
        <f t="shared" si="94"/>
        <v>0.1</v>
      </c>
      <c r="CC121" s="6">
        <f t="shared" si="94"/>
        <v>0.1</v>
      </c>
      <c r="CD121" s="6">
        <f>0.5*0.2</f>
        <v>0.1</v>
      </c>
      <c r="CE121" s="6">
        <f>0.5*0.5</f>
        <v>0.25</v>
      </c>
      <c r="CF121" s="6">
        <f t="shared" si="89"/>
        <v>0.1</v>
      </c>
      <c r="CG121" s="6">
        <f t="shared" si="89"/>
        <v>0.1</v>
      </c>
      <c r="CH121" s="6">
        <f t="shared" si="89"/>
        <v>0.1</v>
      </c>
      <c r="CI121" s="17" t="s">
        <v>158</v>
      </c>
      <c r="CJ121" s="17" t="s">
        <v>158</v>
      </c>
      <c r="CK121" s="17" t="s">
        <v>158</v>
      </c>
      <c r="CL121" s="17" t="s">
        <v>158</v>
      </c>
      <c r="CM121" s="17" t="s">
        <v>158</v>
      </c>
      <c r="CN121" s="17" t="s">
        <v>158</v>
      </c>
      <c r="CO121" s="17" t="s">
        <v>158</v>
      </c>
      <c r="CP121" s="17" t="s">
        <v>158</v>
      </c>
      <c r="CQ121" s="17" t="s">
        <v>158</v>
      </c>
      <c r="CR121" s="17" t="s">
        <v>158</v>
      </c>
      <c r="CS121" s="17" t="s">
        <v>158</v>
      </c>
      <c r="CT121" s="17" t="s">
        <v>158</v>
      </c>
      <c r="CU121" s="17" t="s">
        <v>158</v>
      </c>
      <c r="CV121" s="17" t="s">
        <v>158</v>
      </c>
      <c r="CW121" s="17" t="s">
        <v>158</v>
      </c>
      <c r="CX121" s="17" t="s">
        <v>158</v>
      </c>
      <c r="CY121" s="67" t="s">
        <v>158</v>
      </c>
    </row>
    <row r="122" spans="1:103" x14ac:dyDescent="0.2">
      <c r="A122" s="35" t="s">
        <v>5</v>
      </c>
      <c r="B122" s="57" t="s">
        <v>5</v>
      </c>
      <c r="C122" s="14" t="s">
        <v>20</v>
      </c>
      <c r="E122" s="12"/>
      <c r="F122" s="13"/>
      <c r="G122" s="4">
        <v>42968</v>
      </c>
      <c r="H122" s="16">
        <v>2017</v>
      </c>
      <c r="I122" s="135" t="s">
        <v>33</v>
      </c>
      <c r="J122" s="135">
        <v>10</v>
      </c>
      <c r="K122" s="136">
        <v>0.32914989344067203</v>
      </c>
      <c r="L122" s="5">
        <v>7.303705468843205</v>
      </c>
      <c r="M122" s="6">
        <v>0.85847941888619861</v>
      </c>
      <c r="N122" s="6">
        <v>1.8717142857142859</v>
      </c>
      <c r="O122" s="6">
        <v>4.2495108958837768</v>
      </c>
      <c r="P122" s="6">
        <v>3.3886585956416471</v>
      </c>
      <c r="Q122" s="6">
        <v>4.8051961259079903</v>
      </c>
      <c r="R122" s="6">
        <v>4.73496368038741</v>
      </c>
      <c r="S122" s="6">
        <v>1.4049588377723972</v>
      </c>
      <c r="T122" s="6">
        <v>21.313481840193706</v>
      </c>
      <c r="U122" s="17">
        <f t="shared" si="78"/>
        <v>272.28967108541593</v>
      </c>
      <c r="V122" s="6">
        <v>1.4188479380229126E-2</v>
      </c>
      <c r="W122" s="6">
        <v>0.31560819344274726</v>
      </c>
      <c r="X122" s="6">
        <v>0.12461929479743412</v>
      </c>
      <c r="Y122" s="6">
        <v>0.28000000000000003</v>
      </c>
      <c r="Z122" s="6">
        <v>2.5940984890961076E-2</v>
      </c>
      <c r="AA122" s="6">
        <v>4.4061211569325985E-2</v>
      </c>
      <c r="AB122" s="6">
        <v>3.5086570997494314E-2</v>
      </c>
      <c r="AC122" s="6" t="s">
        <v>158</v>
      </c>
      <c r="AD122" s="6" t="s">
        <v>158</v>
      </c>
      <c r="AE122" s="17">
        <f t="shared" si="63"/>
        <v>0.81356375018723093</v>
      </c>
      <c r="AF122" s="6">
        <f t="shared" si="82"/>
        <v>1.4999999999999999E-2</v>
      </c>
      <c r="AG122" s="18" t="s">
        <v>158</v>
      </c>
      <c r="AH122" s="23">
        <v>14.945098039215686</v>
      </c>
      <c r="AI122" s="6">
        <f t="shared" si="83"/>
        <v>0.1</v>
      </c>
      <c r="AJ122" s="6">
        <f t="shared" si="83"/>
        <v>0.1</v>
      </c>
      <c r="AK122" s="6">
        <f>0.5*0.02</f>
        <v>0.01</v>
      </c>
      <c r="AL122" s="6">
        <f t="shared" si="84"/>
        <v>0.05</v>
      </c>
      <c r="AM122" s="6">
        <f t="shared" si="84"/>
        <v>0.05</v>
      </c>
      <c r="AN122" s="6">
        <v>0.42910784313725492</v>
      </c>
      <c r="AO122" s="6">
        <v>0.16666666666666666</v>
      </c>
      <c r="AP122" s="6">
        <f t="shared" si="85"/>
        <v>2.5000000000000001E-2</v>
      </c>
      <c r="AQ122" s="6">
        <v>0.43682352941176472</v>
      </c>
      <c r="AR122" s="6">
        <v>6.0392156862745093E-2</v>
      </c>
      <c r="AS122" s="5" t="s">
        <v>158</v>
      </c>
      <c r="AT122" s="5" t="s">
        <v>158</v>
      </c>
      <c r="AU122" s="5" t="s">
        <v>158</v>
      </c>
      <c r="AV122" s="5" t="s">
        <v>158</v>
      </c>
      <c r="AW122" s="5" t="s">
        <v>158</v>
      </c>
      <c r="BC122" s="6">
        <v>306</v>
      </c>
      <c r="BD122" s="6">
        <f t="shared" si="86"/>
        <v>0.1</v>
      </c>
      <c r="BE122" s="6">
        <f t="shared" si="91"/>
        <v>0.05</v>
      </c>
      <c r="BF122" s="6">
        <v>0.20699999999999999</v>
      </c>
      <c r="BG122" s="6">
        <f t="shared" si="87"/>
        <v>0.1</v>
      </c>
      <c r="BH122" s="6">
        <v>0.34745155126922028</v>
      </c>
      <c r="BI122" s="6">
        <v>9.4507233190792466</v>
      </c>
      <c r="BJ122" s="6">
        <v>4.55</v>
      </c>
      <c r="BK122" s="6">
        <f t="shared" ref="BK122:BK127" si="95">0.5*0.05</f>
        <v>2.5000000000000001E-2</v>
      </c>
      <c r="BL122" s="6">
        <v>9.5444090619597848</v>
      </c>
      <c r="BM122" s="6">
        <v>0.24500227458829954</v>
      </c>
      <c r="BN122" s="24">
        <v>110</v>
      </c>
      <c r="BO122" s="6">
        <v>0.97729124279127555</v>
      </c>
      <c r="BP122" s="6">
        <v>0.42200429980447113</v>
      </c>
      <c r="BQ122" s="6">
        <f>0.5*0.1</f>
        <v>0.05</v>
      </c>
      <c r="BR122" s="6">
        <v>2.5612225038126497</v>
      </c>
      <c r="BS122" s="6">
        <f t="shared" si="88"/>
        <v>0.1</v>
      </c>
      <c r="BT122" s="6">
        <v>1.7169193010677768</v>
      </c>
      <c r="BU122" s="6">
        <f t="shared" si="92"/>
        <v>1.25</v>
      </c>
      <c r="BV122" s="6">
        <f t="shared" si="93"/>
        <v>0.1</v>
      </c>
      <c r="BW122" s="6">
        <f t="shared" si="93"/>
        <v>0.1</v>
      </c>
      <c r="BX122" s="6">
        <v>0.70619700486637704</v>
      </c>
      <c r="BY122" s="6">
        <v>0.88274755045956688</v>
      </c>
      <c r="BZ122" s="6">
        <v>5.1620708424307242</v>
      </c>
      <c r="CA122" s="6">
        <f t="shared" si="90"/>
        <v>0.1</v>
      </c>
      <c r="CB122" s="6">
        <f t="shared" si="94"/>
        <v>0.1</v>
      </c>
      <c r="CC122" s="6">
        <f t="shared" si="94"/>
        <v>0.1</v>
      </c>
      <c r="CD122" s="6">
        <f>0.5*0.2</f>
        <v>0.1</v>
      </c>
      <c r="CE122" s="6">
        <v>0.76036983173790562</v>
      </c>
      <c r="CF122" s="6">
        <f t="shared" si="89"/>
        <v>0.1</v>
      </c>
      <c r="CG122" s="6">
        <f t="shared" si="89"/>
        <v>0.1</v>
      </c>
      <c r="CH122" s="6">
        <f t="shared" si="89"/>
        <v>0.1</v>
      </c>
      <c r="CI122" s="17" t="s">
        <v>158</v>
      </c>
      <c r="CJ122" s="17" t="s">
        <v>158</v>
      </c>
      <c r="CK122" s="17" t="s">
        <v>158</v>
      </c>
      <c r="CL122" s="17" t="s">
        <v>158</v>
      </c>
      <c r="CM122" s="17" t="s">
        <v>158</v>
      </c>
      <c r="CN122" s="17" t="s">
        <v>158</v>
      </c>
      <c r="CO122" s="17" t="s">
        <v>158</v>
      </c>
      <c r="CP122" s="17" t="s">
        <v>158</v>
      </c>
      <c r="CQ122" s="17" t="s">
        <v>158</v>
      </c>
      <c r="CR122" s="17" t="s">
        <v>158</v>
      </c>
      <c r="CS122" s="17" t="s">
        <v>158</v>
      </c>
      <c r="CT122" s="17" t="s">
        <v>158</v>
      </c>
      <c r="CU122" s="17" t="s">
        <v>158</v>
      </c>
      <c r="CV122" s="17" t="s">
        <v>158</v>
      </c>
      <c r="CW122" s="17" t="s">
        <v>158</v>
      </c>
      <c r="CX122" s="17" t="s">
        <v>158</v>
      </c>
      <c r="CY122" s="67" t="s">
        <v>158</v>
      </c>
    </row>
    <row r="123" spans="1:103" x14ac:dyDescent="0.2">
      <c r="A123" s="35" t="s">
        <v>23</v>
      </c>
      <c r="B123" s="57" t="s">
        <v>23</v>
      </c>
      <c r="C123" s="14" t="s">
        <v>20</v>
      </c>
      <c r="E123" s="12"/>
      <c r="F123" s="13"/>
      <c r="G123" s="4">
        <v>42969</v>
      </c>
      <c r="H123" s="1">
        <v>2017</v>
      </c>
      <c r="I123" s="142" t="s">
        <v>33</v>
      </c>
      <c r="J123" s="142">
        <v>10</v>
      </c>
      <c r="K123" s="136">
        <v>0.37161564324900703</v>
      </c>
      <c r="L123" s="5">
        <v>4.7382042604022478</v>
      </c>
      <c r="M123" s="6">
        <v>0.32140354292388557</v>
      </c>
      <c r="N123" s="6">
        <v>1.2512993965349426</v>
      </c>
      <c r="O123" s="6">
        <v>3.3881253649990271</v>
      </c>
      <c r="P123" s="6">
        <v>2.9017130620985014</v>
      </c>
      <c r="Q123" s="6">
        <v>5.0958876776328603</v>
      </c>
      <c r="R123" s="6">
        <v>4.7924274868600349</v>
      </c>
      <c r="S123" s="6">
        <v>1.9367821685808837</v>
      </c>
      <c r="T123" s="6">
        <v>19.687638699630135</v>
      </c>
      <c r="U123" s="17">
        <f t="shared" si="78"/>
        <v>225.85063280401189</v>
      </c>
      <c r="V123" s="6">
        <f>0.5*0.013</f>
        <v>6.4999999999999997E-3</v>
      </c>
      <c r="W123" s="6">
        <v>9.9613608519580982E-2</v>
      </c>
      <c r="X123" s="6">
        <v>3.8676569267013919E-2</v>
      </c>
      <c r="Y123" s="6">
        <v>4.7492991967385323E-2</v>
      </c>
      <c r="Z123" s="6">
        <f>0.5*0.013</f>
        <v>6.4999999999999997E-3</v>
      </c>
      <c r="AA123" s="6">
        <f>0.5*0.02</f>
        <v>0.01</v>
      </c>
      <c r="AB123" s="6">
        <f>0.5*0.013</f>
        <v>6.4999999999999997E-3</v>
      </c>
      <c r="AC123" s="6" t="s">
        <v>158</v>
      </c>
      <c r="AD123" s="6" t="s">
        <v>158</v>
      </c>
      <c r="AE123" s="17">
        <f t="shared" si="63"/>
        <v>0.20878316975398026</v>
      </c>
      <c r="AF123" s="6">
        <f t="shared" si="82"/>
        <v>1.4999999999999999E-2</v>
      </c>
      <c r="AG123" s="18" t="s">
        <v>158</v>
      </c>
      <c r="AH123" s="23">
        <v>10.774634146341462</v>
      </c>
      <c r="AI123" s="6">
        <f t="shared" si="83"/>
        <v>0.1</v>
      </c>
      <c r="AJ123" s="6">
        <f t="shared" si="83"/>
        <v>0.1</v>
      </c>
      <c r="AK123" s="6">
        <v>2.3739837398373997E-2</v>
      </c>
      <c r="AL123" s="6">
        <f t="shared" si="84"/>
        <v>0.05</v>
      </c>
      <c r="AM123" s="6">
        <f t="shared" si="84"/>
        <v>0.05</v>
      </c>
      <c r="AN123" s="6">
        <v>0.48360000000000009</v>
      </c>
      <c r="AO123" s="6">
        <v>0.22731707317073171</v>
      </c>
      <c r="AP123" s="6">
        <f t="shared" si="85"/>
        <v>2.5000000000000001E-2</v>
      </c>
      <c r="AQ123" s="6">
        <v>0.7224975609756098</v>
      </c>
      <c r="AR123" s="6">
        <v>2.9073170731707319E-2</v>
      </c>
      <c r="AS123" s="5" t="s">
        <v>158</v>
      </c>
      <c r="AT123" s="5" t="s">
        <v>158</v>
      </c>
      <c r="AU123" s="5" t="s">
        <v>158</v>
      </c>
      <c r="AV123" s="5" t="s">
        <v>158</v>
      </c>
      <c r="AW123" s="5" t="s">
        <v>158</v>
      </c>
      <c r="BC123" s="6">
        <v>177</v>
      </c>
      <c r="BD123" s="6">
        <f t="shared" si="86"/>
        <v>0.1</v>
      </c>
      <c r="BE123" s="6">
        <f t="shared" si="91"/>
        <v>0.05</v>
      </c>
      <c r="BF123" s="6">
        <v>0.378</v>
      </c>
      <c r="BG123" s="6">
        <f t="shared" si="87"/>
        <v>0.1</v>
      </c>
      <c r="BH123" s="6">
        <v>0.6286248794599808</v>
      </c>
      <c r="BI123" s="6">
        <v>8.3773288331726139</v>
      </c>
      <c r="BJ123" s="6">
        <v>2.61</v>
      </c>
      <c r="BK123" s="6">
        <f t="shared" si="95"/>
        <v>2.5000000000000001E-2</v>
      </c>
      <c r="BL123" s="6">
        <v>9.3830858244937314</v>
      </c>
      <c r="BM123" s="6">
        <v>0.21531533269045325</v>
      </c>
      <c r="BN123" s="24">
        <v>320</v>
      </c>
      <c r="BO123" s="6">
        <v>0.92128477383202068</v>
      </c>
      <c r="BP123" s="6">
        <v>0.13728450199393563</v>
      </c>
      <c r="BQ123" s="6">
        <v>0.34650635190176066</v>
      </c>
      <c r="BR123" s="6">
        <v>5.6675155314329482</v>
      </c>
      <c r="BS123" s="6">
        <f t="shared" si="88"/>
        <v>0.1</v>
      </c>
      <c r="BT123" s="6">
        <v>2.0823541043755656</v>
      </c>
      <c r="BU123" s="6">
        <f t="shared" si="92"/>
        <v>1.25</v>
      </c>
      <c r="BV123" s="6">
        <f t="shared" si="93"/>
        <v>0.1</v>
      </c>
      <c r="BW123" s="6">
        <f t="shared" si="93"/>
        <v>0.1</v>
      </c>
      <c r="BX123" s="6">
        <v>0.60062519480696819</v>
      </c>
      <c r="BY123" s="6">
        <v>1.1188270596144783</v>
      </c>
      <c r="BZ123" s="6">
        <v>2.6917106200840069</v>
      </c>
      <c r="CA123" s="6">
        <f t="shared" si="90"/>
        <v>0.1</v>
      </c>
      <c r="CB123" s="6">
        <f t="shared" si="94"/>
        <v>0.1</v>
      </c>
      <c r="CC123" s="6">
        <f t="shared" si="94"/>
        <v>0.1</v>
      </c>
      <c r="CD123" s="6">
        <f>0.5*0.2</f>
        <v>0.1</v>
      </c>
      <c r="CE123" s="6">
        <v>0.87598084948298449</v>
      </c>
      <c r="CF123" s="6">
        <f t="shared" si="89"/>
        <v>0.1</v>
      </c>
      <c r="CG123" s="6">
        <f t="shared" si="89"/>
        <v>0.1</v>
      </c>
      <c r="CH123" s="6">
        <f t="shared" si="89"/>
        <v>0.1</v>
      </c>
      <c r="CI123" s="17" t="s">
        <v>158</v>
      </c>
      <c r="CJ123" s="17" t="s">
        <v>158</v>
      </c>
      <c r="CK123" s="17" t="s">
        <v>158</v>
      </c>
      <c r="CL123" s="17" t="s">
        <v>158</v>
      </c>
      <c r="CM123" s="17" t="s">
        <v>158</v>
      </c>
      <c r="CN123" s="17" t="s">
        <v>158</v>
      </c>
      <c r="CO123" s="17" t="s">
        <v>158</v>
      </c>
      <c r="CP123" s="17" t="s">
        <v>158</v>
      </c>
      <c r="CQ123" s="17" t="s">
        <v>158</v>
      </c>
      <c r="CR123" s="17" t="s">
        <v>158</v>
      </c>
      <c r="CS123" s="17" t="s">
        <v>158</v>
      </c>
      <c r="CT123" s="17" t="s">
        <v>158</v>
      </c>
      <c r="CU123" s="17" t="s">
        <v>158</v>
      </c>
      <c r="CV123" s="17" t="s">
        <v>158</v>
      </c>
      <c r="CW123" s="17" t="s">
        <v>158</v>
      </c>
      <c r="CX123" s="17" t="s">
        <v>158</v>
      </c>
      <c r="CY123" s="67" t="s">
        <v>158</v>
      </c>
    </row>
    <row r="124" spans="1:103" x14ac:dyDescent="0.2">
      <c r="A124" s="35" t="s">
        <v>6</v>
      </c>
      <c r="B124" s="57" t="s">
        <v>6</v>
      </c>
      <c r="C124" s="14" t="s">
        <v>20</v>
      </c>
      <c r="E124" s="12"/>
      <c r="F124" s="13"/>
      <c r="G124" s="4">
        <v>42957</v>
      </c>
      <c r="H124" s="16">
        <v>2017</v>
      </c>
      <c r="I124" s="135" t="s">
        <v>33</v>
      </c>
      <c r="J124" s="135">
        <v>10</v>
      </c>
      <c r="K124" s="136">
        <v>0.48081485464840734</v>
      </c>
      <c r="L124" s="5">
        <v>3.2548551589453578</v>
      </c>
      <c r="M124" s="6">
        <v>8.2224723141090181E-2</v>
      </c>
      <c r="N124" s="6">
        <v>0.32061577808622999</v>
      </c>
      <c r="O124" s="6">
        <v>1.2296579169630801</v>
      </c>
      <c r="P124" s="6">
        <v>0.98014140774538916</v>
      </c>
      <c r="Q124" s="6">
        <v>2.5194324532310421</v>
      </c>
      <c r="R124" s="6">
        <v>2.1226321948808735</v>
      </c>
      <c r="S124" s="6">
        <v>0.9565257534529541</v>
      </c>
      <c r="T124" s="6">
        <v>8.2112302275006606</v>
      </c>
      <c r="U124" s="17">
        <f t="shared" si="78"/>
        <v>75.196187782540079</v>
      </c>
      <c r="V124" s="6">
        <f>0.5*0.013</f>
        <v>6.4999999999999997E-3</v>
      </c>
      <c r="W124" s="6">
        <v>0.11200465291645169</v>
      </c>
      <c r="X124" s="6">
        <v>3.2600730663002821E-2</v>
      </c>
      <c r="Y124" s="6">
        <v>8.0072189468369498E-2</v>
      </c>
      <c r="Z124" s="6">
        <v>1.4072387936954478E-2</v>
      </c>
      <c r="AA124" s="6">
        <f>0.5*0.02</f>
        <v>0.01</v>
      </c>
      <c r="AB124" s="6">
        <v>1.6514954792030481E-2</v>
      </c>
      <c r="AC124" s="6" t="s">
        <v>158</v>
      </c>
      <c r="AD124" s="6" t="s">
        <v>158</v>
      </c>
      <c r="AE124" s="17">
        <f t="shared" si="63"/>
        <v>0.25769252783985452</v>
      </c>
      <c r="AF124" s="6">
        <f t="shared" si="82"/>
        <v>1.4999999999999999E-2</v>
      </c>
      <c r="AG124" s="18" t="s">
        <v>158</v>
      </c>
      <c r="AH124" s="23">
        <v>5.368318756073859</v>
      </c>
      <c r="AI124" s="6">
        <f t="shared" si="83"/>
        <v>0.1</v>
      </c>
      <c r="AJ124" s="6">
        <f t="shared" si="83"/>
        <v>0.1</v>
      </c>
      <c r="AK124" s="6">
        <f>0.5*0.02</f>
        <v>0.01</v>
      </c>
      <c r="AL124" s="6">
        <f t="shared" si="84"/>
        <v>0.05</v>
      </c>
      <c r="AM124" s="6">
        <f t="shared" si="84"/>
        <v>0.05</v>
      </c>
      <c r="AN124" s="6">
        <v>0.26694849368318763</v>
      </c>
      <c r="AO124" s="6">
        <v>9.3294460641399429E-2</v>
      </c>
      <c r="AP124" s="6">
        <f t="shared" si="85"/>
        <v>2.5000000000000001E-2</v>
      </c>
      <c r="AQ124" s="6">
        <v>7.6151603498542275E-2</v>
      </c>
      <c r="AR124" s="6">
        <f>0.5*0.05</f>
        <v>2.5000000000000001E-2</v>
      </c>
      <c r="AS124" s="5" t="s">
        <v>158</v>
      </c>
      <c r="AT124" s="5" t="s">
        <v>158</v>
      </c>
      <c r="AU124" s="5" t="s">
        <v>158</v>
      </c>
      <c r="AV124" s="5" t="s">
        <v>158</v>
      </c>
      <c r="AW124" s="5" t="s">
        <v>158</v>
      </c>
      <c r="BC124" s="6">
        <v>109</v>
      </c>
      <c r="BD124" s="6">
        <f t="shared" si="86"/>
        <v>0.1</v>
      </c>
      <c r="BE124" s="6">
        <f t="shared" si="91"/>
        <v>0.05</v>
      </c>
      <c r="BF124" s="6">
        <v>0.69499999999999995</v>
      </c>
      <c r="BG124" s="6">
        <f t="shared" si="87"/>
        <v>0.1</v>
      </c>
      <c r="BH124" s="6">
        <v>0.28119681908548705</v>
      </c>
      <c r="BI124" s="6">
        <v>6.7965109343936376</v>
      </c>
      <c r="BJ124" s="6">
        <v>1.98</v>
      </c>
      <c r="BK124" s="6">
        <f t="shared" si="95"/>
        <v>2.5000000000000001E-2</v>
      </c>
      <c r="BL124" s="6">
        <v>2.8929025844930418</v>
      </c>
      <c r="BM124" s="6">
        <v>0.241831013916501</v>
      </c>
      <c r="BN124" s="24">
        <v>21</v>
      </c>
      <c r="BO124" s="6">
        <v>1.2145236651513172</v>
      </c>
      <c r="BP124" s="6">
        <v>0.89553904943832818</v>
      </c>
      <c r="BQ124" s="6">
        <v>0.30758130386348109</v>
      </c>
      <c r="BR124" s="6">
        <v>3.0280272724070523</v>
      </c>
      <c r="BS124" s="6">
        <f t="shared" si="88"/>
        <v>0.1</v>
      </c>
      <c r="BT124" s="6" t="s">
        <v>165</v>
      </c>
      <c r="BU124" s="6">
        <f t="shared" si="92"/>
        <v>1.25</v>
      </c>
      <c r="BV124" s="6">
        <f t="shared" si="93"/>
        <v>0.1</v>
      </c>
      <c r="BW124" s="6">
        <f t="shared" si="93"/>
        <v>0.1</v>
      </c>
      <c r="BX124" s="6">
        <v>1.5837381982123049</v>
      </c>
      <c r="BY124" s="6">
        <v>0.93085258534294002</v>
      </c>
      <c r="BZ124" s="6">
        <v>3.3816033005238704</v>
      </c>
      <c r="CA124" s="6">
        <f t="shared" si="90"/>
        <v>0.1</v>
      </c>
      <c r="CB124" s="6">
        <v>0.22565808572658203</v>
      </c>
      <c r="CC124" s="6">
        <f>0.5*0.2</f>
        <v>0.1</v>
      </c>
      <c r="CD124" s="6">
        <f>0.5*0.2</f>
        <v>0.1</v>
      </c>
      <c r="CE124" s="6">
        <v>0.54499501303601094</v>
      </c>
      <c r="CF124" s="6">
        <f t="shared" si="89"/>
        <v>0.1</v>
      </c>
      <c r="CG124" s="6">
        <f t="shared" si="89"/>
        <v>0.1</v>
      </c>
      <c r="CH124" s="6">
        <f t="shared" si="89"/>
        <v>0.1</v>
      </c>
      <c r="CI124" s="17" t="s">
        <v>158</v>
      </c>
      <c r="CJ124" s="17" t="s">
        <v>158</v>
      </c>
      <c r="CK124" s="17" t="s">
        <v>158</v>
      </c>
      <c r="CL124" s="17" t="s">
        <v>158</v>
      </c>
      <c r="CM124" s="17" t="s">
        <v>158</v>
      </c>
      <c r="CN124" s="17" t="s">
        <v>158</v>
      </c>
      <c r="CO124" s="17" t="s">
        <v>158</v>
      </c>
      <c r="CP124" s="17" t="s">
        <v>158</v>
      </c>
      <c r="CQ124" s="17" t="s">
        <v>158</v>
      </c>
      <c r="CR124" s="17" t="s">
        <v>158</v>
      </c>
      <c r="CS124" s="17" t="s">
        <v>158</v>
      </c>
      <c r="CT124" s="17" t="s">
        <v>158</v>
      </c>
      <c r="CU124" s="17" t="s">
        <v>158</v>
      </c>
      <c r="CV124" s="17" t="s">
        <v>158</v>
      </c>
      <c r="CW124" s="17" t="s">
        <v>158</v>
      </c>
      <c r="CX124" s="17" t="s">
        <v>158</v>
      </c>
      <c r="CY124" s="67" t="s">
        <v>158</v>
      </c>
    </row>
    <row r="125" spans="1:103" x14ac:dyDescent="0.2">
      <c r="A125" s="35" t="s">
        <v>81</v>
      </c>
      <c r="B125" s="57" t="s">
        <v>81</v>
      </c>
      <c r="C125" s="14" t="s">
        <v>20</v>
      </c>
      <c r="E125" s="12"/>
      <c r="F125" s="13"/>
      <c r="G125" s="4">
        <v>42964</v>
      </c>
      <c r="H125" s="1">
        <v>2017</v>
      </c>
      <c r="I125" s="142" t="s">
        <v>33</v>
      </c>
      <c r="J125" s="142">
        <v>10</v>
      </c>
      <c r="K125" s="136">
        <v>0.82981511136988539</v>
      </c>
      <c r="L125" s="5">
        <v>5.8032829261988059</v>
      </c>
      <c r="M125" s="6">
        <v>9.6332518337408315E-2</v>
      </c>
      <c r="N125" s="6">
        <v>0.19850855745721271</v>
      </c>
      <c r="O125" s="6">
        <v>0.60342298288508556</v>
      </c>
      <c r="P125" s="6">
        <v>0.49694865525672371</v>
      </c>
      <c r="Q125" s="6">
        <v>1.2166601466992664</v>
      </c>
      <c r="R125" s="6">
        <v>1.1225330073349633</v>
      </c>
      <c r="S125" s="6">
        <v>0.57712469437652814</v>
      </c>
      <c r="T125" s="6">
        <v>4.3115305623471887</v>
      </c>
      <c r="U125" s="17">
        <f t="shared" si="78"/>
        <v>22.984529052461038</v>
      </c>
      <c r="V125" s="6">
        <f>0.5*0.013</f>
        <v>6.4999999999999997E-3</v>
      </c>
      <c r="W125" s="6">
        <v>0.16390767365384104</v>
      </c>
      <c r="X125" s="6">
        <v>7.6315005839863906E-2</v>
      </c>
      <c r="Y125" s="6">
        <v>0.22087258579075278</v>
      </c>
      <c r="Z125" s="6">
        <v>2.2385735046360079E-2</v>
      </c>
      <c r="AA125" s="6">
        <v>6.2646140349434942E-2</v>
      </c>
      <c r="AB125" s="6">
        <v>4.0497829765687783E-2</v>
      </c>
      <c r="AC125" s="6" t="s">
        <v>158</v>
      </c>
      <c r="AD125" s="6" t="s">
        <v>158</v>
      </c>
      <c r="AE125" s="17">
        <f t="shared" si="63"/>
        <v>0.57073923539958049</v>
      </c>
      <c r="AF125" s="6">
        <v>0.03</v>
      </c>
      <c r="AG125" s="18">
        <f>(AF125/K125)*5</f>
        <v>0.18076315789474498</v>
      </c>
      <c r="AH125" s="23">
        <v>9.7039999999999988</v>
      </c>
      <c r="AI125" s="6">
        <f t="shared" si="83"/>
        <v>0.1</v>
      </c>
      <c r="AJ125" s="6">
        <f t="shared" si="83"/>
        <v>0.1</v>
      </c>
      <c r="AK125" s="6">
        <f>0.5*0.02</f>
        <v>0.01</v>
      </c>
      <c r="AL125" s="6">
        <f t="shared" si="84"/>
        <v>0.05</v>
      </c>
      <c r="AM125" s="6">
        <f t="shared" si="84"/>
        <v>0.05</v>
      </c>
      <c r="AN125" s="6">
        <v>1.96469</v>
      </c>
      <c r="AO125" s="6">
        <v>1.6240000000000001</v>
      </c>
      <c r="AP125" s="6">
        <f t="shared" si="85"/>
        <v>2.5000000000000001E-2</v>
      </c>
      <c r="AQ125" s="6">
        <v>1.7265599999999999</v>
      </c>
      <c r="AR125" s="6">
        <v>0.55840000000000001</v>
      </c>
      <c r="AS125" s="5" t="s">
        <v>158</v>
      </c>
      <c r="AT125" s="5" t="s">
        <v>158</v>
      </c>
      <c r="AU125" s="5" t="s">
        <v>158</v>
      </c>
      <c r="AV125" s="5" t="s">
        <v>158</v>
      </c>
      <c r="AW125" s="5" t="s">
        <v>158</v>
      </c>
      <c r="BC125" s="6">
        <v>132</v>
      </c>
      <c r="BD125" s="6">
        <f t="shared" si="86"/>
        <v>0.1</v>
      </c>
      <c r="BE125" s="6">
        <f t="shared" si="91"/>
        <v>0.05</v>
      </c>
      <c r="BF125" s="6">
        <v>0.26100000000000001</v>
      </c>
      <c r="BG125" s="6">
        <f t="shared" si="87"/>
        <v>0.1</v>
      </c>
      <c r="BH125" s="6">
        <v>0.44500000000000001</v>
      </c>
      <c r="BI125" s="6">
        <v>20.437106374807989</v>
      </c>
      <c r="BJ125" s="6">
        <v>18.399999999999999</v>
      </c>
      <c r="BK125" s="6">
        <f t="shared" si="95"/>
        <v>2.5000000000000001E-2</v>
      </c>
      <c r="BL125" s="6">
        <v>16.407699692780337</v>
      </c>
      <c r="BM125" s="6">
        <v>4.5115994623655915</v>
      </c>
      <c r="BN125" s="24">
        <v>27</v>
      </c>
      <c r="BO125" s="6">
        <v>1.3611720482917833</v>
      </c>
      <c r="BP125" s="6">
        <v>1.6444438182484455</v>
      </c>
      <c r="BQ125" s="6">
        <v>9.7071580569010898</v>
      </c>
      <c r="BR125" s="6">
        <v>15.005279966887915</v>
      </c>
      <c r="BS125" s="6">
        <f t="shared" si="88"/>
        <v>0.1</v>
      </c>
      <c r="BT125" s="6">
        <v>2.0702666919764683</v>
      </c>
      <c r="BU125" s="6">
        <v>2.9984145867685736</v>
      </c>
      <c r="BV125" s="6">
        <v>0.29066590515646618</v>
      </c>
      <c r="BW125" s="6">
        <f>0.5*0.2</f>
        <v>0.1</v>
      </c>
      <c r="BX125" s="6">
        <v>2.4973528841141155</v>
      </c>
      <c r="BY125" s="6">
        <v>8.3150129123901717</v>
      </c>
      <c r="BZ125" s="6">
        <v>3.2680258926121724</v>
      </c>
      <c r="CA125" s="6">
        <f t="shared" si="90"/>
        <v>0.1</v>
      </c>
      <c r="CB125" s="6">
        <v>0.41465581003103635</v>
      </c>
      <c r="CC125" s="6">
        <v>40.090261065902574</v>
      </c>
      <c r="CD125" s="6">
        <v>0.30592828108136355</v>
      </c>
      <c r="CE125" s="6">
        <v>1.3980677827969616</v>
      </c>
      <c r="CF125" s="6">
        <f t="shared" si="89"/>
        <v>0.1</v>
      </c>
      <c r="CG125" s="6">
        <f t="shared" si="89"/>
        <v>0.1</v>
      </c>
      <c r="CH125" s="6">
        <f t="shared" si="89"/>
        <v>0.1</v>
      </c>
      <c r="CI125" s="17" t="s">
        <v>158</v>
      </c>
      <c r="CJ125" s="17" t="s">
        <v>158</v>
      </c>
      <c r="CK125" s="17" t="s">
        <v>158</v>
      </c>
      <c r="CL125" s="17" t="s">
        <v>158</v>
      </c>
      <c r="CM125" s="17" t="s">
        <v>158</v>
      </c>
      <c r="CN125" s="17" t="s">
        <v>158</v>
      </c>
      <c r="CO125" s="17" t="s">
        <v>158</v>
      </c>
      <c r="CP125" s="17" t="s">
        <v>158</v>
      </c>
      <c r="CQ125" s="17" t="s">
        <v>158</v>
      </c>
      <c r="CR125" s="17" t="s">
        <v>158</v>
      </c>
      <c r="CS125" s="17" t="s">
        <v>158</v>
      </c>
      <c r="CT125" s="17" t="s">
        <v>158</v>
      </c>
      <c r="CU125" s="17" t="s">
        <v>158</v>
      </c>
      <c r="CV125" s="17" t="s">
        <v>158</v>
      </c>
      <c r="CW125" s="17" t="s">
        <v>158</v>
      </c>
      <c r="CX125" s="17" t="s">
        <v>158</v>
      </c>
      <c r="CY125" s="67" t="s">
        <v>158</v>
      </c>
    </row>
    <row r="126" spans="1:103" x14ac:dyDescent="0.2">
      <c r="A126" s="35" t="s">
        <v>26</v>
      </c>
      <c r="B126" s="57" t="s">
        <v>26</v>
      </c>
      <c r="C126" s="14" t="s">
        <v>20</v>
      </c>
      <c r="E126" s="12"/>
      <c r="F126" s="13"/>
      <c r="G126" s="4">
        <v>42954</v>
      </c>
      <c r="H126" s="16">
        <v>2017</v>
      </c>
      <c r="I126" s="135" t="s">
        <v>33</v>
      </c>
      <c r="J126" s="135">
        <v>10</v>
      </c>
      <c r="K126" s="136">
        <v>0.43270805070873586</v>
      </c>
      <c r="L126" s="5">
        <v>8.1821929101401167</v>
      </c>
      <c r="M126" s="6">
        <v>5.03813286777543E-2</v>
      </c>
      <c r="N126" s="6">
        <v>8.2500229716070947E-2</v>
      </c>
      <c r="O126" s="6">
        <v>0.41545529725259583</v>
      </c>
      <c r="P126" s="6">
        <v>0.4735826518423229</v>
      </c>
      <c r="Q126" s="6">
        <v>1.0826380593586327</v>
      </c>
      <c r="R126" s="6">
        <v>1.0548470090967565</v>
      </c>
      <c r="S126" s="6">
        <v>0.47786455940457595</v>
      </c>
      <c r="T126" s="6">
        <v>3.6372691353487094</v>
      </c>
      <c r="U126" s="17">
        <f t="shared" si="78"/>
        <v>36.556824842114203</v>
      </c>
      <c r="V126" s="6">
        <f>0.5*0.013</f>
        <v>6.4999999999999997E-3</v>
      </c>
      <c r="W126" s="6">
        <v>2.2025394862093706E-2</v>
      </c>
      <c r="X126" s="6">
        <f>0.5*0.01</f>
        <v>5.0000000000000001E-3</v>
      </c>
      <c r="Y126" s="6">
        <v>2.2455996196163387E-2</v>
      </c>
      <c r="Z126" s="6">
        <f>0.5*0.013</f>
        <v>6.4999999999999997E-3</v>
      </c>
      <c r="AA126" s="6">
        <f>0.5*0.02</f>
        <v>0.01</v>
      </c>
      <c r="AB126" s="6">
        <f>0.5*0.013</f>
        <v>6.4999999999999997E-3</v>
      </c>
      <c r="AC126" s="6" t="s">
        <v>158</v>
      </c>
      <c r="AD126" s="6" t="s">
        <v>158</v>
      </c>
      <c r="AE126" s="17">
        <f t="shared" si="63"/>
        <v>7.2481391058257086E-2</v>
      </c>
      <c r="AF126" s="6">
        <f>0.5*0.03</f>
        <v>1.4999999999999999E-2</v>
      </c>
      <c r="AG126" s="18" t="s">
        <v>158</v>
      </c>
      <c r="AH126" s="23">
        <v>4.3474827245804546</v>
      </c>
      <c r="AI126" s="6">
        <f t="shared" si="83"/>
        <v>0.1</v>
      </c>
      <c r="AJ126" s="6">
        <f t="shared" si="83"/>
        <v>0.1</v>
      </c>
      <c r="AK126" s="6">
        <f>0.5*0.02</f>
        <v>0.01</v>
      </c>
      <c r="AL126" s="6">
        <f t="shared" si="84"/>
        <v>0.05</v>
      </c>
      <c r="AM126" s="6">
        <f t="shared" si="84"/>
        <v>0.05</v>
      </c>
      <c r="AN126" s="6">
        <v>0.14974333662388944</v>
      </c>
      <c r="AO126" s="6">
        <f>0.5*0.02</f>
        <v>0.01</v>
      </c>
      <c r="AP126" s="6">
        <f t="shared" si="85"/>
        <v>2.5000000000000001E-2</v>
      </c>
      <c r="AQ126" s="6">
        <v>9.1470878578479783E-2</v>
      </c>
      <c r="AR126" s="6">
        <f>0.5*0.05</f>
        <v>2.5000000000000001E-2</v>
      </c>
      <c r="AS126" s="5" t="s">
        <v>158</v>
      </c>
      <c r="AT126" s="5" t="s">
        <v>158</v>
      </c>
      <c r="AU126" s="5" t="s">
        <v>158</v>
      </c>
      <c r="AV126" s="5" t="s">
        <v>158</v>
      </c>
      <c r="AW126" s="5" t="s">
        <v>158</v>
      </c>
      <c r="BC126" s="6">
        <v>91.4</v>
      </c>
      <c r="BD126" s="6">
        <f t="shared" si="86"/>
        <v>0.1</v>
      </c>
      <c r="BE126" s="6">
        <f t="shared" si="91"/>
        <v>0.05</v>
      </c>
      <c r="BF126" s="6">
        <v>0.40799999999999997</v>
      </c>
      <c r="BG126" s="6">
        <f t="shared" si="87"/>
        <v>0.1</v>
      </c>
      <c r="BH126" s="6">
        <v>0.53300000000000003</v>
      </c>
      <c r="BI126" s="6">
        <v>4.3335108868330066</v>
      </c>
      <c r="BJ126" s="6">
        <v>0.504</v>
      </c>
      <c r="BK126" s="6">
        <f t="shared" si="95"/>
        <v>2.5000000000000001E-2</v>
      </c>
      <c r="BL126" s="6">
        <v>2.8130641996075134</v>
      </c>
      <c r="BM126" s="6">
        <f>0.5*0.05</f>
        <v>2.5000000000000001E-2</v>
      </c>
      <c r="BN126" s="24">
        <v>40</v>
      </c>
      <c r="BO126" s="6">
        <v>0.76673258977894021</v>
      </c>
      <c r="BP126" s="6">
        <v>4.672681813702078E-2</v>
      </c>
      <c r="BQ126" s="6">
        <v>0.29004837542681988</v>
      </c>
      <c r="BR126" s="6">
        <v>2.948287810410855</v>
      </c>
      <c r="BS126" s="6">
        <f t="shared" si="88"/>
        <v>0.1</v>
      </c>
      <c r="BT126" s="6" t="s">
        <v>165</v>
      </c>
      <c r="BU126" s="6">
        <f>0.5*2.5</f>
        <v>1.25</v>
      </c>
      <c r="BV126" s="6">
        <f>0.5*0.2</f>
        <v>0.1</v>
      </c>
      <c r="BW126" s="6">
        <f>0.5*0.2</f>
        <v>0.1</v>
      </c>
      <c r="BX126" s="6">
        <v>0.85883562054246732</v>
      </c>
      <c r="BY126" s="6">
        <v>0.77377127161330528</v>
      </c>
      <c r="BZ126" s="6">
        <v>2.9813387349800138</v>
      </c>
      <c r="CA126" s="6">
        <f t="shared" si="90"/>
        <v>0.1</v>
      </c>
      <c r="CB126" s="6">
        <f>0.5*0.2</f>
        <v>0.1</v>
      </c>
      <c r="CC126" s="6">
        <f>0.5*0.2</f>
        <v>0.1</v>
      </c>
      <c r="CD126" s="6">
        <v>0.16991732975048457</v>
      </c>
      <c r="CE126" s="6">
        <v>0.54</v>
      </c>
      <c r="CF126" s="6">
        <f t="shared" si="89"/>
        <v>0.1</v>
      </c>
      <c r="CG126" s="6">
        <f t="shared" si="89"/>
        <v>0.1</v>
      </c>
      <c r="CH126" s="6">
        <f t="shared" si="89"/>
        <v>0.1</v>
      </c>
      <c r="CI126" s="17" t="s">
        <v>158</v>
      </c>
      <c r="CJ126" s="17" t="s">
        <v>158</v>
      </c>
      <c r="CK126" s="17" t="s">
        <v>158</v>
      </c>
      <c r="CL126" s="17" t="s">
        <v>158</v>
      </c>
      <c r="CM126" s="17" t="s">
        <v>158</v>
      </c>
      <c r="CN126" s="17" t="s">
        <v>158</v>
      </c>
      <c r="CO126" s="17" t="s">
        <v>158</v>
      </c>
      <c r="CP126" s="17" t="s">
        <v>158</v>
      </c>
      <c r="CQ126" s="17" t="s">
        <v>158</v>
      </c>
      <c r="CR126" s="17" t="s">
        <v>158</v>
      </c>
      <c r="CS126" s="17" t="s">
        <v>158</v>
      </c>
      <c r="CT126" s="17" t="s">
        <v>158</v>
      </c>
      <c r="CU126" s="17" t="s">
        <v>158</v>
      </c>
      <c r="CV126" s="17" t="s">
        <v>158</v>
      </c>
      <c r="CW126" s="17" t="s">
        <v>158</v>
      </c>
      <c r="CX126" s="17" t="s">
        <v>158</v>
      </c>
      <c r="CY126" s="67" t="s">
        <v>158</v>
      </c>
    </row>
    <row r="127" spans="1:103" x14ac:dyDescent="0.2">
      <c r="A127" s="35" t="s">
        <v>7</v>
      </c>
      <c r="B127" s="57" t="s">
        <v>7</v>
      </c>
      <c r="C127" s="14" t="s">
        <v>20</v>
      </c>
      <c r="E127" s="12"/>
      <c r="F127" s="13"/>
      <c r="G127" s="4">
        <v>42956</v>
      </c>
      <c r="H127" s="1">
        <v>2017</v>
      </c>
      <c r="I127" s="142" t="s">
        <v>33</v>
      </c>
      <c r="J127" s="142">
        <v>10</v>
      </c>
      <c r="K127" s="136">
        <v>0.46805819101833057</v>
      </c>
      <c r="L127" s="5">
        <v>3.1455884252680653</v>
      </c>
      <c r="M127" s="6">
        <v>7.6562804284323271E-2</v>
      </c>
      <c r="N127" s="6">
        <v>0.40957643622200585</v>
      </c>
      <c r="O127" s="6">
        <v>1.5403992210321324</v>
      </c>
      <c r="P127" s="6">
        <v>1.3516553067185979</v>
      </c>
      <c r="Q127" s="6">
        <v>3.1436757546251219</v>
      </c>
      <c r="R127" s="6">
        <v>2.7204284323271666</v>
      </c>
      <c r="S127" s="6">
        <v>1.2466309639727362</v>
      </c>
      <c r="T127" s="6">
        <v>10.488928919182083</v>
      </c>
      <c r="U127" s="17">
        <f t="shared" si="78"/>
        <v>97.608307981791555</v>
      </c>
      <c r="V127" s="6">
        <f>0.5*0.013</f>
        <v>6.4999999999999997E-3</v>
      </c>
      <c r="W127" s="6">
        <v>0.12084940924830651</v>
      </c>
      <c r="X127" s="6">
        <v>4.4641664891511834E-2</v>
      </c>
      <c r="Y127" s="6">
        <v>0.12377145078534192</v>
      </c>
      <c r="Z127" s="6">
        <f>0.5*0.013</f>
        <v>6.4999999999999997E-3</v>
      </c>
      <c r="AA127" s="6">
        <v>2.6555868919140128E-2</v>
      </c>
      <c r="AB127" s="6">
        <v>2.2398682882786458E-2</v>
      </c>
      <c r="AC127" s="6" t="s">
        <v>158</v>
      </c>
      <c r="AD127" s="6" t="s">
        <v>158</v>
      </c>
      <c r="AE127" s="17">
        <f t="shared" si="63"/>
        <v>0.34471707672708685</v>
      </c>
      <c r="AF127" s="6">
        <v>0.12</v>
      </c>
      <c r="AG127" s="18">
        <f>(AF127/K127)*5</f>
        <v>1.2818918918919253</v>
      </c>
      <c r="AH127" s="23">
        <v>11.090217203388498</v>
      </c>
      <c r="AI127" s="6">
        <f t="shared" si="83"/>
        <v>0.1</v>
      </c>
      <c r="AJ127" s="6">
        <f t="shared" si="83"/>
        <v>0.1</v>
      </c>
      <c r="AK127" s="6">
        <f>0.5*0.02</f>
        <v>0.01</v>
      </c>
      <c r="AL127" s="6">
        <f t="shared" si="84"/>
        <v>0.05</v>
      </c>
      <c r="AM127" s="6">
        <f t="shared" si="84"/>
        <v>0.05</v>
      </c>
      <c r="AN127" s="6">
        <v>1.6104819986012227</v>
      </c>
      <c r="AO127" s="6">
        <v>1.1080751882062645</v>
      </c>
      <c r="AP127" s="6">
        <f t="shared" si="85"/>
        <v>2.5000000000000001E-2</v>
      </c>
      <c r="AQ127" s="6">
        <v>0.90754027378314239</v>
      </c>
      <c r="AR127" s="6">
        <f>0.5*0.05</f>
        <v>2.5000000000000001E-2</v>
      </c>
      <c r="AS127" s="5" t="s">
        <v>158</v>
      </c>
      <c r="AT127" s="5" t="s">
        <v>158</v>
      </c>
      <c r="AU127" s="5" t="s">
        <v>158</v>
      </c>
      <c r="AV127" s="5" t="s">
        <v>158</v>
      </c>
      <c r="AW127" s="5" t="s">
        <v>158</v>
      </c>
      <c r="BC127" s="6">
        <v>235</v>
      </c>
      <c r="BD127" s="6">
        <f t="shared" si="86"/>
        <v>0.1</v>
      </c>
      <c r="BE127" s="6">
        <f t="shared" si="91"/>
        <v>0.05</v>
      </c>
      <c r="BF127" s="6">
        <v>0.40799999999999997</v>
      </c>
      <c r="BG127" s="6">
        <f t="shared" si="87"/>
        <v>0.1</v>
      </c>
      <c r="BH127" s="6">
        <v>0.58099999999999996</v>
      </c>
      <c r="BI127" s="6">
        <v>26.279533630620588</v>
      </c>
      <c r="BJ127" s="6">
        <v>18.899999999999999</v>
      </c>
      <c r="BK127" s="6">
        <f t="shared" si="95"/>
        <v>2.5000000000000001E-2</v>
      </c>
      <c r="BL127" s="6">
        <v>14.762411742846524</v>
      </c>
      <c r="BM127" s="6">
        <v>0.42110925306577479</v>
      </c>
      <c r="BN127" s="24">
        <v>160</v>
      </c>
      <c r="BO127" s="6">
        <v>1.02959689227896</v>
      </c>
      <c r="BP127" s="6">
        <v>0.43569599142915366</v>
      </c>
      <c r="BQ127" s="6">
        <v>0.14792084186189128</v>
      </c>
      <c r="BR127" s="6">
        <v>2.4661024357520311</v>
      </c>
      <c r="BS127" s="6">
        <v>0.2216714311777937</v>
      </c>
      <c r="BT127" s="6">
        <v>1.9359517680412279</v>
      </c>
      <c r="BU127" s="6">
        <f>0.5*2.5</f>
        <v>1.25</v>
      </c>
      <c r="BV127" s="6">
        <f>0.5*0.2</f>
        <v>0.1</v>
      </c>
      <c r="BW127" s="6">
        <f>0.5*0.2</f>
        <v>0.1</v>
      </c>
      <c r="BX127" s="6">
        <v>1.6030273911431345</v>
      </c>
      <c r="BY127" s="6">
        <v>2.0619313969650945</v>
      </c>
      <c r="BZ127" s="6">
        <v>2.1148820418676868</v>
      </c>
      <c r="CA127" s="6">
        <f t="shared" si="90"/>
        <v>0.1</v>
      </c>
      <c r="CB127" s="6">
        <v>0.22514680442846036</v>
      </c>
      <c r="CC127" s="6">
        <v>10.00967189666185</v>
      </c>
      <c r="CD127" s="6">
        <v>0.22868096315545913</v>
      </c>
      <c r="CE127" s="6">
        <f>0.5*0.5</f>
        <v>0.25</v>
      </c>
      <c r="CF127" s="6">
        <f t="shared" si="89"/>
        <v>0.1</v>
      </c>
      <c r="CG127" s="6">
        <f t="shared" si="89"/>
        <v>0.1</v>
      </c>
      <c r="CH127" s="6">
        <f t="shared" si="89"/>
        <v>0.1</v>
      </c>
      <c r="CI127" s="17" t="s">
        <v>158</v>
      </c>
      <c r="CJ127" s="17" t="s">
        <v>158</v>
      </c>
      <c r="CK127" s="17" t="s">
        <v>158</v>
      </c>
      <c r="CL127" s="17" t="s">
        <v>158</v>
      </c>
      <c r="CM127" s="17" t="s">
        <v>158</v>
      </c>
      <c r="CN127" s="17" t="s">
        <v>158</v>
      </c>
      <c r="CO127" s="17" t="s">
        <v>158</v>
      </c>
      <c r="CP127" s="17" t="s">
        <v>158</v>
      </c>
      <c r="CQ127" s="17" t="s">
        <v>158</v>
      </c>
      <c r="CR127" s="17" t="s">
        <v>158</v>
      </c>
      <c r="CS127" s="17" t="s">
        <v>158</v>
      </c>
      <c r="CT127" s="17" t="s">
        <v>158</v>
      </c>
      <c r="CU127" s="17" t="s">
        <v>158</v>
      </c>
      <c r="CV127" s="17" t="s">
        <v>158</v>
      </c>
      <c r="CW127" s="17" t="s">
        <v>158</v>
      </c>
      <c r="CX127" s="17" t="s">
        <v>158</v>
      </c>
      <c r="CY127" s="67" t="s">
        <v>158</v>
      </c>
    </row>
    <row r="128" spans="1:103" x14ac:dyDescent="0.2">
      <c r="A128" s="32" t="s">
        <v>32</v>
      </c>
      <c r="B128" s="14" t="s">
        <v>32</v>
      </c>
      <c r="C128" s="14" t="s">
        <v>31</v>
      </c>
      <c r="G128" s="16" t="s">
        <v>31</v>
      </c>
      <c r="H128" s="16">
        <v>2016</v>
      </c>
      <c r="I128" s="142" t="s">
        <v>3</v>
      </c>
      <c r="J128" s="142" t="s">
        <v>158</v>
      </c>
      <c r="K128" s="136" t="s">
        <v>158</v>
      </c>
      <c r="L128" s="5" t="s">
        <v>158</v>
      </c>
      <c r="M128" s="5">
        <v>1.4999999999999999E-2</v>
      </c>
      <c r="N128" s="5">
        <v>2.3E-2</v>
      </c>
      <c r="O128" s="5">
        <v>0.01</v>
      </c>
      <c r="P128" s="5">
        <v>0.01</v>
      </c>
      <c r="Q128" s="5">
        <v>5.0000000000000001E-3</v>
      </c>
      <c r="R128" s="5">
        <v>0.01</v>
      </c>
      <c r="S128" s="5">
        <v>5.0000000000000001E-3</v>
      </c>
      <c r="T128" s="5" t="s">
        <v>158</v>
      </c>
      <c r="U128" s="17" t="s">
        <v>158</v>
      </c>
      <c r="V128" s="5">
        <v>1.2999999999999999E-2</v>
      </c>
      <c r="W128" s="5">
        <v>0.01</v>
      </c>
      <c r="X128" s="5">
        <v>1.2999999999999999E-2</v>
      </c>
      <c r="Y128" s="5">
        <v>1.4999999999999999E-2</v>
      </c>
      <c r="Z128" s="5">
        <v>0.01</v>
      </c>
      <c r="AA128" s="5">
        <v>0.02</v>
      </c>
      <c r="AB128" s="5">
        <v>1.2999999999999999E-2</v>
      </c>
      <c r="AC128" s="5">
        <v>0.1</v>
      </c>
      <c r="AD128" s="5" t="s">
        <v>158</v>
      </c>
      <c r="AE128" s="17">
        <f t="shared" si="63"/>
        <v>8.4000000000000005E-2</v>
      </c>
      <c r="AF128" s="5">
        <v>0.3</v>
      </c>
      <c r="AG128" s="18" t="s">
        <v>158</v>
      </c>
      <c r="AH128" s="18">
        <v>0.2</v>
      </c>
      <c r="AI128" s="5">
        <v>0.2</v>
      </c>
      <c r="AJ128" s="5">
        <v>0.2</v>
      </c>
      <c r="AK128" s="5">
        <v>0.02</v>
      </c>
      <c r="AL128" s="5">
        <v>0.1</v>
      </c>
      <c r="AM128" s="5">
        <v>0.1</v>
      </c>
      <c r="AN128" s="5">
        <v>0.1</v>
      </c>
      <c r="AO128" s="5">
        <v>0.02</v>
      </c>
      <c r="AP128" s="5">
        <v>0.05</v>
      </c>
      <c r="AQ128" s="5">
        <v>0.1</v>
      </c>
      <c r="AR128" s="5">
        <v>0.05</v>
      </c>
      <c r="AS128" s="5" t="s">
        <v>158</v>
      </c>
      <c r="AT128" s="5" t="s">
        <v>158</v>
      </c>
      <c r="AU128" s="5" t="s">
        <v>158</v>
      </c>
      <c r="AV128" s="5" t="s">
        <v>158</v>
      </c>
      <c r="AW128" s="5" t="s">
        <v>158</v>
      </c>
      <c r="BC128" s="5">
        <v>0.2</v>
      </c>
      <c r="BD128" s="5">
        <v>0.2</v>
      </c>
      <c r="BE128" s="5">
        <v>0.21</v>
      </c>
      <c r="BF128" s="5">
        <v>0.02</v>
      </c>
      <c r="BG128" s="5">
        <v>0.2</v>
      </c>
      <c r="BH128" s="5">
        <v>0.05</v>
      </c>
      <c r="BI128" s="5">
        <v>0.1</v>
      </c>
      <c r="BJ128" s="5">
        <v>0.1</v>
      </c>
      <c r="BK128" s="5">
        <v>0.05</v>
      </c>
      <c r="BL128" s="5">
        <v>0.1</v>
      </c>
      <c r="BM128" s="5">
        <v>0.05</v>
      </c>
      <c r="BN128" s="17">
        <v>0.03</v>
      </c>
      <c r="BO128" s="5" t="s">
        <v>158</v>
      </c>
      <c r="BP128" s="5" t="s">
        <v>158</v>
      </c>
      <c r="BQ128" s="5" t="s">
        <v>158</v>
      </c>
      <c r="BR128" s="5" t="s">
        <v>158</v>
      </c>
      <c r="BS128" s="5" t="s">
        <v>158</v>
      </c>
      <c r="BT128" s="5" t="s">
        <v>158</v>
      </c>
      <c r="BU128" s="5" t="s">
        <v>158</v>
      </c>
      <c r="BV128" s="5" t="s">
        <v>158</v>
      </c>
      <c r="BW128" s="5" t="s">
        <v>158</v>
      </c>
      <c r="BX128" s="5" t="s">
        <v>158</v>
      </c>
      <c r="BY128" s="5" t="s">
        <v>158</v>
      </c>
      <c r="BZ128" s="5" t="s">
        <v>158</v>
      </c>
      <c r="CA128" s="5" t="s">
        <v>158</v>
      </c>
      <c r="CB128" s="5" t="s">
        <v>158</v>
      </c>
      <c r="CC128" s="5" t="s">
        <v>158</v>
      </c>
      <c r="CD128" s="5" t="s">
        <v>158</v>
      </c>
      <c r="CE128" s="5" t="s">
        <v>158</v>
      </c>
      <c r="CF128" s="5" t="s">
        <v>158</v>
      </c>
      <c r="CG128" s="5" t="s">
        <v>158</v>
      </c>
      <c r="CH128" s="5" t="s">
        <v>158</v>
      </c>
      <c r="CI128" s="17" t="s">
        <v>158</v>
      </c>
      <c r="CJ128" s="17" t="s">
        <v>158</v>
      </c>
      <c r="CK128" s="17" t="s">
        <v>158</v>
      </c>
      <c r="CL128" s="17" t="s">
        <v>158</v>
      </c>
      <c r="CM128" s="17" t="s">
        <v>158</v>
      </c>
      <c r="CN128" s="17" t="s">
        <v>158</v>
      </c>
      <c r="CO128" s="17" t="s">
        <v>158</v>
      </c>
      <c r="CP128" s="17" t="s">
        <v>158</v>
      </c>
      <c r="CQ128" s="17" t="s">
        <v>158</v>
      </c>
      <c r="CR128" s="17" t="s">
        <v>158</v>
      </c>
      <c r="CS128" s="17" t="s">
        <v>158</v>
      </c>
      <c r="CT128" s="17" t="s">
        <v>158</v>
      </c>
      <c r="CU128" s="17" t="s">
        <v>158</v>
      </c>
      <c r="CV128" s="17" t="s">
        <v>158</v>
      </c>
      <c r="CW128" s="17" t="s">
        <v>158</v>
      </c>
      <c r="CX128" s="17" t="s">
        <v>158</v>
      </c>
      <c r="CY128" s="67" t="s">
        <v>158</v>
      </c>
    </row>
    <row r="129" spans="1:103" x14ac:dyDescent="0.2">
      <c r="A129" s="32" t="s">
        <v>21</v>
      </c>
      <c r="B129" s="14" t="s">
        <v>21</v>
      </c>
      <c r="C129" s="14" t="s">
        <v>20</v>
      </c>
      <c r="G129" s="28">
        <v>42614</v>
      </c>
      <c r="H129" s="16">
        <v>2016</v>
      </c>
      <c r="I129" s="135" t="s">
        <v>33</v>
      </c>
      <c r="J129" s="135">
        <v>10</v>
      </c>
      <c r="K129" s="136">
        <v>0.66067168287758504</v>
      </c>
      <c r="L129" s="5">
        <v>2.8733346589779099</v>
      </c>
      <c r="M129" s="5">
        <f>0.5*0.015</f>
        <v>7.4999999999999997E-3</v>
      </c>
      <c r="N129" s="5">
        <v>0.13023213306525316</v>
      </c>
      <c r="O129" s="5">
        <v>1.297569000182782</v>
      </c>
      <c r="P129" s="5">
        <v>1.0118351306890878</v>
      </c>
      <c r="Q129" s="5">
        <v>5.6161181518598653</v>
      </c>
      <c r="R129" s="5">
        <v>4.4733788756080939</v>
      </c>
      <c r="S129" s="5">
        <v>1.9288064339243283</v>
      </c>
      <c r="T129" s="5">
        <v>14.45793972532941</v>
      </c>
      <c r="U129" s="17">
        <f t="shared" si="78"/>
        <v>101.81762699471658</v>
      </c>
      <c r="V129" s="5">
        <f>0.5*0.011</f>
        <v>5.4999999999999997E-3</v>
      </c>
      <c r="W129" s="5">
        <v>0.2511431386121587</v>
      </c>
      <c r="X129" s="5">
        <v>8.5350901242628369E-2</v>
      </c>
      <c r="Y129" s="5">
        <v>6.2817256224294335E-2</v>
      </c>
      <c r="Z129" s="5">
        <v>2.1274782168147783E-2</v>
      </c>
      <c r="AA129" s="5">
        <v>4.6955584311947463E-2</v>
      </c>
      <c r="AB129" s="5">
        <v>1.2840401071899843E-2</v>
      </c>
      <c r="AC129" s="5">
        <f t="shared" ref="AC129:AC137" si="96">0.5*0.1</f>
        <v>0.05</v>
      </c>
      <c r="AD129" s="5">
        <v>0.480382063631076</v>
      </c>
      <c r="AE129" s="17">
        <f t="shared" si="63"/>
        <v>0.46460728146292868</v>
      </c>
      <c r="AF129" s="5">
        <f t="shared" ref="AF129:AF135" si="97">0.5*0.1</f>
        <v>0.05</v>
      </c>
      <c r="AG129" s="18" t="s">
        <v>158</v>
      </c>
      <c r="AH129" s="18">
        <v>19.739661185849528</v>
      </c>
      <c r="AI129" s="5">
        <f t="shared" ref="AI129:AI141" si="98">0.5*0.5</f>
        <v>0.25</v>
      </c>
      <c r="AJ129" s="5">
        <f t="shared" ref="AJ129:AJ141" si="99">0.5*0.2</f>
        <v>0.1</v>
      </c>
      <c r="AK129" s="5">
        <f t="shared" ref="AK129:AK141" si="100">0.5*0.02</f>
        <v>0.01</v>
      </c>
      <c r="AL129" s="5">
        <f t="shared" ref="AL129:AM141" si="101">0.5*0.1</f>
        <v>0.05</v>
      </c>
      <c r="AM129" s="5">
        <f t="shared" si="101"/>
        <v>0.05</v>
      </c>
      <c r="AN129" s="5">
        <v>0.70112938050157791</v>
      </c>
      <c r="AO129" s="5">
        <v>0.67796047168244478</v>
      </c>
      <c r="AP129" s="5">
        <f t="shared" ref="AP129:AP141" si="102">0.5*0.05</f>
        <v>2.5000000000000001E-2</v>
      </c>
      <c r="AQ129" s="5">
        <v>0.39760837070254113</v>
      </c>
      <c r="AR129" s="5">
        <f>0.5*0.05</f>
        <v>2.5000000000000001E-2</v>
      </c>
      <c r="AS129" s="5" t="s">
        <v>158</v>
      </c>
      <c r="AT129" s="5" t="s">
        <v>158</v>
      </c>
      <c r="AU129" s="5" t="s">
        <v>158</v>
      </c>
      <c r="AV129" s="5" t="s">
        <v>158</v>
      </c>
      <c r="AW129" s="5" t="s">
        <v>158</v>
      </c>
      <c r="BC129" s="5">
        <v>320</v>
      </c>
      <c r="BD129" s="5">
        <f t="shared" ref="BD129:BD141" si="103">0.5*0.3</f>
        <v>0.15</v>
      </c>
      <c r="BE129" s="5">
        <f t="shared" ref="BE129:BE141" si="104">0.5*0.1</f>
        <v>0.05</v>
      </c>
      <c r="BF129" s="5">
        <v>8.8244978597299975E-2</v>
      </c>
      <c r="BG129" s="5">
        <f t="shared" ref="BG129:BG141" si="105">0.5*0.2</f>
        <v>0.1</v>
      </c>
      <c r="BH129" s="5">
        <v>0.2446493249917682</v>
      </c>
      <c r="BI129" s="5">
        <v>8.4818077049720113</v>
      </c>
      <c r="BJ129" s="5">
        <v>7.0003292723081998</v>
      </c>
      <c r="BK129" s="5">
        <f t="shared" ref="BK129:BK141" si="106">0.5*0.05</f>
        <v>2.5000000000000001E-2</v>
      </c>
      <c r="BL129" s="5">
        <v>6.4260783668093504</v>
      </c>
      <c r="BM129" s="5">
        <v>0.25384425419822187</v>
      </c>
      <c r="BN129" s="17">
        <v>100</v>
      </c>
      <c r="BO129" s="5" t="s">
        <v>158</v>
      </c>
      <c r="BP129" s="5" t="s">
        <v>158</v>
      </c>
      <c r="BQ129" s="5" t="s">
        <v>158</v>
      </c>
      <c r="BR129" s="5" t="s">
        <v>158</v>
      </c>
      <c r="BS129" s="5" t="s">
        <v>158</v>
      </c>
      <c r="BT129" s="5" t="s">
        <v>158</v>
      </c>
      <c r="BU129" s="5" t="s">
        <v>158</v>
      </c>
      <c r="BV129" s="5" t="s">
        <v>158</v>
      </c>
      <c r="BW129" s="5" t="s">
        <v>158</v>
      </c>
      <c r="BX129" s="5" t="s">
        <v>158</v>
      </c>
      <c r="BY129" s="5" t="s">
        <v>158</v>
      </c>
      <c r="BZ129" s="5" t="s">
        <v>158</v>
      </c>
      <c r="CA129" s="5" t="s">
        <v>158</v>
      </c>
      <c r="CB129" s="5" t="s">
        <v>158</v>
      </c>
      <c r="CC129" s="5" t="s">
        <v>158</v>
      </c>
      <c r="CD129" s="5" t="s">
        <v>158</v>
      </c>
      <c r="CE129" s="5" t="s">
        <v>158</v>
      </c>
      <c r="CF129" s="5" t="s">
        <v>158</v>
      </c>
      <c r="CG129" s="5" t="s">
        <v>158</v>
      </c>
      <c r="CH129" s="5" t="s">
        <v>158</v>
      </c>
      <c r="CI129" s="17" t="s">
        <v>158</v>
      </c>
      <c r="CJ129" s="17" t="s">
        <v>158</v>
      </c>
      <c r="CK129" s="17" t="s">
        <v>158</v>
      </c>
      <c r="CL129" s="17" t="s">
        <v>158</v>
      </c>
      <c r="CM129" s="17" t="s">
        <v>158</v>
      </c>
      <c r="CN129" s="17" t="s">
        <v>158</v>
      </c>
      <c r="CO129" s="17" t="s">
        <v>158</v>
      </c>
      <c r="CP129" s="17" t="s">
        <v>158</v>
      </c>
      <c r="CQ129" s="17" t="s">
        <v>158</v>
      </c>
      <c r="CR129" s="17" t="s">
        <v>158</v>
      </c>
      <c r="CS129" s="17" t="s">
        <v>158</v>
      </c>
      <c r="CT129" s="17" t="s">
        <v>158</v>
      </c>
      <c r="CU129" s="17" t="s">
        <v>158</v>
      </c>
      <c r="CV129" s="17" t="s">
        <v>158</v>
      </c>
      <c r="CW129" s="17" t="s">
        <v>158</v>
      </c>
      <c r="CX129" s="17" t="s">
        <v>158</v>
      </c>
      <c r="CY129" s="67" t="s">
        <v>158</v>
      </c>
    </row>
    <row r="130" spans="1:103" x14ac:dyDescent="0.2">
      <c r="A130" s="32" t="s">
        <v>22</v>
      </c>
      <c r="B130" s="14" t="s">
        <v>22</v>
      </c>
      <c r="C130" s="14" t="s">
        <v>20</v>
      </c>
      <c r="G130" s="28">
        <v>42622</v>
      </c>
      <c r="H130" s="16">
        <v>2016</v>
      </c>
      <c r="I130" s="135" t="s">
        <v>33</v>
      </c>
      <c r="J130" s="135">
        <v>10</v>
      </c>
      <c r="K130" s="136">
        <v>0.77300741669277995</v>
      </c>
      <c r="L130" s="5">
        <v>3.0766619279000098</v>
      </c>
      <c r="M130" s="5">
        <v>0.12132208709297765</v>
      </c>
      <c r="N130" s="5">
        <v>1.2118477834444881</v>
      </c>
      <c r="O130" s="5">
        <v>4.4219616338628036</v>
      </c>
      <c r="P130" s="5">
        <v>3.2032687649718539</v>
      </c>
      <c r="Q130" s="5">
        <v>9.3394304210469503</v>
      </c>
      <c r="R130" s="5">
        <v>7.8275574323083426</v>
      </c>
      <c r="S130" s="5">
        <v>2.7995292271479011</v>
      </c>
      <c r="T130" s="5">
        <v>28.924917349875319</v>
      </c>
      <c r="U130" s="17">
        <f t="shared" si="78"/>
        <v>166.37387966437936</v>
      </c>
      <c r="V130" s="5">
        <f>0.5*0.012</f>
        <v>6.0000000000000001E-3</v>
      </c>
      <c r="W130" s="5">
        <v>0.19571812144278775</v>
      </c>
      <c r="X130" s="5">
        <v>7.7131717232803432E-2</v>
      </c>
      <c r="Y130" s="5">
        <v>0.15874111842481453</v>
      </c>
      <c r="Z130" s="5">
        <v>2.9321607861908423E-2</v>
      </c>
      <c r="AA130" s="5">
        <v>5.1421144821868957E-2</v>
      </c>
      <c r="AB130" s="5">
        <v>3.2065994804648619E-2</v>
      </c>
      <c r="AC130" s="5">
        <f t="shared" si="96"/>
        <v>0.05</v>
      </c>
      <c r="AD130" s="5">
        <v>0.54439970458883169</v>
      </c>
      <c r="AE130" s="17">
        <f t="shared" si="63"/>
        <v>0.52107809672692329</v>
      </c>
      <c r="AF130" s="5">
        <f t="shared" si="97"/>
        <v>0.05</v>
      </c>
      <c r="AG130" s="18" t="s">
        <v>158</v>
      </c>
      <c r="AH130" s="18">
        <v>5.9728672696162306</v>
      </c>
      <c r="AI130" s="5">
        <f t="shared" si="98"/>
        <v>0.25</v>
      </c>
      <c r="AJ130" s="5">
        <f t="shared" si="99"/>
        <v>0.1</v>
      </c>
      <c r="AK130" s="5">
        <f t="shared" si="100"/>
        <v>0.01</v>
      </c>
      <c r="AL130" s="5">
        <f t="shared" si="101"/>
        <v>0.05</v>
      </c>
      <c r="AM130" s="5">
        <f t="shared" si="101"/>
        <v>0.05</v>
      </c>
      <c r="AN130" s="5">
        <v>0.23816507781308563</v>
      </c>
      <c r="AO130" s="5">
        <v>0.12336022162470464</v>
      </c>
      <c r="AP130" s="5">
        <f t="shared" si="102"/>
        <v>2.5000000000000001E-2</v>
      </c>
      <c r="AQ130" s="5">
        <v>0.21494337162877858</v>
      </c>
      <c r="AR130" s="5">
        <v>0.122</v>
      </c>
      <c r="AS130" s="5" t="s">
        <v>158</v>
      </c>
      <c r="AT130" s="5" t="s">
        <v>158</v>
      </c>
      <c r="AU130" s="5" t="s">
        <v>158</v>
      </c>
      <c r="AV130" s="5" t="s">
        <v>158</v>
      </c>
      <c r="AW130" s="5" t="s">
        <v>158</v>
      </c>
      <c r="BC130" s="5">
        <v>130</v>
      </c>
      <c r="BD130" s="5">
        <f t="shared" si="103"/>
        <v>0.15</v>
      </c>
      <c r="BE130" s="5">
        <f t="shared" si="104"/>
        <v>0.05</v>
      </c>
      <c r="BF130" s="5">
        <v>8.4673255642425158E-2</v>
      </c>
      <c r="BG130" s="5">
        <f t="shared" si="105"/>
        <v>0.1</v>
      </c>
      <c r="BH130" s="5">
        <v>0.50685941879333241</v>
      </c>
      <c r="BI130" s="5">
        <v>4.4724148104440182</v>
      </c>
      <c r="BJ130" s="5">
        <v>1.8911343856025964</v>
      </c>
      <c r="BK130" s="5">
        <f t="shared" si="106"/>
        <v>2.5000000000000001E-2</v>
      </c>
      <c r="BL130" s="5">
        <v>4.9907065938929049</v>
      </c>
      <c r="BM130" s="5">
        <v>0.99304469685794383</v>
      </c>
      <c r="BN130" s="17">
        <v>120</v>
      </c>
      <c r="BO130" s="5" t="s">
        <v>158</v>
      </c>
      <c r="BP130" s="5" t="s">
        <v>158</v>
      </c>
      <c r="BQ130" s="5" t="s">
        <v>158</v>
      </c>
      <c r="BR130" s="5" t="s">
        <v>158</v>
      </c>
      <c r="BS130" s="5" t="s">
        <v>158</v>
      </c>
      <c r="BT130" s="5" t="s">
        <v>158</v>
      </c>
      <c r="BU130" s="5" t="s">
        <v>158</v>
      </c>
      <c r="BV130" s="5" t="s">
        <v>158</v>
      </c>
      <c r="BW130" s="5" t="s">
        <v>158</v>
      </c>
      <c r="BX130" s="5" t="s">
        <v>158</v>
      </c>
      <c r="BY130" s="5" t="s">
        <v>158</v>
      </c>
      <c r="BZ130" s="5" t="s">
        <v>158</v>
      </c>
      <c r="CA130" s="5" t="s">
        <v>158</v>
      </c>
      <c r="CB130" s="5" t="s">
        <v>158</v>
      </c>
      <c r="CC130" s="5" t="s">
        <v>158</v>
      </c>
      <c r="CD130" s="5" t="s">
        <v>158</v>
      </c>
      <c r="CE130" s="5" t="s">
        <v>158</v>
      </c>
      <c r="CF130" s="5" t="s">
        <v>158</v>
      </c>
      <c r="CG130" s="5" t="s">
        <v>158</v>
      </c>
      <c r="CH130" s="5" t="s">
        <v>158</v>
      </c>
      <c r="CI130" s="17" t="s">
        <v>158</v>
      </c>
      <c r="CJ130" s="17" t="s">
        <v>158</v>
      </c>
      <c r="CK130" s="17" t="s">
        <v>158</v>
      </c>
      <c r="CL130" s="17" t="s">
        <v>158</v>
      </c>
      <c r="CM130" s="17" t="s">
        <v>158</v>
      </c>
      <c r="CN130" s="17" t="s">
        <v>158</v>
      </c>
      <c r="CO130" s="17" t="s">
        <v>158</v>
      </c>
      <c r="CP130" s="17" t="s">
        <v>158</v>
      </c>
      <c r="CQ130" s="17" t="s">
        <v>158</v>
      </c>
      <c r="CR130" s="17" t="s">
        <v>158</v>
      </c>
      <c r="CS130" s="17" t="s">
        <v>158</v>
      </c>
      <c r="CT130" s="17" t="s">
        <v>158</v>
      </c>
      <c r="CU130" s="17" t="s">
        <v>158</v>
      </c>
      <c r="CV130" s="17" t="s">
        <v>158</v>
      </c>
      <c r="CW130" s="17" t="s">
        <v>158</v>
      </c>
      <c r="CX130" s="17" t="s">
        <v>158</v>
      </c>
      <c r="CY130" s="67" t="s">
        <v>158</v>
      </c>
    </row>
    <row r="131" spans="1:103" x14ac:dyDescent="0.2">
      <c r="A131" s="32" t="s">
        <v>23</v>
      </c>
      <c r="B131" s="14" t="s">
        <v>23</v>
      </c>
      <c r="C131" s="14" t="s">
        <v>20</v>
      </c>
      <c r="G131" s="28">
        <v>42627</v>
      </c>
      <c r="H131" s="16">
        <v>2016</v>
      </c>
      <c r="I131" s="135" t="s">
        <v>33</v>
      </c>
      <c r="J131" s="135">
        <v>10</v>
      </c>
      <c r="K131" s="136">
        <v>0.71662571662572006</v>
      </c>
      <c r="L131" s="5">
        <v>3.1573743713192699</v>
      </c>
      <c r="M131" s="5">
        <v>0.3024430523827647</v>
      </c>
      <c r="N131" s="5">
        <v>1.7931659333722441</v>
      </c>
      <c r="O131" s="5">
        <v>6.4924432824580691</v>
      </c>
      <c r="P131" s="5">
        <v>4.7824289781256848</v>
      </c>
      <c r="Q131" s="5">
        <v>9.8990612258406614</v>
      </c>
      <c r="R131" s="5">
        <v>8.6676067013755986</v>
      </c>
      <c r="S131" s="5">
        <v>3.5683876039350384</v>
      </c>
      <c r="T131" s="5">
        <v>35.505536777490057</v>
      </c>
      <c r="U131" s="17">
        <f t="shared" si="78"/>
        <v>214.35951213156412</v>
      </c>
      <c r="V131" s="5">
        <f>0.5*0.012</f>
        <v>6.0000000000000001E-3</v>
      </c>
      <c r="W131" s="5">
        <v>5.8149948861757832E-2</v>
      </c>
      <c r="X131" s="5">
        <v>1.7721482106999017E-2</v>
      </c>
      <c r="Y131" s="5">
        <v>1.8086875371105329E-2</v>
      </c>
      <c r="Z131" s="5">
        <f>0.5*0.012</f>
        <v>6.0000000000000001E-3</v>
      </c>
      <c r="AA131" s="5">
        <v>2.0214889958979045E-2</v>
      </c>
      <c r="AB131" s="5">
        <v>3.3030907942994653E-2</v>
      </c>
      <c r="AC131" s="5">
        <f t="shared" si="96"/>
        <v>0.05</v>
      </c>
      <c r="AD131" s="5">
        <v>0.14720410424183586</v>
      </c>
      <c r="AE131" s="17">
        <f t="shared" si="63"/>
        <v>0.15320410424183586</v>
      </c>
      <c r="AF131" s="5">
        <f t="shared" si="97"/>
        <v>0.05</v>
      </c>
      <c r="AG131" s="18" t="s">
        <v>158</v>
      </c>
      <c r="AH131" s="18">
        <v>7.2426350245499185</v>
      </c>
      <c r="AI131" s="5">
        <f t="shared" si="98"/>
        <v>0.25</v>
      </c>
      <c r="AJ131" s="5">
        <f t="shared" si="99"/>
        <v>0.1</v>
      </c>
      <c r="AK131" s="5">
        <f t="shared" si="100"/>
        <v>0.01</v>
      </c>
      <c r="AL131" s="5">
        <f t="shared" si="101"/>
        <v>0.05</v>
      </c>
      <c r="AM131" s="5">
        <f t="shared" si="101"/>
        <v>0.05</v>
      </c>
      <c r="AN131" s="5">
        <v>0.57144026186579377</v>
      </c>
      <c r="AO131" s="5">
        <v>0.25973813420621927</v>
      </c>
      <c r="AP131" s="5">
        <f t="shared" si="102"/>
        <v>2.5000000000000001E-2</v>
      </c>
      <c r="AQ131" s="5">
        <v>0.54893617021276597</v>
      </c>
      <c r="AR131" s="5">
        <v>7.6972176759410801E-2</v>
      </c>
      <c r="AS131" s="5" t="s">
        <v>158</v>
      </c>
      <c r="AT131" s="5" t="s">
        <v>158</v>
      </c>
      <c r="AU131" s="5" t="s">
        <v>158</v>
      </c>
      <c r="AV131" s="5" t="s">
        <v>158</v>
      </c>
      <c r="AW131" s="5" t="s">
        <v>158</v>
      </c>
      <c r="BC131" s="5">
        <v>120</v>
      </c>
      <c r="BD131" s="5">
        <f t="shared" si="103"/>
        <v>0.15</v>
      </c>
      <c r="BE131" s="5">
        <f t="shared" si="104"/>
        <v>0.05</v>
      </c>
      <c r="BF131" s="5">
        <v>0.19066286528866713</v>
      </c>
      <c r="BG131" s="5">
        <f t="shared" si="105"/>
        <v>0.1</v>
      </c>
      <c r="BH131" s="5">
        <v>0.5659301496792587</v>
      </c>
      <c r="BI131" s="5">
        <v>9.3226122594440479</v>
      </c>
      <c r="BJ131" s="5">
        <v>2.622950819672131</v>
      </c>
      <c r="BK131" s="5">
        <f t="shared" si="106"/>
        <v>2.5000000000000001E-2</v>
      </c>
      <c r="BL131" s="5">
        <v>10.786172487526729</v>
      </c>
      <c r="BM131" s="5">
        <v>0.37630969351389876</v>
      </c>
      <c r="BN131" s="17">
        <v>550</v>
      </c>
      <c r="BO131" s="5" t="s">
        <v>158</v>
      </c>
      <c r="BP131" s="5" t="s">
        <v>158</v>
      </c>
      <c r="BQ131" s="5" t="s">
        <v>158</v>
      </c>
      <c r="BR131" s="5" t="s">
        <v>158</v>
      </c>
      <c r="BS131" s="5" t="s">
        <v>158</v>
      </c>
      <c r="BT131" s="5" t="s">
        <v>158</v>
      </c>
      <c r="BU131" s="5" t="s">
        <v>158</v>
      </c>
      <c r="BV131" s="5" t="s">
        <v>158</v>
      </c>
      <c r="BW131" s="5" t="s">
        <v>158</v>
      </c>
      <c r="BX131" s="5" t="s">
        <v>158</v>
      </c>
      <c r="BY131" s="5" t="s">
        <v>158</v>
      </c>
      <c r="BZ131" s="5" t="s">
        <v>158</v>
      </c>
      <c r="CA131" s="5" t="s">
        <v>158</v>
      </c>
      <c r="CB131" s="5" t="s">
        <v>158</v>
      </c>
      <c r="CC131" s="5" t="s">
        <v>158</v>
      </c>
      <c r="CD131" s="5" t="s">
        <v>158</v>
      </c>
      <c r="CE131" s="5" t="s">
        <v>158</v>
      </c>
      <c r="CF131" s="5" t="s">
        <v>158</v>
      </c>
      <c r="CG131" s="5" t="s">
        <v>158</v>
      </c>
      <c r="CH131" s="5" t="s">
        <v>158</v>
      </c>
      <c r="CI131" s="17" t="s">
        <v>158</v>
      </c>
      <c r="CJ131" s="17" t="s">
        <v>158</v>
      </c>
      <c r="CK131" s="17" t="s">
        <v>158</v>
      </c>
      <c r="CL131" s="17" t="s">
        <v>158</v>
      </c>
      <c r="CM131" s="17" t="s">
        <v>158</v>
      </c>
      <c r="CN131" s="17" t="s">
        <v>158</v>
      </c>
      <c r="CO131" s="17" t="s">
        <v>158</v>
      </c>
      <c r="CP131" s="17" t="s">
        <v>158</v>
      </c>
      <c r="CQ131" s="17" t="s">
        <v>158</v>
      </c>
      <c r="CR131" s="17" t="s">
        <v>158</v>
      </c>
      <c r="CS131" s="17" t="s">
        <v>158</v>
      </c>
      <c r="CT131" s="17" t="s">
        <v>158</v>
      </c>
      <c r="CU131" s="17" t="s">
        <v>158</v>
      </c>
      <c r="CV131" s="17" t="s">
        <v>158</v>
      </c>
      <c r="CW131" s="17" t="s">
        <v>158</v>
      </c>
      <c r="CX131" s="17" t="s">
        <v>158</v>
      </c>
      <c r="CY131" s="67" t="s">
        <v>158</v>
      </c>
    </row>
    <row r="132" spans="1:103" x14ac:dyDescent="0.2">
      <c r="A132" s="32" t="s">
        <v>112</v>
      </c>
      <c r="B132" s="14" t="s">
        <v>24</v>
      </c>
      <c r="C132" s="14" t="s">
        <v>20</v>
      </c>
      <c r="G132" s="28">
        <v>42628</v>
      </c>
      <c r="H132" s="16">
        <v>2016</v>
      </c>
      <c r="I132" s="135" t="s">
        <v>33</v>
      </c>
      <c r="J132" s="135">
        <v>10</v>
      </c>
      <c r="K132" s="136">
        <v>0.86699695121952303</v>
      </c>
      <c r="L132" s="5">
        <v>2.6028627668316702</v>
      </c>
      <c r="M132" s="5">
        <v>0.6131520940484938</v>
      </c>
      <c r="N132" s="5">
        <v>1.5917523879500368</v>
      </c>
      <c r="O132" s="5">
        <v>5.4773144746509921</v>
      </c>
      <c r="P132" s="5">
        <v>4.5570352681851576</v>
      </c>
      <c r="Q132" s="5">
        <v>9.7462750652746166</v>
      </c>
      <c r="R132" s="5">
        <v>8.2110250757482994</v>
      </c>
      <c r="S132" s="5">
        <v>2.4138501102130787</v>
      </c>
      <c r="T132" s="5">
        <v>32.610404476070677</v>
      </c>
      <c r="U132" s="17">
        <f t="shared" si="78"/>
        <v>161.78470505822128</v>
      </c>
      <c r="V132" s="5">
        <f>0.5*0.011</f>
        <v>5.4999999999999997E-3</v>
      </c>
      <c r="W132" s="5">
        <v>0.13278378205448788</v>
      </c>
      <c r="X132" s="5">
        <v>4.4649858232545088E-2</v>
      </c>
      <c r="Y132" s="5">
        <v>3.7305364580716524E-2</v>
      </c>
      <c r="Z132" s="5">
        <f>0.5*0.011</f>
        <v>5.4999999999999997E-3</v>
      </c>
      <c r="AA132" s="5">
        <f>0.5*0.018</f>
        <v>8.9999999999999993E-3</v>
      </c>
      <c r="AB132" s="5">
        <v>1.6437676268378217E-2</v>
      </c>
      <c r="AC132" s="5">
        <f t="shared" si="96"/>
        <v>0.05</v>
      </c>
      <c r="AD132" s="5">
        <v>0.23117668113612772</v>
      </c>
      <c r="AE132" s="17">
        <f t="shared" si="63"/>
        <v>0.24567668113612773</v>
      </c>
      <c r="AF132" s="5">
        <f t="shared" si="97"/>
        <v>0.05</v>
      </c>
      <c r="AG132" s="18" t="s">
        <v>158</v>
      </c>
      <c r="AH132" s="18">
        <v>3.9796431264136722</v>
      </c>
      <c r="AI132" s="5">
        <f t="shared" si="98"/>
        <v>0.25</v>
      </c>
      <c r="AJ132" s="5">
        <f t="shared" si="99"/>
        <v>0.1</v>
      </c>
      <c r="AK132" s="5">
        <f t="shared" si="100"/>
        <v>0.01</v>
      </c>
      <c r="AL132" s="5">
        <f t="shared" si="101"/>
        <v>0.05</v>
      </c>
      <c r="AM132" s="5">
        <f t="shared" si="101"/>
        <v>0.05</v>
      </c>
      <c r="AN132" s="5">
        <v>0.34372120298232389</v>
      </c>
      <c r="AO132" s="5">
        <v>8.49459663231968E-2</v>
      </c>
      <c r="AP132" s="5">
        <f t="shared" si="102"/>
        <v>2.5000000000000001E-2</v>
      </c>
      <c r="AQ132" s="5">
        <v>0.26958197201977047</v>
      </c>
      <c r="AR132" s="5">
        <v>5.6597134958532289E-2</v>
      </c>
      <c r="AS132" s="5" t="s">
        <v>158</v>
      </c>
      <c r="AT132" s="5" t="s">
        <v>158</v>
      </c>
      <c r="AU132" s="5" t="s">
        <v>158</v>
      </c>
      <c r="AV132" s="5" t="s">
        <v>158</v>
      </c>
      <c r="AW132" s="5" t="s">
        <v>158</v>
      </c>
      <c r="BC132" s="5">
        <v>58.777171969967824</v>
      </c>
      <c r="BD132" s="5">
        <f t="shared" si="103"/>
        <v>0.15</v>
      </c>
      <c r="BE132" s="5">
        <f t="shared" si="104"/>
        <v>0.05</v>
      </c>
      <c r="BF132" s="5">
        <v>0.12477654629960672</v>
      </c>
      <c r="BG132" s="5">
        <f t="shared" si="105"/>
        <v>0.1</v>
      </c>
      <c r="BH132" s="5">
        <v>0.31212012870933137</v>
      </c>
      <c r="BI132" s="5">
        <v>3.3640507686807295</v>
      </c>
      <c r="BJ132" s="5">
        <v>0.99928494815874136</v>
      </c>
      <c r="BK132" s="5">
        <f t="shared" si="106"/>
        <v>2.5000000000000001E-2</v>
      </c>
      <c r="BL132" s="5">
        <v>3.1519485162674297</v>
      </c>
      <c r="BM132" s="5">
        <v>0.37573292813728992</v>
      </c>
      <c r="BN132" s="17">
        <v>180</v>
      </c>
      <c r="BO132" s="5" t="s">
        <v>158</v>
      </c>
      <c r="BP132" s="5" t="s">
        <v>158</v>
      </c>
      <c r="BQ132" s="5" t="s">
        <v>158</v>
      </c>
      <c r="BR132" s="5" t="s">
        <v>158</v>
      </c>
      <c r="BS132" s="5" t="s">
        <v>158</v>
      </c>
      <c r="BT132" s="5" t="s">
        <v>158</v>
      </c>
      <c r="BU132" s="5" t="s">
        <v>158</v>
      </c>
      <c r="BV132" s="5" t="s">
        <v>158</v>
      </c>
      <c r="BW132" s="5" t="s">
        <v>158</v>
      </c>
      <c r="BX132" s="5" t="s">
        <v>158</v>
      </c>
      <c r="BY132" s="5" t="s">
        <v>158</v>
      </c>
      <c r="BZ132" s="5" t="s">
        <v>158</v>
      </c>
      <c r="CA132" s="5" t="s">
        <v>158</v>
      </c>
      <c r="CB132" s="5" t="s">
        <v>158</v>
      </c>
      <c r="CC132" s="5" t="s">
        <v>158</v>
      </c>
      <c r="CD132" s="5" t="s">
        <v>158</v>
      </c>
      <c r="CE132" s="5" t="s">
        <v>158</v>
      </c>
      <c r="CF132" s="5" t="s">
        <v>158</v>
      </c>
      <c r="CG132" s="5" t="s">
        <v>158</v>
      </c>
      <c r="CH132" s="5" t="s">
        <v>158</v>
      </c>
      <c r="CI132" s="17" t="s">
        <v>158</v>
      </c>
      <c r="CJ132" s="17" t="s">
        <v>158</v>
      </c>
      <c r="CK132" s="17" t="s">
        <v>158</v>
      </c>
      <c r="CL132" s="17" t="s">
        <v>158</v>
      </c>
      <c r="CM132" s="17" t="s">
        <v>158</v>
      </c>
      <c r="CN132" s="17" t="s">
        <v>158</v>
      </c>
      <c r="CO132" s="17" t="s">
        <v>158</v>
      </c>
      <c r="CP132" s="17" t="s">
        <v>158</v>
      </c>
      <c r="CQ132" s="17" t="s">
        <v>158</v>
      </c>
      <c r="CR132" s="17" t="s">
        <v>158</v>
      </c>
      <c r="CS132" s="17" t="s">
        <v>158</v>
      </c>
      <c r="CT132" s="17" t="s">
        <v>158</v>
      </c>
      <c r="CU132" s="17" t="s">
        <v>158</v>
      </c>
      <c r="CV132" s="17" t="s">
        <v>158</v>
      </c>
      <c r="CW132" s="17" t="s">
        <v>158</v>
      </c>
      <c r="CX132" s="17" t="s">
        <v>158</v>
      </c>
      <c r="CY132" s="67" t="s">
        <v>158</v>
      </c>
    </row>
    <row r="133" spans="1:103" x14ac:dyDescent="0.2">
      <c r="A133" s="32" t="s">
        <v>5</v>
      </c>
      <c r="B133" s="14" t="s">
        <v>5</v>
      </c>
      <c r="C133" s="14" t="s">
        <v>20</v>
      </c>
      <c r="G133" s="28">
        <v>42618</v>
      </c>
      <c r="H133" s="16">
        <v>2016</v>
      </c>
      <c r="I133" s="135" t="s">
        <v>33</v>
      </c>
      <c r="J133" s="135">
        <v>10</v>
      </c>
      <c r="K133" s="136">
        <v>0.87816695265973299</v>
      </c>
      <c r="L133" s="5">
        <v>3.8339464762316702</v>
      </c>
      <c r="M133" s="5">
        <v>0.41313978697332454</v>
      </c>
      <c r="N133" s="5">
        <v>1.2746724479215761</v>
      </c>
      <c r="O133" s="5">
        <v>4.0666415307757564</v>
      </c>
      <c r="P133" s="5">
        <v>3.5572516004659125</v>
      </c>
      <c r="Q133" s="5">
        <v>6.2800051138069506</v>
      </c>
      <c r="R133" s="5">
        <v>5.7288372456901753</v>
      </c>
      <c r="S133" s="5">
        <v>1.5359600339334529</v>
      </c>
      <c r="T133" s="5">
        <v>22.856507759567148</v>
      </c>
      <c r="U133" s="17">
        <f t="shared" si="78"/>
        <v>109.88375331506697</v>
      </c>
      <c r="V133" s="5">
        <f>0.5*0.012</f>
        <v>6.0000000000000001E-3</v>
      </c>
      <c r="W133" s="5">
        <v>0.18480389189407989</v>
      </c>
      <c r="X133" s="5">
        <v>6.6627344567112487E-2</v>
      </c>
      <c r="Y133" s="5">
        <v>0.11688781725797104</v>
      </c>
      <c r="Z133" s="5">
        <f>0.5*0.012</f>
        <v>6.0000000000000001E-3</v>
      </c>
      <c r="AA133" s="5">
        <v>3.6213314938798091E-2</v>
      </c>
      <c r="AB133" s="5">
        <v>6.7013963587811406E-2</v>
      </c>
      <c r="AC133" s="5">
        <f t="shared" si="96"/>
        <v>0.05</v>
      </c>
      <c r="AD133" s="5">
        <v>0.47154633224577291</v>
      </c>
      <c r="AE133" s="17">
        <f t="shared" si="63"/>
        <v>0.47754633224577292</v>
      </c>
      <c r="AF133" s="5">
        <f t="shared" si="97"/>
        <v>0.05</v>
      </c>
      <c r="AG133" s="18" t="s">
        <v>158</v>
      </c>
      <c r="AH133" s="18">
        <v>9.6906600844016246</v>
      </c>
      <c r="AI133" s="5">
        <f t="shared" si="98"/>
        <v>0.25</v>
      </c>
      <c r="AJ133" s="5">
        <f t="shared" si="99"/>
        <v>0.1</v>
      </c>
      <c r="AK133" s="5">
        <f t="shared" si="100"/>
        <v>0.01</v>
      </c>
      <c r="AL133" s="5">
        <f t="shared" si="101"/>
        <v>0.05</v>
      </c>
      <c r="AM133" s="5">
        <f t="shared" si="101"/>
        <v>0.05</v>
      </c>
      <c r="AN133" s="5">
        <v>0.54168325503622894</v>
      </c>
      <c r="AO133" s="5">
        <v>0.25352336969503936</v>
      </c>
      <c r="AP133" s="5">
        <f t="shared" si="102"/>
        <v>2.5000000000000001E-2</v>
      </c>
      <c r="AQ133" s="5">
        <v>0.35177960028664701</v>
      </c>
      <c r="AR133" s="5">
        <v>6.4941476232184089E-2</v>
      </c>
      <c r="AS133" s="5" t="s">
        <v>158</v>
      </c>
      <c r="AT133" s="5" t="s">
        <v>158</v>
      </c>
      <c r="AU133" s="5" t="s">
        <v>158</v>
      </c>
      <c r="AV133" s="5" t="s">
        <v>158</v>
      </c>
      <c r="AW133" s="5" t="s">
        <v>158</v>
      </c>
      <c r="BC133" s="5">
        <v>130</v>
      </c>
      <c r="BD133" s="5">
        <f t="shared" si="103"/>
        <v>0.15</v>
      </c>
      <c r="BE133" s="5">
        <f t="shared" si="104"/>
        <v>0.05</v>
      </c>
      <c r="BF133" s="5">
        <v>0.51915740587162051</v>
      </c>
      <c r="BG133" s="5">
        <f t="shared" si="105"/>
        <v>0.1</v>
      </c>
      <c r="BH133" s="5">
        <v>0.48034499917067514</v>
      </c>
      <c r="BI133" s="5">
        <v>6.106899983413502</v>
      </c>
      <c r="BJ133" s="5">
        <v>3.9011444684027201</v>
      </c>
      <c r="BK133" s="5">
        <f t="shared" si="106"/>
        <v>2.5000000000000001E-2</v>
      </c>
      <c r="BL133" s="5">
        <v>5.5783712058384474</v>
      </c>
      <c r="BM133" s="5">
        <v>0.43819041300381489</v>
      </c>
      <c r="BN133" s="17">
        <v>79</v>
      </c>
      <c r="BO133" s="5" t="s">
        <v>158</v>
      </c>
      <c r="BP133" s="5" t="s">
        <v>158</v>
      </c>
      <c r="BQ133" s="5" t="s">
        <v>158</v>
      </c>
      <c r="BR133" s="5" t="s">
        <v>158</v>
      </c>
      <c r="BS133" s="5" t="s">
        <v>158</v>
      </c>
      <c r="BT133" s="5" t="s">
        <v>158</v>
      </c>
      <c r="BU133" s="5" t="s">
        <v>158</v>
      </c>
      <c r="BV133" s="5" t="s">
        <v>158</v>
      </c>
      <c r="BW133" s="5" t="s">
        <v>158</v>
      </c>
      <c r="BX133" s="5" t="s">
        <v>158</v>
      </c>
      <c r="BY133" s="5" t="s">
        <v>158</v>
      </c>
      <c r="BZ133" s="5" t="s">
        <v>158</v>
      </c>
      <c r="CA133" s="5" t="s">
        <v>158</v>
      </c>
      <c r="CB133" s="5" t="s">
        <v>158</v>
      </c>
      <c r="CC133" s="5" t="s">
        <v>158</v>
      </c>
      <c r="CD133" s="5" t="s">
        <v>158</v>
      </c>
      <c r="CE133" s="5" t="s">
        <v>158</v>
      </c>
      <c r="CF133" s="5" t="s">
        <v>158</v>
      </c>
      <c r="CG133" s="5" t="s">
        <v>158</v>
      </c>
      <c r="CH133" s="5" t="s">
        <v>158</v>
      </c>
      <c r="CI133" s="17" t="s">
        <v>158</v>
      </c>
      <c r="CJ133" s="17" t="s">
        <v>158</v>
      </c>
      <c r="CK133" s="17" t="s">
        <v>158</v>
      </c>
      <c r="CL133" s="17" t="s">
        <v>158</v>
      </c>
      <c r="CM133" s="17" t="s">
        <v>158</v>
      </c>
      <c r="CN133" s="17" t="s">
        <v>158</v>
      </c>
      <c r="CO133" s="17" t="s">
        <v>158</v>
      </c>
      <c r="CP133" s="17" t="s">
        <v>158</v>
      </c>
      <c r="CQ133" s="17" t="s">
        <v>158</v>
      </c>
      <c r="CR133" s="17" t="s">
        <v>158</v>
      </c>
      <c r="CS133" s="17" t="s">
        <v>158</v>
      </c>
      <c r="CT133" s="17" t="s">
        <v>158</v>
      </c>
      <c r="CU133" s="17" t="s">
        <v>158</v>
      </c>
      <c r="CV133" s="17" t="s">
        <v>158</v>
      </c>
      <c r="CW133" s="17" t="s">
        <v>158</v>
      </c>
      <c r="CX133" s="17" t="s">
        <v>158</v>
      </c>
      <c r="CY133" s="67" t="s">
        <v>158</v>
      </c>
    </row>
    <row r="134" spans="1:103" x14ac:dyDescent="0.2">
      <c r="A134" s="32" t="s">
        <v>25</v>
      </c>
      <c r="B134" s="14" t="s">
        <v>25</v>
      </c>
      <c r="C134" s="14" t="s">
        <v>20</v>
      </c>
      <c r="G134" s="28">
        <v>42614</v>
      </c>
      <c r="H134" s="16">
        <v>2016</v>
      </c>
      <c r="I134" s="135" t="s">
        <v>33</v>
      </c>
      <c r="J134" s="135">
        <v>10</v>
      </c>
      <c r="K134" s="136">
        <v>0.78</v>
      </c>
      <c r="L134" s="5">
        <v>3.4751201893744899</v>
      </c>
      <c r="M134" s="5">
        <f>0.5*0.015</f>
        <v>7.4999999999999997E-3</v>
      </c>
      <c r="N134" s="5">
        <v>9.2588990468780386E-2</v>
      </c>
      <c r="O134" s="5">
        <v>0.60153666601828437</v>
      </c>
      <c r="P134" s="5">
        <v>0.48599494261816767</v>
      </c>
      <c r="Q134" s="5">
        <v>2.1393697724178176</v>
      </c>
      <c r="R134" s="5">
        <v>1.6382999416455941</v>
      </c>
      <c r="S134" s="5">
        <v>1.0202295273293134</v>
      </c>
      <c r="T134" s="5">
        <v>5.9780198404979572</v>
      </c>
      <c r="U134" s="17">
        <f t="shared" si="78"/>
        <v>35.253364729998644</v>
      </c>
      <c r="V134" s="5">
        <f>0.5*0.012</f>
        <v>6.0000000000000001E-3</v>
      </c>
      <c r="W134" s="5">
        <v>0.10290584877190584</v>
      </c>
      <c r="X134" s="5">
        <v>3.6896214685725341E-2</v>
      </c>
      <c r="Y134" s="5">
        <f>0.5*0.015</f>
        <v>7.4999999999999997E-3</v>
      </c>
      <c r="Z134" s="5">
        <f>0.5*0.012</f>
        <v>6.0000000000000001E-3</v>
      </c>
      <c r="AA134" s="5">
        <v>3.2284187850009673E-2</v>
      </c>
      <c r="AB134" s="5">
        <v>3.0842929463848527E-2</v>
      </c>
      <c r="AC134" s="5">
        <f t="shared" si="96"/>
        <v>0.05</v>
      </c>
      <c r="AD134" s="5">
        <v>0.20292918077148939</v>
      </c>
      <c r="AE134" s="17">
        <f t="shared" si="63"/>
        <v>0.2164291807714894</v>
      </c>
      <c r="AF134" s="5">
        <f t="shared" si="97"/>
        <v>0.05</v>
      </c>
      <c r="AG134" s="18" t="s">
        <v>158</v>
      </c>
      <c r="AH134" s="18">
        <v>25.741143317230275</v>
      </c>
      <c r="AI134" s="5">
        <f t="shared" si="98"/>
        <v>0.25</v>
      </c>
      <c r="AJ134" s="5">
        <f t="shared" si="99"/>
        <v>0.1</v>
      </c>
      <c r="AK134" s="5">
        <f t="shared" si="100"/>
        <v>0.01</v>
      </c>
      <c r="AL134" s="5">
        <f t="shared" si="101"/>
        <v>0.05</v>
      </c>
      <c r="AM134" s="5">
        <f t="shared" si="101"/>
        <v>0.05</v>
      </c>
      <c r="AN134" s="5">
        <v>1.0735104669887281</v>
      </c>
      <c r="AO134" s="5">
        <v>0.62431561996779394</v>
      </c>
      <c r="AP134" s="5">
        <f t="shared" si="102"/>
        <v>2.5000000000000001E-2</v>
      </c>
      <c r="AQ134" s="5">
        <v>0.65442834138486305</v>
      </c>
      <c r="AR134" s="5">
        <f>0.5*0.05</f>
        <v>2.5000000000000001E-2</v>
      </c>
      <c r="AS134" s="5" t="s">
        <v>158</v>
      </c>
      <c r="AT134" s="5" t="s">
        <v>158</v>
      </c>
      <c r="AU134" s="5" t="s">
        <v>158</v>
      </c>
      <c r="AV134" s="5" t="s">
        <v>158</v>
      </c>
      <c r="AW134" s="5" t="s">
        <v>158</v>
      </c>
      <c r="BC134" s="5">
        <v>400.44162249705528</v>
      </c>
      <c r="BD134" s="5">
        <f t="shared" si="103"/>
        <v>0.15</v>
      </c>
      <c r="BE134" s="5">
        <f t="shared" si="104"/>
        <v>0.05</v>
      </c>
      <c r="BF134" s="5">
        <v>0.31654888103651352</v>
      </c>
      <c r="BG134" s="5">
        <f t="shared" si="105"/>
        <v>0.1</v>
      </c>
      <c r="BH134" s="5">
        <v>0.49705535924617195</v>
      </c>
      <c r="BI134" s="5">
        <v>11.383760306242637</v>
      </c>
      <c r="BJ134" s="5">
        <v>6.4958775029446416</v>
      </c>
      <c r="BK134" s="5">
        <f t="shared" si="106"/>
        <v>2.5000000000000001E-2</v>
      </c>
      <c r="BL134" s="5">
        <v>6.159010600706714</v>
      </c>
      <c r="BM134" s="5">
        <v>0.17400618374558302</v>
      </c>
      <c r="BN134" s="17">
        <v>140</v>
      </c>
      <c r="BO134" s="5" t="s">
        <v>158</v>
      </c>
      <c r="BP134" s="5" t="s">
        <v>158</v>
      </c>
      <c r="BQ134" s="5" t="s">
        <v>158</v>
      </c>
      <c r="BR134" s="5" t="s">
        <v>158</v>
      </c>
      <c r="BS134" s="5" t="s">
        <v>158</v>
      </c>
      <c r="BT134" s="5" t="s">
        <v>158</v>
      </c>
      <c r="BU134" s="5" t="s">
        <v>158</v>
      </c>
      <c r="BV134" s="5" t="s">
        <v>158</v>
      </c>
      <c r="BW134" s="5" t="s">
        <v>158</v>
      </c>
      <c r="BX134" s="5" t="s">
        <v>158</v>
      </c>
      <c r="BY134" s="5" t="s">
        <v>158</v>
      </c>
      <c r="BZ134" s="5" t="s">
        <v>158</v>
      </c>
      <c r="CA134" s="5" t="s">
        <v>158</v>
      </c>
      <c r="CB134" s="5" t="s">
        <v>158</v>
      </c>
      <c r="CC134" s="5" t="s">
        <v>158</v>
      </c>
      <c r="CD134" s="5" t="s">
        <v>158</v>
      </c>
      <c r="CE134" s="5" t="s">
        <v>158</v>
      </c>
      <c r="CF134" s="5" t="s">
        <v>158</v>
      </c>
      <c r="CG134" s="5" t="s">
        <v>158</v>
      </c>
      <c r="CH134" s="5" t="s">
        <v>158</v>
      </c>
      <c r="CI134" s="17" t="s">
        <v>158</v>
      </c>
      <c r="CJ134" s="17" t="s">
        <v>158</v>
      </c>
      <c r="CK134" s="17" t="s">
        <v>158</v>
      </c>
      <c r="CL134" s="17" t="s">
        <v>158</v>
      </c>
      <c r="CM134" s="17" t="s">
        <v>158</v>
      </c>
      <c r="CN134" s="17" t="s">
        <v>158</v>
      </c>
      <c r="CO134" s="17" t="s">
        <v>158</v>
      </c>
      <c r="CP134" s="17" t="s">
        <v>158</v>
      </c>
      <c r="CQ134" s="17" t="s">
        <v>158</v>
      </c>
      <c r="CR134" s="17" t="s">
        <v>158</v>
      </c>
      <c r="CS134" s="17" t="s">
        <v>158</v>
      </c>
      <c r="CT134" s="17" t="s">
        <v>158</v>
      </c>
      <c r="CU134" s="17" t="s">
        <v>158</v>
      </c>
      <c r="CV134" s="17" t="s">
        <v>158</v>
      </c>
      <c r="CW134" s="17" t="s">
        <v>158</v>
      </c>
      <c r="CX134" s="17" t="s">
        <v>158</v>
      </c>
      <c r="CY134" s="67" t="s">
        <v>158</v>
      </c>
    </row>
    <row r="135" spans="1:103" x14ac:dyDescent="0.2">
      <c r="A135" s="32" t="s">
        <v>26</v>
      </c>
      <c r="B135" s="14" t="s">
        <v>26</v>
      </c>
      <c r="C135" s="14" t="s">
        <v>20</v>
      </c>
      <c r="G135" s="28">
        <v>42578</v>
      </c>
      <c r="H135" s="16">
        <v>2016</v>
      </c>
      <c r="I135" s="135" t="s">
        <v>33</v>
      </c>
      <c r="J135" s="135">
        <v>10</v>
      </c>
      <c r="K135" s="136">
        <v>0.72761784245490901</v>
      </c>
      <c r="L135" s="5">
        <v>4.60380932337159</v>
      </c>
      <c r="M135" s="5">
        <f>0.5*0.015</f>
        <v>7.4999999999999997E-3</v>
      </c>
      <c r="N135" s="5">
        <v>6.9868073878627979E-2</v>
      </c>
      <c r="O135" s="5">
        <v>0.17878627968337732</v>
      </c>
      <c r="P135" s="5">
        <v>0.13646437994722954</v>
      </c>
      <c r="Q135" s="5">
        <v>0.36928759894459107</v>
      </c>
      <c r="R135" s="5">
        <v>0.32147757255936676</v>
      </c>
      <c r="S135" s="5">
        <v>0.27313984168865435</v>
      </c>
      <c r="T135" s="5">
        <v>1.3490237467018471</v>
      </c>
      <c r="U135" s="17">
        <f t="shared" si="78"/>
        <v>8.3839296919813062</v>
      </c>
      <c r="V135" s="5">
        <f>0.5*0.012</f>
        <v>6.0000000000000001E-3</v>
      </c>
      <c r="W135" s="5">
        <f>0.5*0.01</f>
        <v>5.0000000000000001E-3</v>
      </c>
      <c r="X135" s="5">
        <f>0.5*0.01</f>
        <v>5.0000000000000001E-3</v>
      </c>
      <c r="Y135" s="5">
        <f>0.5*0.015</f>
        <v>7.4999999999999997E-3</v>
      </c>
      <c r="Z135" s="5">
        <v>1.6173615936354916E-2</v>
      </c>
      <c r="AA135" s="5">
        <f>0.5*0.02</f>
        <v>0.01</v>
      </c>
      <c r="AB135" s="5">
        <v>5.5213378541349549E-2</v>
      </c>
      <c r="AC135" s="5">
        <f t="shared" si="96"/>
        <v>0.05</v>
      </c>
      <c r="AD135" s="5">
        <v>7.1386994477704468E-2</v>
      </c>
      <c r="AE135" s="17">
        <f t="shared" si="63"/>
        <v>8.8713378541349544E-2</v>
      </c>
      <c r="AF135" s="5">
        <f t="shared" si="97"/>
        <v>0.05</v>
      </c>
      <c r="AG135" s="18" t="s">
        <v>158</v>
      </c>
      <c r="AH135" s="18">
        <v>1.7408253268231217</v>
      </c>
      <c r="AI135" s="5">
        <f t="shared" si="98"/>
        <v>0.25</v>
      </c>
      <c r="AJ135" s="5">
        <f t="shared" si="99"/>
        <v>0.1</v>
      </c>
      <c r="AK135" s="5">
        <f t="shared" si="100"/>
        <v>0.01</v>
      </c>
      <c r="AL135" s="5">
        <f t="shared" si="101"/>
        <v>0.05</v>
      </c>
      <c r="AM135" s="5">
        <f t="shared" si="101"/>
        <v>0.05</v>
      </c>
      <c r="AN135" s="5">
        <v>0.18451724681052134</v>
      </c>
      <c r="AO135" s="5">
        <f>0.5*0.02</f>
        <v>0.01</v>
      </c>
      <c r="AP135" s="5">
        <f t="shared" si="102"/>
        <v>2.5000000000000001E-2</v>
      </c>
      <c r="AQ135" s="5">
        <f>0.5*0.1</f>
        <v>0.05</v>
      </c>
      <c r="AR135" s="5">
        <f>0.5*0.05</f>
        <v>2.5000000000000001E-2</v>
      </c>
      <c r="AS135" s="5" t="s">
        <v>158</v>
      </c>
      <c r="AT135" s="5" t="s">
        <v>158</v>
      </c>
      <c r="AU135" s="5" t="s">
        <v>158</v>
      </c>
      <c r="AV135" s="5" t="s">
        <v>158</v>
      </c>
      <c r="AW135" s="5" t="s">
        <v>158</v>
      </c>
      <c r="BC135" s="5">
        <v>48.426714871995301</v>
      </c>
      <c r="BD135" s="5">
        <f t="shared" si="103"/>
        <v>0.15</v>
      </c>
      <c r="BE135" s="5">
        <f t="shared" si="104"/>
        <v>0.05</v>
      </c>
      <c r="BF135" s="5">
        <v>0.12702755520812975</v>
      </c>
      <c r="BG135" s="5">
        <f t="shared" si="105"/>
        <v>0.1</v>
      </c>
      <c r="BH135" s="5">
        <v>0.24545632206370915</v>
      </c>
      <c r="BI135" s="5">
        <v>2.1923978893883129</v>
      </c>
      <c r="BJ135" s="5">
        <f>0.5*0.5</f>
        <v>0.25</v>
      </c>
      <c r="BK135" s="5">
        <f t="shared" si="106"/>
        <v>2.5000000000000001E-2</v>
      </c>
      <c r="BL135" s="5">
        <v>1.6712917725229623</v>
      </c>
      <c r="BM135" s="5">
        <v>5.7621653312487787E-2</v>
      </c>
      <c r="BN135" s="17">
        <v>46</v>
      </c>
      <c r="BO135" s="5" t="s">
        <v>158</v>
      </c>
      <c r="BP135" s="5" t="s">
        <v>158</v>
      </c>
      <c r="BQ135" s="5" t="s">
        <v>158</v>
      </c>
      <c r="BR135" s="5" t="s">
        <v>158</v>
      </c>
      <c r="BS135" s="5" t="s">
        <v>158</v>
      </c>
      <c r="BT135" s="5" t="s">
        <v>158</v>
      </c>
      <c r="BU135" s="5" t="s">
        <v>158</v>
      </c>
      <c r="BV135" s="5" t="s">
        <v>158</v>
      </c>
      <c r="BW135" s="5" t="s">
        <v>158</v>
      </c>
      <c r="BX135" s="5" t="s">
        <v>158</v>
      </c>
      <c r="BY135" s="5" t="s">
        <v>158</v>
      </c>
      <c r="BZ135" s="5" t="s">
        <v>158</v>
      </c>
      <c r="CA135" s="5" t="s">
        <v>158</v>
      </c>
      <c r="CB135" s="5" t="s">
        <v>158</v>
      </c>
      <c r="CC135" s="5" t="s">
        <v>158</v>
      </c>
      <c r="CD135" s="5" t="s">
        <v>158</v>
      </c>
      <c r="CE135" s="5" t="s">
        <v>158</v>
      </c>
      <c r="CF135" s="5" t="s">
        <v>158</v>
      </c>
      <c r="CG135" s="5" t="s">
        <v>158</v>
      </c>
      <c r="CH135" s="5" t="s">
        <v>158</v>
      </c>
      <c r="CI135" s="17" t="s">
        <v>158</v>
      </c>
      <c r="CJ135" s="17" t="s">
        <v>158</v>
      </c>
      <c r="CK135" s="17" t="s">
        <v>158</v>
      </c>
      <c r="CL135" s="17" t="s">
        <v>158</v>
      </c>
      <c r="CM135" s="17" t="s">
        <v>158</v>
      </c>
      <c r="CN135" s="17" t="s">
        <v>158</v>
      </c>
      <c r="CO135" s="17" t="s">
        <v>158</v>
      </c>
      <c r="CP135" s="17" t="s">
        <v>158</v>
      </c>
      <c r="CQ135" s="17" t="s">
        <v>158</v>
      </c>
      <c r="CR135" s="17" t="s">
        <v>158</v>
      </c>
      <c r="CS135" s="17" t="s">
        <v>158</v>
      </c>
      <c r="CT135" s="17" t="s">
        <v>158</v>
      </c>
      <c r="CU135" s="17" t="s">
        <v>158</v>
      </c>
      <c r="CV135" s="17" t="s">
        <v>158</v>
      </c>
      <c r="CW135" s="17" t="s">
        <v>158</v>
      </c>
      <c r="CX135" s="17" t="s">
        <v>158</v>
      </c>
      <c r="CY135" s="67" t="s">
        <v>158</v>
      </c>
    </row>
    <row r="136" spans="1:103" x14ac:dyDescent="0.2">
      <c r="A136" s="32" t="s">
        <v>81</v>
      </c>
      <c r="B136" s="14" t="s">
        <v>81</v>
      </c>
      <c r="C136" s="14" t="s">
        <v>20</v>
      </c>
      <c r="G136" s="28">
        <v>42577</v>
      </c>
      <c r="H136" s="16">
        <v>2016</v>
      </c>
      <c r="I136" s="135" t="s">
        <v>33</v>
      </c>
      <c r="J136" s="135">
        <v>10</v>
      </c>
      <c r="K136" s="136">
        <v>0.75</v>
      </c>
      <c r="L136" s="5">
        <v>3.0173202973378701</v>
      </c>
      <c r="M136" s="5">
        <v>7.0046631610278784E-2</v>
      </c>
      <c r="N136" s="5">
        <v>0.2133148129774779</v>
      </c>
      <c r="O136" s="5">
        <v>0.96090882031947611</v>
      </c>
      <c r="P136" s="5">
        <v>0.5939081258061315</v>
      </c>
      <c r="Q136" s="5">
        <v>2.0702450639944439</v>
      </c>
      <c r="R136" s="5">
        <v>1.6700069451334458</v>
      </c>
      <c r="S136" s="5">
        <v>0.89641829546581997</v>
      </c>
      <c r="T136" s="5">
        <v>6.4748486953070739</v>
      </c>
      <c r="U136" s="17">
        <f t="shared" si="78"/>
        <v>39.206270463339621</v>
      </c>
      <c r="V136" s="5">
        <f>0.5*0.012</f>
        <v>6.0000000000000001E-3</v>
      </c>
      <c r="W136" s="5">
        <v>0.2919158603780575</v>
      </c>
      <c r="X136" s="5">
        <v>6.7986226580042497E-2</v>
      </c>
      <c r="Y136" s="5">
        <v>0.17081539428235679</v>
      </c>
      <c r="Z136" s="5">
        <v>3.3993113290021248E-2</v>
      </c>
      <c r="AA136" s="5">
        <v>6.4303639306956872E-2</v>
      </c>
      <c r="AB136" s="5">
        <v>6.968588224454357E-2</v>
      </c>
      <c r="AC136" s="5">
        <f t="shared" si="96"/>
        <v>0.05</v>
      </c>
      <c r="AD136" s="5">
        <v>0.69870011608197846</v>
      </c>
      <c r="AE136" s="17">
        <f t="shared" si="63"/>
        <v>0.67070700279195727</v>
      </c>
      <c r="AF136" s="5">
        <v>0.18</v>
      </c>
      <c r="AG136" s="18">
        <f>(AF136/K136)*5</f>
        <v>1.2</v>
      </c>
      <c r="AH136" s="18">
        <v>7.4743157399419662</v>
      </c>
      <c r="AI136" s="5">
        <f t="shared" si="98"/>
        <v>0.25</v>
      </c>
      <c r="AJ136" s="5">
        <f t="shared" si="99"/>
        <v>0.1</v>
      </c>
      <c r="AK136" s="5">
        <f t="shared" si="100"/>
        <v>0.01</v>
      </c>
      <c r="AL136" s="5">
        <f t="shared" si="101"/>
        <v>0.05</v>
      </c>
      <c r="AM136" s="5">
        <f t="shared" si="101"/>
        <v>0.05</v>
      </c>
      <c r="AN136" s="5">
        <v>1.2260214885107052</v>
      </c>
      <c r="AO136" s="5">
        <v>1.461375578386009</v>
      </c>
      <c r="AP136" s="5">
        <f t="shared" si="102"/>
        <v>2.5000000000000001E-2</v>
      </c>
      <c r="AQ136" s="5">
        <v>1.0828954591796722</v>
      </c>
      <c r="AR136" s="5">
        <v>0.42683711081483816</v>
      </c>
      <c r="AS136" s="5" t="s">
        <v>158</v>
      </c>
      <c r="AT136" s="5" t="s">
        <v>158</v>
      </c>
      <c r="AU136" s="5" t="s">
        <v>158</v>
      </c>
      <c r="AV136" s="5" t="s">
        <v>158</v>
      </c>
      <c r="AW136" s="5" t="s">
        <v>158</v>
      </c>
      <c r="BC136" s="5">
        <v>150.10377714825307</v>
      </c>
      <c r="BD136" s="5">
        <f t="shared" si="103"/>
        <v>0.15</v>
      </c>
      <c r="BE136" s="5">
        <f t="shared" si="104"/>
        <v>0.05</v>
      </c>
      <c r="BF136" s="5">
        <v>0.19641170915958453</v>
      </c>
      <c r="BG136" s="5">
        <f t="shared" si="105"/>
        <v>0.1</v>
      </c>
      <c r="BH136" s="5">
        <v>0.67724268177525981</v>
      </c>
      <c r="BI136" s="5">
        <v>25.839187913125588</v>
      </c>
      <c r="BJ136" s="5">
        <v>22.04343720491029</v>
      </c>
      <c r="BK136" s="5">
        <f t="shared" si="106"/>
        <v>2.5000000000000001E-2</v>
      </c>
      <c r="BL136" s="5">
        <v>23.367705382436263</v>
      </c>
      <c r="BM136" s="5">
        <v>4.7727762039660053</v>
      </c>
      <c r="BN136" s="17">
        <v>26</v>
      </c>
      <c r="BO136" s="5" t="s">
        <v>158</v>
      </c>
      <c r="BP136" s="5" t="s">
        <v>158</v>
      </c>
      <c r="BQ136" s="5" t="s">
        <v>158</v>
      </c>
      <c r="BR136" s="5" t="s">
        <v>158</v>
      </c>
      <c r="BS136" s="5" t="s">
        <v>158</v>
      </c>
      <c r="BT136" s="5" t="s">
        <v>158</v>
      </c>
      <c r="BU136" s="5" t="s">
        <v>158</v>
      </c>
      <c r="BV136" s="5" t="s">
        <v>158</v>
      </c>
      <c r="BW136" s="5" t="s">
        <v>158</v>
      </c>
      <c r="BX136" s="5" t="s">
        <v>158</v>
      </c>
      <c r="BY136" s="5" t="s">
        <v>158</v>
      </c>
      <c r="BZ136" s="5" t="s">
        <v>158</v>
      </c>
      <c r="CA136" s="5" t="s">
        <v>158</v>
      </c>
      <c r="CB136" s="5" t="s">
        <v>158</v>
      </c>
      <c r="CC136" s="5" t="s">
        <v>158</v>
      </c>
      <c r="CD136" s="5" t="s">
        <v>158</v>
      </c>
      <c r="CE136" s="5" t="s">
        <v>158</v>
      </c>
      <c r="CF136" s="5" t="s">
        <v>158</v>
      </c>
      <c r="CG136" s="5" t="s">
        <v>158</v>
      </c>
      <c r="CH136" s="5" t="s">
        <v>158</v>
      </c>
      <c r="CI136" s="17" t="s">
        <v>158</v>
      </c>
      <c r="CJ136" s="17" t="s">
        <v>158</v>
      </c>
      <c r="CK136" s="17" t="s">
        <v>158</v>
      </c>
      <c r="CL136" s="17" t="s">
        <v>158</v>
      </c>
      <c r="CM136" s="17" t="s">
        <v>158</v>
      </c>
      <c r="CN136" s="17" t="s">
        <v>158</v>
      </c>
      <c r="CO136" s="17" t="s">
        <v>158</v>
      </c>
      <c r="CP136" s="17" t="s">
        <v>158</v>
      </c>
      <c r="CQ136" s="17" t="s">
        <v>158</v>
      </c>
      <c r="CR136" s="17" t="s">
        <v>158</v>
      </c>
      <c r="CS136" s="17" t="s">
        <v>158</v>
      </c>
      <c r="CT136" s="17" t="s">
        <v>158</v>
      </c>
      <c r="CU136" s="17" t="s">
        <v>158</v>
      </c>
      <c r="CV136" s="17" t="s">
        <v>158</v>
      </c>
      <c r="CW136" s="17" t="s">
        <v>158</v>
      </c>
      <c r="CX136" s="17" t="s">
        <v>158</v>
      </c>
      <c r="CY136" s="67" t="s">
        <v>158</v>
      </c>
    </row>
    <row r="137" spans="1:103" x14ac:dyDescent="0.2">
      <c r="A137" s="32" t="s">
        <v>6</v>
      </c>
      <c r="B137" s="14" t="s">
        <v>6</v>
      </c>
      <c r="C137" s="14" t="s">
        <v>20</v>
      </c>
      <c r="G137" s="28">
        <v>42615</v>
      </c>
      <c r="H137" s="16">
        <v>2016</v>
      </c>
      <c r="I137" s="135" t="s">
        <v>33</v>
      </c>
      <c r="J137" s="135">
        <v>10</v>
      </c>
      <c r="K137" s="136">
        <v>0.80902916500199296</v>
      </c>
      <c r="L137" s="5">
        <v>3.4291477559253898</v>
      </c>
      <c r="M137" s="5">
        <v>4.0583136327817182E-2</v>
      </c>
      <c r="N137" s="5">
        <v>0.16430260047281325</v>
      </c>
      <c r="O137" s="5">
        <v>0.61485421591804579</v>
      </c>
      <c r="P137" s="5">
        <v>0.47488179669030733</v>
      </c>
      <c r="Q137" s="5">
        <v>1.4137115839243499</v>
      </c>
      <c r="R137" s="5">
        <v>1.1817375886524824</v>
      </c>
      <c r="S137" s="5">
        <v>0.67671394799054374</v>
      </c>
      <c r="T137" s="5">
        <v>4.5667848699763596</v>
      </c>
      <c r="U137" s="17">
        <f t="shared" si="78"/>
        <v>25.288971339345796</v>
      </c>
      <c r="V137" s="5">
        <f>0.5*0.012</f>
        <v>6.0000000000000001E-3</v>
      </c>
      <c r="W137" s="5">
        <v>7.1661841444215363E-2</v>
      </c>
      <c r="X137" s="5">
        <v>1.758024384702165E-2</v>
      </c>
      <c r="Y137" s="5">
        <v>3.5905413280781506E-2</v>
      </c>
      <c r="Z137" s="5">
        <v>5.6316374357408334E-2</v>
      </c>
      <c r="AA137" s="5">
        <v>2.0708931311322114E-2</v>
      </c>
      <c r="AB137" s="5">
        <v>4.5142490556335249E-2</v>
      </c>
      <c r="AC137" s="5">
        <f t="shared" si="96"/>
        <v>0.05</v>
      </c>
      <c r="AD137" s="5">
        <v>0.2473152947970842</v>
      </c>
      <c r="AE137" s="17">
        <f t="shared" si="63"/>
        <v>0.19699892043967587</v>
      </c>
      <c r="AF137" s="5">
        <f>0.5*0.1</f>
        <v>0.05</v>
      </c>
      <c r="AG137" s="18" t="s">
        <v>158</v>
      </c>
      <c r="AH137" s="18">
        <v>1.1459341723136494</v>
      </c>
      <c r="AI137" s="5">
        <f t="shared" si="98"/>
        <v>0.25</v>
      </c>
      <c r="AJ137" s="5">
        <f t="shared" si="99"/>
        <v>0.1</v>
      </c>
      <c r="AK137" s="5">
        <f t="shared" si="100"/>
        <v>0.01</v>
      </c>
      <c r="AL137" s="5">
        <f t="shared" si="101"/>
        <v>0.05</v>
      </c>
      <c r="AM137" s="5">
        <f t="shared" si="101"/>
        <v>0.05</v>
      </c>
      <c r="AN137" s="5">
        <v>0.17852533075185542</v>
      </c>
      <c r="AO137" s="5">
        <v>2.5653436592449178E-2</v>
      </c>
      <c r="AP137" s="5">
        <f t="shared" si="102"/>
        <v>2.5000000000000001E-2</v>
      </c>
      <c r="AQ137" s="5">
        <f>0.5*0.1</f>
        <v>0.05</v>
      </c>
      <c r="AR137" s="5">
        <f>0.5*0.05</f>
        <v>2.5000000000000001E-2</v>
      </c>
      <c r="AS137" s="5" t="s">
        <v>158</v>
      </c>
      <c r="AT137" s="5" t="s">
        <v>158</v>
      </c>
      <c r="AU137" s="5" t="s">
        <v>158</v>
      </c>
      <c r="AV137" s="5" t="s">
        <v>158</v>
      </c>
      <c r="AW137" s="5" t="s">
        <v>158</v>
      </c>
      <c r="BC137" s="5">
        <v>30.385279787391113</v>
      </c>
      <c r="BD137" s="5">
        <f t="shared" si="103"/>
        <v>0.15</v>
      </c>
      <c r="BE137" s="5">
        <f t="shared" si="104"/>
        <v>0.05</v>
      </c>
      <c r="BF137" s="5">
        <f>0.5*0.02</f>
        <v>0.01</v>
      </c>
      <c r="BG137" s="5">
        <f t="shared" si="105"/>
        <v>0.1</v>
      </c>
      <c r="BH137" s="5">
        <v>0.12933707367488556</v>
      </c>
      <c r="BI137" s="5">
        <v>2.3650524139967519</v>
      </c>
      <c r="BJ137" s="5">
        <v>0.80761848516167123</v>
      </c>
      <c r="BK137" s="5">
        <f t="shared" si="106"/>
        <v>2.5000000000000001E-2</v>
      </c>
      <c r="BL137" s="5">
        <v>1.4516462424331906</v>
      </c>
      <c r="BM137" s="5">
        <v>6.8928096855160201E-2</v>
      </c>
      <c r="BN137" s="17">
        <v>50</v>
      </c>
      <c r="BO137" s="5" t="s">
        <v>158</v>
      </c>
      <c r="BP137" s="5" t="s">
        <v>158</v>
      </c>
      <c r="BQ137" s="5" t="s">
        <v>158</v>
      </c>
      <c r="BR137" s="5" t="s">
        <v>158</v>
      </c>
      <c r="BS137" s="5" t="s">
        <v>158</v>
      </c>
      <c r="BT137" s="5" t="s">
        <v>158</v>
      </c>
      <c r="BU137" s="5" t="s">
        <v>158</v>
      </c>
      <c r="BV137" s="5" t="s">
        <v>158</v>
      </c>
      <c r="BW137" s="5" t="s">
        <v>158</v>
      </c>
      <c r="BX137" s="5" t="s">
        <v>158</v>
      </c>
      <c r="BY137" s="5" t="s">
        <v>158</v>
      </c>
      <c r="BZ137" s="5" t="s">
        <v>158</v>
      </c>
      <c r="CA137" s="5" t="s">
        <v>158</v>
      </c>
      <c r="CB137" s="5" t="s">
        <v>158</v>
      </c>
      <c r="CC137" s="5" t="s">
        <v>158</v>
      </c>
      <c r="CD137" s="5" t="s">
        <v>158</v>
      </c>
      <c r="CE137" s="5" t="s">
        <v>158</v>
      </c>
      <c r="CF137" s="5" t="s">
        <v>158</v>
      </c>
      <c r="CG137" s="5" t="s">
        <v>158</v>
      </c>
      <c r="CH137" s="5" t="s">
        <v>158</v>
      </c>
      <c r="CI137" s="17" t="s">
        <v>158</v>
      </c>
      <c r="CJ137" s="17" t="s">
        <v>158</v>
      </c>
      <c r="CK137" s="17" t="s">
        <v>158</v>
      </c>
      <c r="CL137" s="17" t="s">
        <v>158</v>
      </c>
      <c r="CM137" s="17" t="s">
        <v>158</v>
      </c>
      <c r="CN137" s="17" t="s">
        <v>158</v>
      </c>
      <c r="CO137" s="17" t="s">
        <v>158</v>
      </c>
      <c r="CP137" s="17" t="s">
        <v>158</v>
      </c>
      <c r="CQ137" s="17" t="s">
        <v>158</v>
      </c>
      <c r="CR137" s="17" t="s">
        <v>158</v>
      </c>
      <c r="CS137" s="17" t="s">
        <v>158</v>
      </c>
      <c r="CT137" s="17" t="s">
        <v>158</v>
      </c>
      <c r="CU137" s="17" t="s">
        <v>158</v>
      </c>
      <c r="CV137" s="17" t="s">
        <v>158</v>
      </c>
      <c r="CW137" s="17" t="s">
        <v>158</v>
      </c>
      <c r="CX137" s="17" t="s">
        <v>158</v>
      </c>
      <c r="CY137" s="67" t="s">
        <v>158</v>
      </c>
    </row>
    <row r="138" spans="1:103" x14ac:dyDescent="0.2">
      <c r="A138" s="32" t="s">
        <v>82</v>
      </c>
      <c r="B138" s="14" t="s">
        <v>82</v>
      </c>
      <c r="C138" s="14" t="s">
        <v>20</v>
      </c>
      <c r="G138" s="28">
        <v>42627</v>
      </c>
      <c r="H138" s="16">
        <v>2016</v>
      </c>
      <c r="I138" s="135" t="s">
        <v>33</v>
      </c>
      <c r="J138" s="135">
        <v>10</v>
      </c>
      <c r="K138" s="136">
        <v>1.16434827408554</v>
      </c>
      <c r="L138" s="5">
        <v>3.5887980332424698</v>
      </c>
      <c r="M138" s="5">
        <v>0.12750635413724937</v>
      </c>
      <c r="N138" s="5">
        <v>1.3024569330697544</v>
      </c>
      <c r="O138" s="5">
        <v>4.3155888167184413</v>
      </c>
      <c r="P138" s="5">
        <v>1.5372776051962724</v>
      </c>
      <c r="Q138" s="5">
        <v>8.3256265781441847</v>
      </c>
      <c r="R138" s="5">
        <v>4.2278025499559302</v>
      </c>
      <c r="S138" s="5">
        <v>2.4538266026546176</v>
      </c>
      <c r="T138" s="5">
        <v>22.290085439876453</v>
      </c>
      <c r="U138" s="17">
        <f t="shared" si="78"/>
        <v>89.117699130782384</v>
      </c>
      <c r="V138" s="5">
        <f>0.5*0.018</f>
        <v>8.9999999999999993E-3</v>
      </c>
      <c r="W138" s="5">
        <v>0.11567622206152006</v>
      </c>
      <c r="X138" s="5">
        <v>5.3375140145840466E-2</v>
      </c>
      <c r="Y138" s="5">
        <v>2.9917073636124961E-2</v>
      </c>
      <c r="Z138" s="5">
        <v>4.481203167653823E-2</v>
      </c>
      <c r="AA138" s="5">
        <f>0.5*0.028</f>
        <v>1.4E-2</v>
      </c>
      <c r="AB138" s="5">
        <v>3.6294050825534524E-2</v>
      </c>
      <c r="AC138" s="5">
        <f>0.5*0.2</f>
        <v>0.1</v>
      </c>
      <c r="AD138" s="5">
        <v>0.28007451834555824</v>
      </c>
      <c r="AE138" s="17">
        <f t="shared" si="63"/>
        <v>0.25826248666902002</v>
      </c>
      <c r="AF138" s="5">
        <f>0.5*0.1</f>
        <v>0.05</v>
      </c>
      <c r="AG138" s="18" t="s">
        <v>158</v>
      </c>
      <c r="AH138" s="18">
        <v>3.5701480904130944</v>
      </c>
      <c r="AI138" s="5">
        <f t="shared" si="98"/>
        <v>0.25</v>
      </c>
      <c r="AJ138" s="5">
        <f t="shared" si="99"/>
        <v>0.1</v>
      </c>
      <c r="AK138" s="5">
        <f t="shared" si="100"/>
        <v>0.01</v>
      </c>
      <c r="AL138" s="5">
        <f t="shared" si="101"/>
        <v>0.05</v>
      </c>
      <c r="AM138" s="5">
        <f t="shared" si="101"/>
        <v>0.05</v>
      </c>
      <c r="AN138" s="5">
        <v>0.25042868277474667</v>
      </c>
      <c r="AO138" s="5">
        <v>4.6297739672642252E-2</v>
      </c>
      <c r="AP138" s="5">
        <f t="shared" si="102"/>
        <v>2.5000000000000001E-2</v>
      </c>
      <c r="AQ138" s="5">
        <v>0.22743569758378801</v>
      </c>
      <c r="AR138" s="5">
        <v>7.0038971161340613E-2</v>
      </c>
      <c r="AS138" s="5" t="s">
        <v>158</v>
      </c>
      <c r="AT138" s="5" t="s">
        <v>158</v>
      </c>
      <c r="AU138" s="5" t="s">
        <v>158</v>
      </c>
      <c r="AV138" s="5" t="s">
        <v>158</v>
      </c>
      <c r="AW138" s="5" t="s">
        <v>158</v>
      </c>
      <c r="BC138" s="5">
        <v>59.335231516056758</v>
      </c>
      <c r="BD138" s="5">
        <f t="shared" si="103"/>
        <v>0.15</v>
      </c>
      <c r="BE138" s="5">
        <f t="shared" si="104"/>
        <v>0.05</v>
      </c>
      <c r="BF138" s="5">
        <v>5.7318894697535483E-2</v>
      </c>
      <c r="BG138" s="5">
        <f t="shared" si="105"/>
        <v>0.1</v>
      </c>
      <c r="BH138" s="5">
        <v>0.26624346527259152</v>
      </c>
      <c r="BI138" s="5">
        <v>2.7853808812546679</v>
      </c>
      <c r="BJ138" s="5">
        <v>0.8644510828976848</v>
      </c>
      <c r="BK138" s="5">
        <f t="shared" si="106"/>
        <v>2.5000000000000001E-2</v>
      </c>
      <c r="BL138" s="5">
        <v>2.9746079163554895</v>
      </c>
      <c r="BM138" s="5">
        <v>0.36255601194921583</v>
      </c>
      <c r="BN138" s="17">
        <v>210</v>
      </c>
      <c r="BO138" s="5" t="s">
        <v>158</v>
      </c>
      <c r="BP138" s="5" t="s">
        <v>158</v>
      </c>
      <c r="BQ138" s="5" t="s">
        <v>158</v>
      </c>
      <c r="BR138" s="5" t="s">
        <v>158</v>
      </c>
      <c r="BS138" s="5" t="s">
        <v>158</v>
      </c>
      <c r="BT138" s="5" t="s">
        <v>158</v>
      </c>
      <c r="BU138" s="5" t="s">
        <v>158</v>
      </c>
      <c r="BV138" s="5" t="s">
        <v>158</v>
      </c>
      <c r="BW138" s="5" t="s">
        <v>158</v>
      </c>
      <c r="BX138" s="5" t="s">
        <v>158</v>
      </c>
      <c r="BY138" s="5" t="s">
        <v>158</v>
      </c>
      <c r="BZ138" s="5" t="s">
        <v>158</v>
      </c>
      <c r="CA138" s="5" t="s">
        <v>158</v>
      </c>
      <c r="CB138" s="5" t="s">
        <v>158</v>
      </c>
      <c r="CC138" s="5" t="s">
        <v>158</v>
      </c>
      <c r="CD138" s="5" t="s">
        <v>158</v>
      </c>
      <c r="CE138" s="5" t="s">
        <v>158</v>
      </c>
      <c r="CF138" s="5" t="s">
        <v>158</v>
      </c>
      <c r="CG138" s="5" t="s">
        <v>158</v>
      </c>
      <c r="CH138" s="5" t="s">
        <v>158</v>
      </c>
      <c r="CI138" s="17" t="s">
        <v>158</v>
      </c>
      <c r="CJ138" s="17" t="s">
        <v>158</v>
      </c>
      <c r="CK138" s="17" t="s">
        <v>158</v>
      </c>
      <c r="CL138" s="17" t="s">
        <v>158</v>
      </c>
      <c r="CM138" s="17" t="s">
        <v>158</v>
      </c>
      <c r="CN138" s="17" t="s">
        <v>158</v>
      </c>
      <c r="CO138" s="17" t="s">
        <v>158</v>
      </c>
      <c r="CP138" s="17" t="s">
        <v>158</v>
      </c>
      <c r="CQ138" s="17" t="s">
        <v>158</v>
      </c>
      <c r="CR138" s="17" t="s">
        <v>158</v>
      </c>
      <c r="CS138" s="17" t="s">
        <v>158</v>
      </c>
      <c r="CT138" s="17" t="s">
        <v>158</v>
      </c>
      <c r="CU138" s="17" t="s">
        <v>158</v>
      </c>
      <c r="CV138" s="17" t="s">
        <v>158</v>
      </c>
      <c r="CW138" s="17" t="s">
        <v>158</v>
      </c>
      <c r="CX138" s="17" t="s">
        <v>158</v>
      </c>
      <c r="CY138" s="67" t="s">
        <v>158</v>
      </c>
    </row>
    <row r="139" spans="1:103" x14ac:dyDescent="0.2">
      <c r="A139" s="32" t="s">
        <v>27</v>
      </c>
      <c r="B139" s="14" t="s">
        <v>27</v>
      </c>
      <c r="C139" s="14" t="s">
        <v>20</v>
      </c>
      <c r="G139" s="28">
        <v>42631</v>
      </c>
      <c r="H139" s="16">
        <v>2016</v>
      </c>
      <c r="I139" s="135" t="s">
        <v>33</v>
      </c>
      <c r="J139" s="135">
        <v>10</v>
      </c>
      <c r="K139" s="136">
        <v>0.85147661133865715</v>
      </c>
      <c r="L139" s="5">
        <v>3.35591784882488</v>
      </c>
      <c r="M139" s="5">
        <v>7.9529872673849172E-2</v>
      </c>
      <c r="N139" s="5">
        <v>0.23006856023506367</v>
      </c>
      <c r="O139" s="5">
        <v>0.392458374142997</v>
      </c>
      <c r="P139" s="5">
        <v>0.385896180215475</v>
      </c>
      <c r="Q139" s="5">
        <v>0.7269343780607247</v>
      </c>
      <c r="R139" s="5">
        <v>0.61704211557296762</v>
      </c>
      <c r="S139" s="5">
        <v>0.23643486777668951</v>
      </c>
      <c r="T139" s="5">
        <v>2.6683643486777666</v>
      </c>
      <c r="U139" s="17">
        <f t="shared" si="78"/>
        <v>13.402999789236064</v>
      </c>
      <c r="V139" s="5">
        <f>0.5*0.012</f>
        <v>6.0000000000000001E-3</v>
      </c>
      <c r="W139" s="5">
        <v>3.7996350584967413E-2</v>
      </c>
      <c r="X139" s="5">
        <v>1.3057165149473337E-2</v>
      </c>
      <c r="Y139" s="5">
        <f>0.5*0.015</f>
        <v>7.4999999999999997E-3</v>
      </c>
      <c r="Z139" s="5">
        <v>3.3687486085641212E-2</v>
      </c>
      <c r="AA139" s="5">
        <f>0.5*0.02</f>
        <v>0.01</v>
      </c>
      <c r="AB139" s="5">
        <v>2.2066609102609942E-2</v>
      </c>
      <c r="AC139" s="5">
        <f>0.5*0.1</f>
        <v>0.05</v>
      </c>
      <c r="AD139" s="5">
        <v>0.10680761092269189</v>
      </c>
      <c r="AE139" s="17">
        <f t="shared" si="63"/>
        <v>9.6620124837050694E-2</v>
      </c>
      <c r="AF139" s="5">
        <f>0.5*0.1</f>
        <v>0.05</v>
      </c>
      <c r="AG139" s="18" t="s">
        <v>158</v>
      </c>
      <c r="AH139" s="18">
        <v>9.4225273852992526</v>
      </c>
      <c r="AI139" s="5">
        <f t="shared" si="98"/>
        <v>0.25</v>
      </c>
      <c r="AJ139" s="5">
        <f t="shared" si="99"/>
        <v>0.1</v>
      </c>
      <c r="AK139" s="5">
        <f t="shared" si="100"/>
        <v>0.01</v>
      </c>
      <c r="AL139" s="5">
        <f t="shared" si="101"/>
        <v>0.05</v>
      </c>
      <c r="AM139" s="5">
        <f t="shared" si="101"/>
        <v>0.05</v>
      </c>
      <c r="AN139" s="5">
        <v>0.35426258136212097</v>
      </c>
      <c r="AO139" s="5">
        <v>5.1119225273853E-2</v>
      </c>
      <c r="AP139" s="5">
        <f t="shared" si="102"/>
        <v>2.5000000000000001E-2</v>
      </c>
      <c r="AQ139" s="5">
        <v>0.25146848706143832</v>
      </c>
      <c r="AR139" s="5">
        <f>0.5*0.05</f>
        <v>2.5000000000000001E-2</v>
      </c>
      <c r="AS139" s="5" t="s">
        <v>158</v>
      </c>
      <c r="AT139" s="5" t="s">
        <v>158</v>
      </c>
      <c r="AU139" s="5" t="s">
        <v>158</v>
      </c>
      <c r="AV139" s="5" t="s">
        <v>158</v>
      </c>
      <c r="AW139" s="5" t="s">
        <v>158</v>
      </c>
      <c r="BC139" s="5">
        <v>150</v>
      </c>
      <c r="BD139" s="5">
        <f t="shared" si="103"/>
        <v>0.15</v>
      </c>
      <c r="BE139" s="5">
        <f t="shared" si="104"/>
        <v>0.05</v>
      </c>
      <c r="BF139" s="5">
        <v>4.5298165137614685E-2</v>
      </c>
      <c r="BG139" s="5">
        <f t="shared" si="105"/>
        <v>0.1</v>
      </c>
      <c r="BH139" s="5">
        <v>0.67392966360856277</v>
      </c>
      <c r="BI139" s="5">
        <v>4.2466551987767591</v>
      </c>
      <c r="BJ139" s="5">
        <v>0.88685015290519875</v>
      </c>
      <c r="BK139" s="5">
        <f t="shared" si="106"/>
        <v>2.5000000000000001E-2</v>
      </c>
      <c r="BL139" s="5">
        <v>3.6185015290519877</v>
      </c>
      <c r="BM139" s="5">
        <v>0.13299885321100918</v>
      </c>
      <c r="BN139" s="17">
        <v>67</v>
      </c>
      <c r="BO139" s="5" t="s">
        <v>158</v>
      </c>
      <c r="BP139" s="5" t="s">
        <v>158</v>
      </c>
      <c r="BQ139" s="5" t="s">
        <v>158</v>
      </c>
      <c r="BR139" s="5" t="s">
        <v>158</v>
      </c>
      <c r="BS139" s="5" t="s">
        <v>158</v>
      </c>
      <c r="BT139" s="5" t="s">
        <v>158</v>
      </c>
      <c r="BU139" s="5" t="s">
        <v>158</v>
      </c>
      <c r="BV139" s="5" t="s">
        <v>158</v>
      </c>
      <c r="BW139" s="5" t="s">
        <v>158</v>
      </c>
      <c r="BX139" s="5" t="s">
        <v>158</v>
      </c>
      <c r="BY139" s="5" t="s">
        <v>158</v>
      </c>
      <c r="BZ139" s="5" t="s">
        <v>158</v>
      </c>
      <c r="CA139" s="5" t="s">
        <v>158</v>
      </c>
      <c r="CB139" s="5" t="s">
        <v>158</v>
      </c>
      <c r="CC139" s="5" t="s">
        <v>158</v>
      </c>
      <c r="CD139" s="5" t="s">
        <v>158</v>
      </c>
      <c r="CE139" s="5" t="s">
        <v>158</v>
      </c>
      <c r="CF139" s="5" t="s">
        <v>158</v>
      </c>
      <c r="CG139" s="5" t="s">
        <v>158</v>
      </c>
      <c r="CH139" s="5" t="s">
        <v>158</v>
      </c>
      <c r="CI139" s="17" t="s">
        <v>158</v>
      </c>
      <c r="CJ139" s="17" t="s">
        <v>158</v>
      </c>
      <c r="CK139" s="17" t="s">
        <v>158</v>
      </c>
      <c r="CL139" s="17" t="s">
        <v>158</v>
      </c>
      <c r="CM139" s="17" t="s">
        <v>158</v>
      </c>
      <c r="CN139" s="17" t="s">
        <v>158</v>
      </c>
      <c r="CO139" s="17" t="s">
        <v>158</v>
      </c>
      <c r="CP139" s="17" t="s">
        <v>158</v>
      </c>
      <c r="CQ139" s="17" t="s">
        <v>158</v>
      </c>
      <c r="CR139" s="17" t="s">
        <v>158</v>
      </c>
      <c r="CS139" s="17" t="s">
        <v>158</v>
      </c>
      <c r="CT139" s="17" t="s">
        <v>158</v>
      </c>
      <c r="CU139" s="17" t="s">
        <v>158</v>
      </c>
      <c r="CV139" s="17" t="s">
        <v>158</v>
      </c>
      <c r="CW139" s="17" t="s">
        <v>158</v>
      </c>
      <c r="CX139" s="17" t="s">
        <v>158</v>
      </c>
      <c r="CY139" s="67" t="s">
        <v>158</v>
      </c>
    </row>
    <row r="140" spans="1:103" x14ac:dyDescent="0.2">
      <c r="A140" s="32" t="s">
        <v>28</v>
      </c>
      <c r="B140" s="14" t="s">
        <v>28</v>
      </c>
      <c r="C140" s="14" t="s">
        <v>20</v>
      </c>
      <c r="G140" s="28">
        <v>42625</v>
      </c>
      <c r="H140" s="16">
        <v>2016</v>
      </c>
      <c r="I140" s="135" t="s">
        <v>33</v>
      </c>
      <c r="J140" s="135">
        <v>10</v>
      </c>
      <c r="K140" s="136">
        <v>0.91037831276552605</v>
      </c>
      <c r="L140" s="5">
        <v>3.2172423636882699</v>
      </c>
      <c r="M140" s="5">
        <v>0.15026056745801969</v>
      </c>
      <c r="N140" s="5">
        <v>0.55896545068519587</v>
      </c>
      <c r="O140" s="5">
        <v>1.9866821077012158</v>
      </c>
      <c r="P140" s="5">
        <v>1.5251881876085698</v>
      </c>
      <c r="Q140" s="5">
        <v>3.376375217139548</v>
      </c>
      <c r="R140" s="5">
        <v>3.1627099015634044</v>
      </c>
      <c r="S140" s="5">
        <v>0.96303802354757762</v>
      </c>
      <c r="T140" s="5">
        <v>11.72321945570353</v>
      </c>
      <c r="U140" s="17">
        <f t="shared" si="78"/>
        <v>56.00985395354828</v>
      </c>
      <c r="V140" s="5">
        <f>0.5*0.012</f>
        <v>6.0000000000000001E-3</v>
      </c>
      <c r="W140" s="5">
        <v>0.14400579873006539</v>
      </c>
      <c r="X140" s="5">
        <v>4.5196918922819775E-2</v>
      </c>
      <c r="Y140" s="5">
        <v>6.7998968109107216E-2</v>
      </c>
      <c r="Z140" s="5">
        <v>2.3752134569049427E-2</v>
      </c>
      <c r="AA140" s="5">
        <v>2.7959655549852469E-2</v>
      </c>
      <c r="AB140" s="5">
        <v>3.5560338611948288E-2</v>
      </c>
      <c r="AC140" s="5">
        <f>0.5*0.1</f>
        <v>0.05</v>
      </c>
      <c r="AD140" s="5">
        <v>0.34447381449284259</v>
      </c>
      <c r="AE140" s="17">
        <f t="shared" si="63"/>
        <v>0.32672167992379314</v>
      </c>
      <c r="AF140" s="5">
        <f>0.5*0.1</f>
        <v>0.05</v>
      </c>
      <c r="AG140" s="18" t="s">
        <v>158</v>
      </c>
      <c r="AH140" s="18">
        <v>7.7002870028700281</v>
      </c>
      <c r="AI140" s="5">
        <f t="shared" si="98"/>
        <v>0.25</v>
      </c>
      <c r="AJ140" s="5">
        <f t="shared" si="99"/>
        <v>0.1</v>
      </c>
      <c r="AK140" s="5">
        <f t="shared" si="100"/>
        <v>0.01</v>
      </c>
      <c r="AL140" s="5">
        <f t="shared" si="101"/>
        <v>0.05</v>
      </c>
      <c r="AM140" s="5">
        <f t="shared" si="101"/>
        <v>0.05</v>
      </c>
      <c r="AN140" s="5">
        <v>0.34218942189421891</v>
      </c>
      <c r="AO140" s="5">
        <v>4.1738417384173838E-2</v>
      </c>
      <c r="AP140" s="5">
        <f t="shared" si="102"/>
        <v>2.5000000000000001E-2</v>
      </c>
      <c r="AQ140" s="5">
        <v>0.37457974579745795</v>
      </c>
      <c r="AR140" s="5">
        <f>0.5*0.05</f>
        <v>2.5000000000000001E-2</v>
      </c>
      <c r="AS140" s="5" t="s">
        <v>158</v>
      </c>
      <c r="AT140" s="5" t="s">
        <v>158</v>
      </c>
      <c r="AU140" s="5" t="s">
        <v>158</v>
      </c>
      <c r="AV140" s="5" t="s">
        <v>158</v>
      </c>
      <c r="AW140" s="5" t="s">
        <v>158</v>
      </c>
      <c r="BC140" s="5">
        <v>130</v>
      </c>
      <c r="BD140" s="5">
        <f t="shared" si="103"/>
        <v>0.15</v>
      </c>
      <c r="BE140" s="5">
        <f t="shared" si="104"/>
        <v>0.05</v>
      </c>
      <c r="BF140" s="5">
        <v>0.11527265670483215</v>
      </c>
      <c r="BG140" s="5">
        <f t="shared" si="105"/>
        <v>0.1</v>
      </c>
      <c r="BH140" s="5">
        <v>0.84339219871919269</v>
      </c>
      <c r="BI140" s="5">
        <v>4.6998835629730253</v>
      </c>
      <c r="BJ140" s="5">
        <v>1.2885697651853287</v>
      </c>
      <c r="BK140" s="5">
        <f t="shared" si="106"/>
        <v>2.5000000000000001E-2</v>
      </c>
      <c r="BL140" s="5">
        <v>3.7321948379584708</v>
      </c>
      <c r="BM140" s="5">
        <v>0.26622355909179118</v>
      </c>
      <c r="BN140" s="17">
        <v>96</v>
      </c>
      <c r="BO140" s="5" t="s">
        <v>158</v>
      </c>
      <c r="BP140" s="5" t="s">
        <v>158</v>
      </c>
      <c r="BQ140" s="5" t="s">
        <v>158</v>
      </c>
      <c r="BR140" s="5" t="s">
        <v>158</v>
      </c>
      <c r="BS140" s="5" t="s">
        <v>158</v>
      </c>
      <c r="BT140" s="5" t="s">
        <v>158</v>
      </c>
      <c r="BU140" s="5" t="s">
        <v>158</v>
      </c>
      <c r="BV140" s="5" t="s">
        <v>158</v>
      </c>
      <c r="BW140" s="5" t="s">
        <v>158</v>
      </c>
      <c r="BX140" s="5" t="s">
        <v>158</v>
      </c>
      <c r="BY140" s="5" t="s">
        <v>158</v>
      </c>
      <c r="BZ140" s="5" t="s">
        <v>158</v>
      </c>
      <c r="CA140" s="5" t="s">
        <v>158</v>
      </c>
      <c r="CB140" s="5" t="s">
        <v>158</v>
      </c>
      <c r="CC140" s="5" t="s">
        <v>158</v>
      </c>
      <c r="CD140" s="5" t="s">
        <v>158</v>
      </c>
      <c r="CE140" s="5" t="s">
        <v>158</v>
      </c>
      <c r="CF140" s="5" t="s">
        <v>158</v>
      </c>
      <c r="CG140" s="5" t="s">
        <v>158</v>
      </c>
      <c r="CH140" s="5" t="s">
        <v>158</v>
      </c>
      <c r="CI140" s="17" t="s">
        <v>158</v>
      </c>
      <c r="CJ140" s="17" t="s">
        <v>158</v>
      </c>
      <c r="CK140" s="17" t="s">
        <v>158</v>
      </c>
      <c r="CL140" s="17" t="s">
        <v>158</v>
      </c>
      <c r="CM140" s="17" t="s">
        <v>158</v>
      </c>
      <c r="CN140" s="17" t="s">
        <v>158</v>
      </c>
      <c r="CO140" s="17" t="s">
        <v>158</v>
      </c>
      <c r="CP140" s="17" t="s">
        <v>158</v>
      </c>
      <c r="CQ140" s="17" t="s">
        <v>158</v>
      </c>
      <c r="CR140" s="17" t="s">
        <v>158</v>
      </c>
      <c r="CS140" s="17" t="s">
        <v>158</v>
      </c>
      <c r="CT140" s="17" t="s">
        <v>158</v>
      </c>
      <c r="CU140" s="17" t="s">
        <v>158</v>
      </c>
      <c r="CV140" s="17" t="s">
        <v>158</v>
      </c>
      <c r="CW140" s="17" t="s">
        <v>158</v>
      </c>
      <c r="CX140" s="17" t="s">
        <v>158</v>
      </c>
      <c r="CY140" s="67" t="s">
        <v>158</v>
      </c>
    </row>
    <row r="141" spans="1:103" x14ac:dyDescent="0.2">
      <c r="A141" s="32" t="s">
        <v>4</v>
      </c>
      <c r="B141" s="14" t="s">
        <v>4</v>
      </c>
      <c r="C141" s="14" t="s">
        <v>20</v>
      </c>
      <c r="G141" s="28">
        <v>42624</v>
      </c>
      <c r="H141" s="16">
        <v>2016</v>
      </c>
      <c r="I141" s="135" t="s">
        <v>33</v>
      </c>
      <c r="J141" s="135">
        <v>14</v>
      </c>
      <c r="K141" s="136">
        <v>0.96251266464033092</v>
      </c>
      <c r="L141" s="5">
        <v>3.1604718450923501</v>
      </c>
      <c r="M141" s="5">
        <v>0.10370961308336657</v>
      </c>
      <c r="N141" s="5">
        <v>0.5758875149581173</v>
      </c>
      <c r="O141" s="5">
        <v>2.7869964100518545</v>
      </c>
      <c r="P141" s="5">
        <v>2.3708615875548462</v>
      </c>
      <c r="Q141" s="5">
        <v>6.4</v>
      </c>
      <c r="R141" s="5">
        <v>5.7</v>
      </c>
      <c r="S141" s="5">
        <v>1.6718189070602314</v>
      </c>
      <c r="T141" s="5">
        <v>19.609274032708417</v>
      </c>
      <c r="U141" s="17">
        <f t="shared" si="78"/>
        <v>89.549016228244511</v>
      </c>
      <c r="V141" s="5">
        <f>0.5*0.012</f>
        <v>6.0000000000000001E-3</v>
      </c>
      <c r="W141" s="5">
        <v>0.19383285346921655</v>
      </c>
      <c r="X141" s="5">
        <v>8.0440634189724872E-2</v>
      </c>
      <c r="Y141" s="5">
        <v>0.21676974112974051</v>
      </c>
      <c r="Z141" s="5">
        <v>2.4229106683652069E-2</v>
      </c>
      <c r="AA141" s="5">
        <v>3.4082276735003907E-2</v>
      </c>
      <c r="AB141" s="5">
        <v>3.6020605269696075E-2</v>
      </c>
      <c r="AC141" s="5">
        <f>0.5*0.1</f>
        <v>0.05</v>
      </c>
      <c r="AD141" s="5">
        <v>0.58537521747703392</v>
      </c>
      <c r="AE141" s="17">
        <f t="shared" si="63"/>
        <v>0.56714611079338184</v>
      </c>
      <c r="AF141" s="5">
        <f>0.5*0.1</f>
        <v>0.05</v>
      </c>
      <c r="AG141" s="18" t="s">
        <v>158</v>
      </c>
      <c r="AH141" s="18">
        <v>9.8341049382716044</v>
      </c>
      <c r="AI141" s="5">
        <f t="shared" si="98"/>
        <v>0.25</v>
      </c>
      <c r="AJ141" s="5">
        <f t="shared" si="99"/>
        <v>0.1</v>
      </c>
      <c r="AK141" s="5">
        <f t="shared" si="100"/>
        <v>0.01</v>
      </c>
      <c r="AL141" s="5">
        <f t="shared" si="101"/>
        <v>0.05</v>
      </c>
      <c r="AM141" s="5">
        <f t="shared" si="101"/>
        <v>0.05</v>
      </c>
      <c r="AN141" s="5">
        <v>0.48894032921810698</v>
      </c>
      <c r="AO141" s="5">
        <v>0.10751028806584362</v>
      </c>
      <c r="AP141" s="5">
        <f t="shared" si="102"/>
        <v>2.5000000000000001E-2</v>
      </c>
      <c r="AQ141" s="5">
        <v>0.30932784636488336</v>
      </c>
      <c r="AR141" s="5">
        <v>6.3237311385459516E-2</v>
      </c>
      <c r="AS141" s="5" t="s">
        <v>158</v>
      </c>
      <c r="AT141" s="5" t="s">
        <v>158</v>
      </c>
      <c r="AU141" s="5" t="s">
        <v>158</v>
      </c>
      <c r="AV141" s="5" t="s">
        <v>158</v>
      </c>
      <c r="AW141" s="5" t="s">
        <v>158</v>
      </c>
      <c r="BC141" s="5">
        <v>170.29438510392612</v>
      </c>
      <c r="BD141" s="5">
        <f t="shared" si="103"/>
        <v>0.15</v>
      </c>
      <c r="BE141" s="5">
        <f t="shared" si="104"/>
        <v>0.05</v>
      </c>
      <c r="BF141" s="5">
        <f>0.5*0.02</f>
        <v>0.01</v>
      </c>
      <c r="BG141" s="5">
        <f t="shared" si="105"/>
        <v>0.1</v>
      </c>
      <c r="BH141" s="5">
        <v>0.49740184757505779</v>
      </c>
      <c r="BI141" s="5">
        <v>5.5020929561200926</v>
      </c>
      <c r="BJ141" s="5">
        <v>1.5617782909930717</v>
      </c>
      <c r="BK141" s="5">
        <f t="shared" si="106"/>
        <v>2.5000000000000001E-2</v>
      </c>
      <c r="BL141" s="5">
        <v>5.4318706697459582</v>
      </c>
      <c r="BM141" s="5">
        <v>0.2225534064665127</v>
      </c>
      <c r="BN141" s="17">
        <v>89</v>
      </c>
      <c r="BO141" s="5" t="s">
        <v>158</v>
      </c>
      <c r="BP141" s="5" t="s">
        <v>158</v>
      </c>
      <c r="BQ141" s="5" t="s">
        <v>158</v>
      </c>
      <c r="BR141" s="5" t="s">
        <v>158</v>
      </c>
      <c r="BS141" s="5" t="s">
        <v>158</v>
      </c>
      <c r="BT141" s="5" t="s">
        <v>158</v>
      </c>
      <c r="BU141" s="5" t="s">
        <v>158</v>
      </c>
      <c r="BV141" s="5" t="s">
        <v>158</v>
      </c>
      <c r="BW141" s="5" t="s">
        <v>158</v>
      </c>
      <c r="BX141" s="5" t="s">
        <v>158</v>
      </c>
      <c r="BY141" s="5" t="s">
        <v>158</v>
      </c>
      <c r="BZ141" s="5" t="s">
        <v>158</v>
      </c>
      <c r="CA141" s="5" t="s">
        <v>158</v>
      </c>
      <c r="CB141" s="5" t="s">
        <v>158</v>
      </c>
      <c r="CC141" s="5" t="s">
        <v>158</v>
      </c>
      <c r="CD141" s="5" t="s">
        <v>158</v>
      </c>
      <c r="CE141" s="5" t="s">
        <v>158</v>
      </c>
      <c r="CF141" s="5" t="s">
        <v>158</v>
      </c>
      <c r="CG141" s="5" t="s">
        <v>158</v>
      </c>
      <c r="CH141" s="5" t="s">
        <v>158</v>
      </c>
      <c r="CI141" s="17" t="s">
        <v>158</v>
      </c>
      <c r="CJ141" s="17" t="s">
        <v>158</v>
      </c>
      <c r="CK141" s="17" t="s">
        <v>158</v>
      </c>
      <c r="CL141" s="17" t="s">
        <v>158</v>
      </c>
      <c r="CM141" s="17" t="s">
        <v>158</v>
      </c>
      <c r="CN141" s="17" t="s">
        <v>158</v>
      </c>
      <c r="CO141" s="17" t="s">
        <v>158</v>
      </c>
      <c r="CP141" s="17" t="s">
        <v>158</v>
      </c>
      <c r="CQ141" s="17" t="s">
        <v>158</v>
      </c>
      <c r="CR141" s="17" t="s">
        <v>158</v>
      </c>
      <c r="CS141" s="17" t="s">
        <v>158</v>
      </c>
      <c r="CT141" s="17" t="s">
        <v>158</v>
      </c>
      <c r="CU141" s="17" t="s">
        <v>158</v>
      </c>
      <c r="CV141" s="17" t="s">
        <v>158</v>
      </c>
      <c r="CW141" s="17" t="s">
        <v>158</v>
      </c>
      <c r="CX141" s="17" t="s">
        <v>158</v>
      </c>
      <c r="CY141" s="67" t="s">
        <v>158</v>
      </c>
    </row>
    <row r="142" spans="1:103" x14ac:dyDescent="0.2">
      <c r="A142" s="32" t="s">
        <v>32</v>
      </c>
      <c r="B142" s="14" t="s">
        <v>32</v>
      </c>
      <c r="C142" s="14" t="s">
        <v>31</v>
      </c>
      <c r="G142" s="16" t="s">
        <v>31</v>
      </c>
      <c r="H142" s="16">
        <v>2015</v>
      </c>
      <c r="I142" s="135" t="s">
        <v>3</v>
      </c>
      <c r="J142" s="135" t="s">
        <v>158</v>
      </c>
      <c r="K142" s="136" t="s">
        <v>158</v>
      </c>
      <c r="L142" s="5" t="s">
        <v>158</v>
      </c>
      <c r="M142" s="6">
        <v>0.04</v>
      </c>
      <c r="N142" s="6">
        <v>0.05</v>
      </c>
      <c r="O142" s="6">
        <v>0.04</v>
      </c>
      <c r="P142" s="6">
        <v>0.03</v>
      </c>
      <c r="Q142" s="6">
        <v>0.03</v>
      </c>
      <c r="R142" s="6">
        <v>0.03</v>
      </c>
      <c r="S142" s="6">
        <v>0.03</v>
      </c>
      <c r="T142" s="6" t="s">
        <v>158</v>
      </c>
      <c r="U142" s="17" t="s">
        <v>158</v>
      </c>
      <c r="V142" s="6">
        <v>2.5000000000000001E-2</v>
      </c>
      <c r="W142" s="6">
        <v>0.02</v>
      </c>
      <c r="X142" s="6">
        <v>0.02</v>
      </c>
      <c r="Y142" s="6">
        <v>0.02</v>
      </c>
      <c r="Z142" s="6">
        <v>2.5000000000000001E-2</v>
      </c>
      <c r="AA142" s="6">
        <v>2.5000000000000001E-2</v>
      </c>
      <c r="AB142" s="6">
        <v>2.5000000000000001E-2</v>
      </c>
      <c r="AC142" s="6">
        <v>0.1</v>
      </c>
      <c r="AD142" s="6" t="s">
        <v>158</v>
      </c>
      <c r="AE142" s="24">
        <v>0.1</v>
      </c>
      <c r="AF142" s="5">
        <v>0.1</v>
      </c>
      <c r="AG142" s="18" t="s">
        <v>158</v>
      </c>
      <c r="AH142" s="18">
        <v>0.1</v>
      </c>
      <c r="AI142" s="5">
        <v>0.1</v>
      </c>
      <c r="AJ142" s="5">
        <v>0.02</v>
      </c>
      <c r="AK142" s="5">
        <v>0.1</v>
      </c>
      <c r="AL142" s="5">
        <v>0.1</v>
      </c>
      <c r="AM142" s="5">
        <v>0.1</v>
      </c>
      <c r="AN142" s="5">
        <v>0.05</v>
      </c>
      <c r="AO142" s="5">
        <v>0.01</v>
      </c>
      <c r="AP142" s="5">
        <v>0.1</v>
      </c>
      <c r="AQ142" s="5">
        <v>0.02</v>
      </c>
      <c r="AR142" s="5">
        <v>0.1</v>
      </c>
      <c r="AS142" s="5" t="s">
        <v>158</v>
      </c>
      <c r="AT142" s="5" t="s">
        <v>158</v>
      </c>
      <c r="AU142" s="5" t="s">
        <v>158</v>
      </c>
      <c r="AV142" s="5" t="s">
        <v>158</v>
      </c>
      <c r="AW142" s="5" t="s">
        <v>158</v>
      </c>
      <c r="BC142" s="5">
        <v>0.1</v>
      </c>
      <c r="BD142" s="5">
        <v>0.1</v>
      </c>
      <c r="BE142" s="5">
        <v>0.02</v>
      </c>
      <c r="BF142" s="5">
        <v>0.1</v>
      </c>
      <c r="BG142" s="5">
        <v>0.05</v>
      </c>
      <c r="BH142" s="5">
        <v>0.1</v>
      </c>
      <c r="BI142" s="5">
        <v>0.05</v>
      </c>
      <c r="BJ142" s="5">
        <v>0.01</v>
      </c>
      <c r="BK142" s="5">
        <v>0.1</v>
      </c>
      <c r="BL142" s="5">
        <v>0.02</v>
      </c>
      <c r="BM142" s="6">
        <v>0.04</v>
      </c>
      <c r="BN142" s="24"/>
      <c r="BO142" s="5" t="s">
        <v>158</v>
      </c>
      <c r="BP142" s="5" t="s">
        <v>158</v>
      </c>
      <c r="BQ142" s="5" t="s">
        <v>158</v>
      </c>
      <c r="BR142" s="5" t="s">
        <v>158</v>
      </c>
      <c r="BS142" s="5" t="s">
        <v>158</v>
      </c>
      <c r="BT142" s="5" t="s">
        <v>158</v>
      </c>
      <c r="BU142" s="5" t="s">
        <v>158</v>
      </c>
      <c r="BV142" s="5" t="s">
        <v>158</v>
      </c>
      <c r="BW142" s="5" t="s">
        <v>158</v>
      </c>
      <c r="BX142" s="5" t="s">
        <v>158</v>
      </c>
      <c r="BY142" s="5" t="s">
        <v>158</v>
      </c>
      <c r="BZ142" s="5" t="s">
        <v>158</v>
      </c>
      <c r="CA142" s="5" t="s">
        <v>158</v>
      </c>
      <c r="CB142" s="5" t="s">
        <v>158</v>
      </c>
      <c r="CC142" s="5" t="s">
        <v>158</v>
      </c>
      <c r="CD142" s="5" t="s">
        <v>158</v>
      </c>
      <c r="CE142" s="5" t="s">
        <v>158</v>
      </c>
      <c r="CF142" s="5" t="s">
        <v>158</v>
      </c>
      <c r="CG142" s="5" t="s">
        <v>158</v>
      </c>
      <c r="CH142" s="5" t="s">
        <v>158</v>
      </c>
      <c r="CI142" s="17" t="s">
        <v>158</v>
      </c>
      <c r="CJ142" s="17" t="s">
        <v>158</v>
      </c>
      <c r="CK142" s="17" t="s">
        <v>158</v>
      </c>
      <c r="CL142" s="17" t="s">
        <v>158</v>
      </c>
      <c r="CM142" s="17" t="s">
        <v>158</v>
      </c>
      <c r="CN142" s="17" t="s">
        <v>158</v>
      </c>
      <c r="CO142" s="17" t="s">
        <v>158</v>
      </c>
      <c r="CP142" s="17" t="s">
        <v>158</v>
      </c>
      <c r="CQ142" s="17" t="s">
        <v>158</v>
      </c>
      <c r="CR142" s="17" t="s">
        <v>158</v>
      </c>
      <c r="CS142" s="17" t="s">
        <v>158</v>
      </c>
      <c r="CT142" s="17" t="s">
        <v>158</v>
      </c>
      <c r="CU142" s="17" t="s">
        <v>158</v>
      </c>
      <c r="CV142" s="17" t="s">
        <v>158</v>
      </c>
      <c r="CW142" s="17" t="s">
        <v>158</v>
      </c>
      <c r="CX142" s="17" t="s">
        <v>158</v>
      </c>
      <c r="CY142" s="67" t="s">
        <v>158</v>
      </c>
    </row>
    <row r="143" spans="1:103" x14ac:dyDescent="0.2">
      <c r="A143" s="32" t="s">
        <v>22</v>
      </c>
      <c r="B143" s="14" t="s">
        <v>22</v>
      </c>
      <c r="C143" s="14" t="s">
        <v>20</v>
      </c>
      <c r="G143" s="28">
        <v>42251</v>
      </c>
      <c r="H143" s="16">
        <v>2015</v>
      </c>
      <c r="I143" s="135" t="s">
        <v>33</v>
      </c>
      <c r="J143" s="135">
        <v>10</v>
      </c>
      <c r="K143" s="136" t="s">
        <v>158</v>
      </c>
      <c r="L143" s="5" t="s">
        <v>158</v>
      </c>
      <c r="M143" s="5">
        <v>0.52</v>
      </c>
      <c r="N143" s="5">
        <v>1.3</v>
      </c>
      <c r="O143" s="5">
        <v>3</v>
      </c>
      <c r="P143" s="5">
        <v>2.4</v>
      </c>
      <c r="Q143" s="5">
        <v>5.5</v>
      </c>
      <c r="R143" s="5">
        <v>4.9000000000000004</v>
      </c>
      <c r="S143" s="5">
        <v>2.6</v>
      </c>
      <c r="T143" s="5">
        <f>SUM(M143:S143)</f>
        <v>20.220000000000002</v>
      </c>
      <c r="U143" s="17" t="s">
        <v>158</v>
      </c>
      <c r="V143" s="5">
        <f>0.5*0.024</f>
        <v>1.2E-2</v>
      </c>
      <c r="W143" s="5">
        <v>0.15</v>
      </c>
      <c r="X143" s="5">
        <v>0.1</v>
      </c>
      <c r="Y143" s="5">
        <v>0.16</v>
      </c>
      <c r="Z143" s="5">
        <f>0.5*0.024</f>
        <v>1.2E-2</v>
      </c>
      <c r="AA143" s="5">
        <v>0.05</v>
      </c>
      <c r="AB143" s="5">
        <v>3.1E-2</v>
      </c>
      <c r="AC143" s="5">
        <f t="shared" ref="AC143:AC152" si="107">0.5*0.1</f>
        <v>0.05</v>
      </c>
      <c r="AD143" s="5">
        <f>SUM(V143:AC143)</f>
        <v>0.56500000000000006</v>
      </c>
      <c r="AE143" s="17">
        <f>SUM(V143,W143,Y143,X143,AB143,AA143)</f>
        <v>0.50300000000000011</v>
      </c>
      <c r="AF143" s="5">
        <f t="shared" ref="AF143:AF152" si="108">0.5*0.1</f>
        <v>0.05</v>
      </c>
      <c r="AG143" s="18" t="s">
        <v>158</v>
      </c>
      <c r="AH143" s="18">
        <v>17.810970636215334</v>
      </c>
      <c r="AI143" s="5">
        <f>0.5*0.1</f>
        <v>0.05</v>
      </c>
      <c r="AJ143" s="5">
        <f>0.5*0.1</f>
        <v>0.05</v>
      </c>
      <c r="AK143" s="5">
        <f t="shared" ref="AK143:AK152" si="109">0.5*0.02</f>
        <v>0.01</v>
      </c>
      <c r="AL143" s="5">
        <f t="shared" ref="AL143:AM149" si="110">0.5*0.1</f>
        <v>0.05</v>
      </c>
      <c r="AM143" s="5">
        <f t="shared" si="110"/>
        <v>0.05</v>
      </c>
      <c r="AN143" s="5">
        <v>0.58049806280587268</v>
      </c>
      <c r="AO143" s="5">
        <v>0.35098898858075034</v>
      </c>
      <c r="AP143" s="5">
        <f t="shared" ref="AP143:AP152" si="111">0.5*0.01</f>
        <v>5.0000000000000001E-3</v>
      </c>
      <c r="AQ143" s="5">
        <v>0.62009074225122351</v>
      </c>
      <c r="AR143" s="5">
        <v>6.7546900489396419E-2</v>
      </c>
      <c r="AS143" s="5" t="s">
        <v>158</v>
      </c>
      <c r="AT143" s="5" t="s">
        <v>158</v>
      </c>
      <c r="AU143" s="5" t="s">
        <v>158</v>
      </c>
      <c r="AV143" s="5" t="s">
        <v>158</v>
      </c>
      <c r="AW143" s="5" t="s">
        <v>158</v>
      </c>
      <c r="BC143" s="5">
        <v>210</v>
      </c>
      <c r="BD143" s="5">
        <f t="shared" ref="BD143:BE145" si="112">0.5*0.1</f>
        <v>0.05</v>
      </c>
      <c r="BE143" s="5">
        <f t="shared" si="112"/>
        <v>0.05</v>
      </c>
      <c r="BF143" s="5">
        <v>0.14761991279069767</v>
      </c>
      <c r="BG143" s="5">
        <f>0.5*0.1</f>
        <v>0.05</v>
      </c>
      <c r="BH143" s="5">
        <v>0.2397937863372093</v>
      </c>
      <c r="BI143" s="5">
        <v>6.5649573037790701</v>
      </c>
      <c r="BJ143" s="5">
        <v>3.7922420058139537</v>
      </c>
      <c r="BK143" s="5">
        <f>0.5*0.01</f>
        <v>5.0000000000000001E-3</v>
      </c>
      <c r="BL143" s="5">
        <v>7.8546239098837223</v>
      </c>
      <c r="BM143" s="5">
        <v>0.34111555232558138</v>
      </c>
      <c r="BN143" s="17">
        <v>110</v>
      </c>
      <c r="BO143" s="5" t="s">
        <v>158</v>
      </c>
      <c r="BP143" s="5" t="s">
        <v>158</v>
      </c>
      <c r="BQ143" s="5" t="s">
        <v>158</v>
      </c>
      <c r="BR143" s="5" t="s">
        <v>158</v>
      </c>
      <c r="BS143" s="5" t="s">
        <v>158</v>
      </c>
      <c r="BT143" s="5" t="s">
        <v>158</v>
      </c>
      <c r="BU143" s="5" t="s">
        <v>158</v>
      </c>
      <c r="BV143" s="5" t="s">
        <v>158</v>
      </c>
      <c r="BW143" s="5" t="s">
        <v>158</v>
      </c>
      <c r="BX143" s="5" t="s">
        <v>158</v>
      </c>
      <c r="BY143" s="5" t="s">
        <v>158</v>
      </c>
      <c r="BZ143" s="5" t="s">
        <v>158</v>
      </c>
      <c r="CA143" s="5" t="s">
        <v>158</v>
      </c>
      <c r="CB143" s="5" t="s">
        <v>158</v>
      </c>
      <c r="CC143" s="5" t="s">
        <v>158</v>
      </c>
      <c r="CD143" s="5" t="s">
        <v>158</v>
      </c>
      <c r="CE143" s="5" t="s">
        <v>158</v>
      </c>
      <c r="CF143" s="5" t="s">
        <v>158</v>
      </c>
      <c r="CG143" s="5" t="s">
        <v>158</v>
      </c>
      <c r="CH143" s="5" t="s">
        <v>158</v>
      </c>
      <c r="CI143" s="17" t="s">
        <v>158</v>
      </c>
      <c r="CJ143" s="17" t="s">
        <v>158</v>
      </c>
      <c r="CK143" s="17" t="s">
        <v>158</v>
      </c>
      <c r="CL143" s="17" t="s">
        <v>158</v>
      </c>
      <c r="CM143" s="17" t="s">
        <v>158</v>
      </c>
      <c r="CN143" s="17" t="s">
        <v>158</v>
      </c>
      <c r="CO143" s="17" t="s">
        <v>158</v>
      </c>
      <c r="CP143" s="17" t="s">
        <v>158</v>
      </c>
      <c r="CQ143" s="17" t="s">
        <v>158</v>
      </c>
      <c r="CR143" s="17" t="s">
        <v>158</v>
      </c>
      <c r="CS143" s="17" t="s">
        <v>158</v>
      </c>
      <c r="CT143" s="17" t="s">
        <v>158</v>
      </c>
      <c r="CU143" s="17" t="s">
        <v>158</v>
      </c>
      <c r="CV143" s="17" t="s">
        <v>158</v>
      </c>
      <c r="CW143" s="17" t="s">
        <v>158</v>
      </c>
      <c r="CX143" s="17" t="s">
        <v>158</v>
      </c>
      <c r="CY143" s="67" t="s">
        <v>158</v>
      </c>
    </row>
    <row r="144" spans="1:103" x14ac:dyDescent="0.2">
      <c r="A144" s="32" t="s">
        <v>112</v>
      </c>
      <c r="B144" s="14" t="s">
        <v>24</v>
      </c>
      <c r="C144" s="14" t="s">
        <v>20</v>
      </c>
      <c r="G144" s="28">
        <v>42244</v>
      </c>
      <c r="H144" s="16">
        <v>2015</v>
      </c>
      <c r="I144" s="135" t="s">
        <v>33</v>
      </c>
      <c r="J144" s="135">
        <v>10</v>
      </c>
      <c r="K144" s="136" t="s">
        <v>158</v>
      </c>
      <c r="L144" s="5" t="s">
        <v>158</v>
      </c>
      <c r="M144" s="5">
        <v>0.56999999999999995</v>
      </c>
      <c r="N144" s="5">
        <v>1.4</v>
      </c>
      <c r="O144" s="5">
        <v>3.4</v>
      </c>
      <c r="P144" s="5">
        <v>2.8</v>
      </c>
      <c r="Q144" s="5">
        <v>5.3</v>
      </c>
      <c r="R144" s="5">
        <v>4.5999999999999996</v>
      </c>
      <c r="S144" s="5">
        <v>2</v>
      </c>
      <c r="T144" s="5">
        <f t="shared" ref="T144:T152" si="113">SUM(M144:S144)</f>
        <v>20.07</v>
      </c>
      <c r="U144" s="17" t="s">
        <v>158</v>
      </c>
      <c r="V144" s="5">
        <f>0.5*0.023</f>
        <v>1.15E-2</v>
      </c>
      <c r="W144" s="5">
        <v>0.17</v>
      </c>
      <c r="X144" s="5">
        <v>5.8000000000000003E-2</v>
      </c>
      <c r="Y144" s="5">
        <v>9.0999999999999998E-2</v>
      </c>
      <c r="Z144" s="5">
        <f>0.5*0.023</f>
        <v>1.15E-2</v>
      </c>
      <c r="AA144" s="5">
        <v>3.9E-2</v>
      </c>
      <c r="AB144" s="5">
        <f>0.5*0.023</f>
        <v>1.15E-2</v>
      </c>
      <c r="AC144" s="5">
        <f t="shared" si="107"/>
        <v>0.05</v>
      </c>
      <c r="AD144" s="5">
        <f t="shared" ref="AD144:AD152" si="114">SUM(V144:AC144)</f>
        <v>0.4425</v>
      </c>
      <c r="AE144" s="17">
        <f t="shared" si="63"/>
        <v>0.38100000000000001</v>
      </c>
      <c r="AF144" s="5">
        <f t="shared" si="108"/>
        <v>0.05</v>
      </c>
      <c r="AG144" s="18" t="s">
        <v>158</v>
      </c>
      <c r="AH144" s="18">
        <v>17.067451420029897</v>
      </c>
      <c r="AI144" s="5">
        <f t="shared" ref="AI144:AI152" si="115">0.5*0.1</f>
        <v>0.05</v>
      </c>
      <c r="AJ144" s="5">
        <v>0.2</v>
      </c>
      <c r="AK144" s="5">
        <f t="shared" si="109"/>
        <v>0.01</v>
      </c>
      <c r="AL144" s="5">
        <f t="shared" si="110"/>
        <v>0.05</v>
      </c>
      <c r="AM144" s="5">
        <f t="shared" si="110"/>
        <v>0.05</v>
      </c>
      <c r="AN144" s="5">
        <v>1.1148659379671151</v>
      </c>
      <c r="AO144" s="5">
        <v>0.57291666666666663</v>
      </c>
      <c r="AP144" s="5">
        <f t="shared" si="111"/>
        <v>5.0000000000000001E-3</v>
      </c>
      <c r="AQ144" s="5">
        <v>1.2548439835575487</v>
      </c>
      <c r="AR144" s="5">
        <f>0.5*0.02</f>
        <v>0.01</v>
      </c>
      <c r="AS144" s="5" t="s">
        <v>158</v>
      </c>
      <c r="AT144" s="5" t="s">
        <v>158</v>
      </c>
      <c r="AU144" s="5" t="s">
        <v>158</v>
      </c>
      <c r="AV144" s="5" t="s">
        <v>158</v>
      </c>
      <c r="AW144" s="5" t="s">
        <v>158</v>
      </c>
      <c r="BC144" s="5">
        <v>200</v>
      </c>
      <c r="BD144" s="5">
        <f t="shared" si="112"/>
        <v>0.05</v>
      </c>
      <c r="BE144" s="5">
        <f t="shared" si="112"/>
        <v>0.05</v>
      </c>
      <c r="BF144" s="5">
        <v>0.28710087082728586</v>
      </c>
      <c r="BG144" s="5">
        <f>0.5*0.1</f>
        <v>0.05</v>
      </c>
      <c r="BH144" s="5">
        <v>0.32290003628447023</v>
      </c>
      <c r="BI144" s="5">
        <v>10.093164912917272</v>
      </c>
      <c r="BJ144" s="5">
        <v>2.7707728592162555</v>
      </c>
      <c r="BK144" s="5">
        <f>0.5*0.01</f>
        <v>5.0000000000000001E-3</v>
      </c>
      <c r="BL144" s="5">
        <v>10.510132438316401</v>
      </c>
      <c r="BM144" s="5">
        <v>0.1809687953555878</v>
      </c>
      <c r="BN144" s="17">
        <v>200</v>
      </c>
      <c r="BO144" s="5" t="s">
        <v>158</v>
      </c>
      <c r="BP144" s="5" t="s">
        <v>158</v>
      </c>
      <c r="BQ144" s="5" t="s">
        <v>158</v>
      </c>
      <c r="BR144" s="5" t="s">
        <v>158</v>
      </c>
      <c r="BS144" s="5" t="s">
        <v>158</v>
      </c>
      <c r="BT144" s="5" t="s">
        <v>158</v>
      </c>
      <c r="BU144" s="5" t="s">
        <v>158</v>
      </c>
      <c r="BV144" s="5" t="s">
        <v>158</v>
      </c>
      <c r="BW144" s="5" t="s">
        <v>158</v>
      </c>
      <c r="BX144" s="5" t="s">
        <v>158</v>
      </c>
      <c r="BY144" s="5" t="s">
        <v>158</v>
      </c>
      <c r="BZ144" s="5" t="s">
        <v>158</v>
      </c>
      <c r="CA144" s="5" t="s">
        <v>158</v>
      </c>
      <c r="CB144" s="5" t="s">
        <v>158</v>
      </c>
      <c r="CC144" s="5" t="s">
        <v>158</v>
      </c>
      <c r="CD144" s="5" t="s">
        <v>158</v>
      </c>
      <c r="CE144" s="5" t="s">
        <v>158</v>
      </c>
      <c r="CF144" s="5" t="s">
        <v>158</v>
      </c>
      <c r="CG144" s="5" t="s">
        <v>158</v>
      </c>
      <c r="CH144" s="5" t="s">
        <v>158</v>
      </c>
      <c r="CI144" s="17" t="s">
        <v>158</v>
      </c>
      <c r="CJ144" s="17" t="s">
        <v>158</v>
      </c>
      <c r="CK144" s="17" t="s">
        <v>158</v>
      </c>
      <c r="CL144" s="17" t="s">
        <v>158</v>
      </c>
      <c r="CM144" s="17" t="s">
        <v>158</v>
      </c>
      <c r="CN144" s="17" t="s">
        <v>158</v>
      </c>
      <c r="CO144" s="17" t="s">
        <v>158</v>
      </c>
      <c r="CP144" s="17" t="s">
        <v>158</v>
      </c>
      <c r="CQ144" s="17" t="s">
        <v>158</v>
      </c>
      <c r="CR144" s="17" t="s">
        <v>158</v>
      </c>
      <c r="CS144" s="17" t="s">
        <v>158</v>
      </c>
      <c r="CT144" s="17" t="s">
        <v>158</v>
      </c>
      <c r="CU144" s="17" t="s">
        <v>158</v>
      </c>
      <c r="CV144" s="17" t="s">
        <v>158</v>
      </c>
      <c r="CW144" s="17" t="s">
        <v>158</v>
      </c>
      <c r="CX144" s="17" t="s">
        <v>158</v>
      </c>
      <c r="CY144" s="67" t="s">
        <v>158</v>
      </c>
    </row>
    <row r="145" spans="1:103" x14ac:dyDescent="0.2">
      <c r="A145" s="32" t="s">
        <v>21</v>
      </c>
      <c r="B145" s="14" t="s">
        <v>21</v>
      </c>
      <c r="C145" s="14" t="s">
        <v>20</v>
      </c>
      <c r="G145" s="28">
        <v>42248</v>
      </c>
      <c r="H145" s="16">
        <v>2015</v>
      </c>
      <c r="I145" s="135" t="s">
        <v>33</v>
      </c>
      <c r="J145" s="135">
        <v>10</v>
      </c>
      <c r="K145" s="136" t="s">
        <v>158</v>
      </c>
      <c r="L145" s="5" t="s">
        <v>158</v>
      </c>
      <c r="M145" s="5">
        <f>0.5*0.04</f>
        <v>0.02</v>
      </c>
      <c r="N145" s="5">
        <f>0.5*0.05</f>
        <v>2.5000000000000001E-2</v>
      </c>
      <c r="O145" s="5">
        <v>0.6</v>
      </c>
      <c r="P145" s="5">
        <v>0.43</v>
      </c>
      <c r="Q145" s="5">
        <v>1.9</v>
      </c>
      <c r="R145" s="5">
        <v>1.5</v>
      </c>
      <c r="S145" s="5">
        <v>0.88</v>
      </c>
      <c r="T145" s="5">
        <f t="shared" si="113"/>
        <v>5.3549999999999995</v>
      </c>
      <c r="U145" s="17" t="s">
        <v>158</v>
      </c>
      <c r="V145" s="5">
        <f>0.5*0.024</f>
        <v>1.2E-2</v>
      </c>
      <c r="W145" s="5">
        <v>6.0999999999999999E-2</v>
      </c>
      <c r="X145" s="5">
        <v>3.1E-2</v>
      </c>
      <c r="Y145" s="5">
        <v>5.5E-2</v>
      </c>
      <c r="Z145" s="5">
        <f>0.5*0.024</f>
        <v>1.2E-2</v>
      </c>
      <c r="AA145" s="5">
        <v>3.4000000000000002E-2</v>
      </c>
      <c r="AB145" s="5">
        <f>0.5*0.024</f>
        <v>1.2E-2</v>
      </c>
      <c r="AC145" s="5">
        <f t="shared" si="107"/>
        <v>0.05</v>
      </c>
      <c r="AD145" s="5">
        <f t="shared" si="114"/>
        <v>0.26700000000000002</v>
      </c>
      <c r="AE145" s="17">
        <f t="shared" si="63"/>
        <v>0.20500000000000002</v>
      </c>
      <c r="AF145" s="5">
        <f t="shared" si="108"/>
        <v>0.05</v>
      </c>
      <c r="AG145" s="18" t="s">
        <v>158</v>
      </c>
      <c r="AH145" s="18">
        <v>29.020143739244862</v>
      </c>
      <c r="AI145" s="5">
        <f t="shared" si="115"/>
        <v>0.05</v>
      </c>
      <c r="AJ145" s="5">
        <f t="shared" ref="AJ145:AJ152" si="116">0.5*0.1</f>
        <v>0.05</v>
      </c>
      <c r="AK145" s="5">
        <f t="shared" si="109"/>
        <v>0.01</v>
      </c>
      <c r="AL145" s="5">
        <f t="shared" si="110"/>
        <v>0.05</v>
      </c>
      <c r="AM145" s="5">
        <f t="shared" si="110"/>
        <v>0.05</v>
      </c>
      <c r="AN145" s="5">
        <v>1.0358867294260554</v>
      </c>
      <c r="AO145" s="5">
        <v>0.51245065290009106</v>
      </c>
      <c r="AP145" s="5">
        <f t="shared" si="111"/>
        <v>5.0000000000000001E-3</v>
      </c>
      <c r="AQ145" s="5">
        <v>0.65511185342646017</v>
      </c>
      <c r="AR145" s="5">
        <v>0.12324121874683672</v>
      </c>
      <c r="AS145" s="5" t="s">
        <v>158</v>
      </c>
      <c r="AT145" s="5" t="s">
        <v>158</v>
      </c>
      <c r="AU145" s="5" t="s">
        <v>158</v>
      </c>
      <c r="AV145" s="5" t="s">
        <v>158</v>
      </c>
      <c r="AW145" s="5" t="s">
        <v>158</v>
      </c>
      <c r="BC145" s="5">
        <v>520</v>
      </c>
      <c r="BD145" s="5">
        <f t="shared" si="112"/>
        <v>0.05</v>
      </c>
      <c r="BE145" s="5">
        <f t="shared" si="112"/>
        <v>0.05</v>
      </c>
      <c r="BF145" s="5">
        <v>0.55040733197556002</v>
      </c>
      <c r="BG145" s="5">
        <f>0.5*0.1</f>
        <v>0.05</v>
      </c>
      <c r="BH145" s="5">
        <v>0.44802953156822811</v>
      </c>
      <c r="BI145" s="5">
        <v>12.002754582484727</v>
      </c>
      <c r="BJ145" s="5">
        <v>8.9760692464358467</v>
      </c>
      <c r="BK145" s="5">
        <f>0.5*0.01</f>
        <v>5.0000000000000001E-3</v>
      </c>
      <c r="BL145" s="5">
        <v>7.6846945010183294</v>
      </c>
      <c r="BM145" s="5">
        <v>0.49439918533604893</v>
      </c>
      <c r="BN145" s="17">
        <v>70</v>
      </c>
      <c r="BO145" s="5" t="s">
        <v>158</v>
      </c>
      <c r="BP145" s="5" t="s">
        <v>158</v>
      </c>
      <c r="BQ145" s="5" t="s">
        <v>158</v>
      </c>
      <c r="BR145" s="5" t="s">
        <v>158</v>
      </c>
      <c r="BS145" s="5" t="s">
        <v>158</v>
      </c>
      <c r="BT145" s="5" t="s">
        <v>158</v>
      </c>
      <c r="BU145" s="5" t="s">
        <v>158</v>
      </c>
      <c r="BV145" s="5" t="s">
        <v>158</v>
      </c>
      <c r="BW145" s="5" t="s">
        <v>158</v>
      </c>
      <c r="BX145" s="5" t="s">
        <v>158</v>
      </c>
      <c r="BY145" s="5" t="s">
        <v>158</v>
      </c>
      <c r="BZ145" s="5" t="s">
        <v>158</v>
      </c>
      <c r="CA145" s="5" t="s">
        <v>158</v>
      </c>
      <c r="CB145" s="5" t="s">
        <v>158</v>
      </c>
      <c r="CC145" s="5" t="s">
        <v>158</v>
      </c>
      <c r="CD145" s="5" t="s">
        <v>158</v>
      </c>
      <c r="CE145" s="5" t="s">
        <v>158</v>
      </c>
      <c r="CF145" s="5" t="s">
        <v>158</v>
      </c>
      <c r="CG145" s="5" t="s">
        <v>158</v>
      </c>
      <c r="CH145" s="5" t="s">
        <v>158</v>
      </c>
      <c r="CI145" s="17" t="s">
        <v>158</v>
      </c>
      <c r="CJ145" s="17" t="s">
        <v>158</v>
      </c>
      <c r="CK145" s="17" t="s">
        <v>158</v>
      </c>
      <c r="CL145" s="17" t="s">
        <v>158</v>
      </c>
      <c r="CM145" s="17" t="s">
        <v>158</v>
      </c>
      <c r="CN145" s="17" t="s">
        <v>158</v>
      </c>
      <c r="CO145" s="17" t="s">
        <v>158</v>
      </c>
      <c r="CP145" s="17" t="s">
        <v>158</v>
      </c>
      <c r="CQ145" s="17" t="s">
        <v>158</v>
      </c>
      <c r="CR145" s="17" t="s">
        <v>158</v>
      </c>
      <c r="CS145" s="17" t="s">
        <v>158</v>
      </c>
      <c r="CT145" s="17" t="s">
        <v>158</v>
      </c>
      <c r="CU145" s="17" t="s">
        <v>158</v>
      </c>
      <c r="CV145" s="17" t="s">
        <v>158</v>
      </c>
      <c r="CW145" s="17" t="s">
        <v>158</v>
      </c>
      <c r="CX145" s="17" t="s">
        <v>158</v>
      </c>
      <c r="CY145" s="67" t="s">
        <v>158</v>
      </c>
    </row>
    <row r="146" spans="1:103" x14ac:dyDescent="0.2">
      <c r="A146" s="32" t="s">
        <v>23</v>
      </c>
      <c r="B146" s="14" t="s">
        <v>115</v>
      </c>
      <c r="C146" s="14" t="s">
        <v>20</v>
      </c>
      <c r="D146" s="14" t="s">
        <v>124</v>
      </c>
      <c r="G146" s="28">
        <v>42298</v>
      </c>
      <c r="H146" s="16">
        <v>2015</v>
      </c>
      <c r="I146" s="135" t="s">
        <v>33</v>
      </c>
      <c r="J146" s="135">
        <v>10</v>
      </c>
      <c r="K146" s="136" t="s">
        <v>158</v>
      </c>
      <c r="L146" s="5" t="s">
        <v>158</v>
      </c>
      <c r="M146" s="5">
        <v>0.48</v>
      </c>
      <c r="N146" s="5">
        <v>2.2000000000000002</v>
      </c>
      <c r="O146" s="5">
        <v>5.3</v>
      </c>
      <c r="P146" s="5">
        <v>3.5</v>
      </c>
      <c r="Q146" s="5">
        <v>6.2</v>
      </c>
      <c r="R146" s="5">
        <v>5.9</v>
      </c>
      <c r="S146" s="5">
        <v>2.2999999999999998</v>
      </c>
      <c r="T146" s="5">
        <f t="shared" si="113"/>
        <v>25.88</v>
      </c>
      <c r="U146" s="17" t="s">
        <v>158</v>
      </c>
      <c r="V146" s="5">
        <f>0.5*0.024</f>
        <v>1.2E-2</v>
      </c>
      <c r="W146" s="5">
        <v>3.5999999999999997E-2</v>
      </c>
      <c r="X146" s="5">
        <f>0.5*0.019</f>
        <v>9.4999999999999998E-3</v>
      </c>
      <c r="Y146" s="5">
        <v>3.9E-2</v>
      </c>
      <c r="Z146" s="5">
        <f>0.5*0.024</f>
        <v>1.2E-2</v>
      </c>
      <c r="AA146" s="5">
        <v>3.6999999999999998E-2</v>
      </c>
      <c r="AB146" s="5">
        <f>0.5*0.024</f>
        <v>1.2E-2</v>
      </c>
      <c r="AC146" s="5">
        <f t="shared" si="107"/>
        <v>0.05</v>
      </c>
      <c r="AD146" s="5">
        <f t="shared" si="114"/>
        <v>0.20750000000000002</v>
      </c>
      <c r="AE146" s="17">
        <f t="shared" si="63"/>
        <v>0.14549999999999999</v>
      </c>
      <c r="AF146" s="5">
        <f t="shared" si="108"/>
        <v>0.05</v>
      </c>
      <c r="AG146" s="18" t="s">
        <v>158</v>
      </c>
      <c r="AH146" s="18">
        <v>16.593638896896323</v>
      </c>
      <c r="AI146" s="5">
        <f t="shared" si="115"/>
        <v>0.05</v>
      </c>
      <c r="AJ146" s="5">
        <f t="shared" si="116"/>
        <v>0.05</v>
      </c>
      <c r="AK146" s="5">
        <f t="shared" si="109"/>
        <v>0.01</v>
      </c>
      <c r="AL146" s="5">
        <f t="shared" si="110"/>
        <v>0.05</v>
      </c>
      <c r="AM146" s="5">
        <f t="shared" si="110"/>
        <v>0.05</v>
      </c>
      <c r="AN146" s="5">
        <v>0.87475016815604889</v>
      </c>
      <c r="AO146" s="5">
        <v>6.5580859037186495E-2</v>
      </c>
      <c r="AP146" s="5">
        <f t="shared" si="111"/>
        <v>5.0000000000000001E-3</v>
      </c>
      <c r="AQ146" s="5">
        <v>0.80732679926972228</v>
      </c>
      <c r="AR146" s="5">
        <v>0.16503315076390893</v>
      </c>
      <c r="AS146" s="5" t="s">
        <v>158</v>
      </c>
      <c r="AT146" s="5" t="s">
        <v>158</v>
      </c>
      <c r="AU146" s="5" t="s">
        <v>158</v>
      </c>
      <c r="AV146" s="5" t="s">
        <v>158</v>
      </c>
      <c r="AW146" s="5" t="s">
        <v>158</v>
      </c>
      <c r="BC146" s="17" t="s">
        <v>158</v>
      </c>
      <c r="BD146" s="17" t="s">
        <v>158</v>
      </c>
      <c r="BE146" s="17" t="s">
        <v>158</v>
      </c>
      <c r="BF146" s="17" t="s">
        <v>158</v>
      </c>
      <c r="BG146" s="17" t="s">
        <v>158</v>
      </c>
      <c r="BH146" s="17" t="s">
        <v>158</v>
      </c>
      <c r="BI146" s="17" t="s">
        <v>158</v>
      </c>
      <c r="BJ146" s="17" t="s">
        <v>158</v>
      </c>
      <c r="BK146" s="17" t="s">
        <v>158</v>
      </c>
      <c r="BL146" s="17" t="s">
        <v>158</v>
      </c>
      <c r="BM146" s="17" t="s">
        <v>158</v>
      </c>
      <c r="BN146" s="17">
        <v>520</v>
      </c>
      <c r="BO146" s="5" t="s">
        <v>158</v>
      </c>
      <c r="BP146" s="5" t="s">
        <v>158</v>
      </c>
      <c r="BQ146" s="5" t="s">
        <v>158</v>
      </c>
      <c r="BR146" s="5" t="s">
        <v>158</v>
      </c>
      <c r="BS146" s="5" t="s">
        <v>158</v>
      </c>
      <c r="BT146" s="5" t="s">
        <v>158</v>
      </c>
      <c r="BU146" s="5" t="s">
        <v>158</v>
      </c>
      <c r="BV146" s="5" t="s">
        <v>158</v>
      </c>
      <c r="BW146" s="5" t="s">
        <v>158</v>
      </c>
      <c r="BX146" s="5" t="s">
        <v>158</v>
      </c>
      <c r="BY146" s="5" t="s">
        <v>158</v>
      </c>
      <c r="BZ146" s="5" t="s">
        <v>158</v>
      </c>
      <c r="CA146" s="5" t="s">
        <v>158</v>
      </c>
      <c r="CB146" s="5" t="s">
        <v>158</v>
      </c>
      <c r="CC146" s="5" t="s">
        <v>158</v>
      </c>
      <c r="CD146" s="5" t="s">
        <v>158</v>
      </c>
      <c r="CE146" s="5" t="s">
        <v>158</v>
      </c>
      <c r="CF146" s="5" t="s">
        <v>158</v>
      </c>
      <c r="CG146" s="5" t="s">
        <v>158</v>
      </c>
      <c r="CH146" s="5" t="s">
        <v>158</v>
      </c>
      <c r="CI146" s="17" t="s">
        <v>158</v>
      </c>
      <c r="CJ146" s="17" t="s">
        <v>158</v>
      </c>
      <c r="CK146" s="17" t="s">
        <v>158</v>
      </c>
      <c r="CL146" s="17" t="s">
        <v>158</v>
      </c>
      <c r="CM146" s="17" t="s">
        <v>158</v>
      </c>
      <c r="CN146" s="17" t="s">
        <v>158</v>
      </c>
      <c r="CO146" s="17" t="s">
        <v>158</v>
      </c>
      <c r="CP146" s="17" t="s">
        <v>158</v>
      </c>
      <c r="CQ146" s="17" t="s">
        <v>158</v>
      </c>
      <c r="CR146" s="17" t="s">
        <v>158</v>
      </c>
      <c r="CS146" s="17" t="s">
        <v>158</v>
      </c>
      <c r="CT146" s="17" t="s">
        <v>158</v>
      </c>
      <c r="CU146" s="17" t="s">
        <v>158</v>
      </c>
      <c r="CV146" s="17" t="s">
        <v>158</v>
      </c>
      <c r="CW146" s="17" t="s">
        <v>158</v>
      </c>
      <c r="CX146" s="17" t="s">
        <v>158</v>
      </c>
      <c r="CY146" s="67" t="s">
        <v>158</v>
      </c>
    </row>
    <row r="147" spans="1:103" x14ac:dyDescent="0.2">
      <c r="A147" s="32" t="s">
        <v>23</v>
      </c>
      <c r="B147" s="14" t="s">
        <v>116</v>
      </c>
      <c r="C147" s="14" t="s">
        <v>20</v>
      </c>
      <c r="D147" s="14" t="s">
        <v>169</v>
      </c>
      <c r="G147" s="28">
        <v>42298</v>
      </c>
      <c r="H147" s="16">
        <v>2015</v>
      </c>
      <c r="I147" s="135" t="s">
        <v>33</v>
      </c>
      <c r="J147" s="135">
        <v>10</v>
      </c>
      <c r="K147" s="136" t="s">
        <v>158</v>
      </c>
      <c r="L147" s="5" t="s">
        <v>158</v>
      </c>
      <c r="M147" s="5">
        <v>0.35</v>
      </c>
      <c r="N147" s="5">
        <v>2</v>
      </c>
      <c r="O147" s="5">
        <v>5.9</v>
      </c>
      <c r="P147" s="5">
        <v>3.2</v>
      </c>
      <c r="Q147" s="5">
        <v>6.8</v>
      </c>
      <c r="R147" s="5">
        <v>5.8</v>
      </c>
      <c r="S147" s="5">
        <v>2.8</v>
      </c>
      <c r="T147" s="5">
        <f t="shared" si="113"/>
        <v>26.85</v>
      </c>
      <c r="U147" s="17" t="s">
        <v>158</v>
      </c>
      <c r="V147" s="5">
        <f>0.5*0.024</f>
        <v>1.2E-2</v>
      </c>
      <c r="W147" s="5">
        <v>5.2999999999999999E-2</v>
      </c>
      <c r="X147" s="5">
        <v>3.5000000000000003E-2</v>
      </c>
      <c r="Y147" s="5">
        <v>2.8000000000000001E-2</v>
      </c>
      <c r="Z147" s="5">
        <f>0.5*0.024</f>
        <v>1.2E-2</v>
      </c>
      <c r="AA147" s="5">
        <f>0.5*0.024</f>
        <v>1.2E-2</v>
      </c>
      <c r="AB147" s="5">
        <f>0.5*0.024</f>
        <v>1.2E-2</v>
      </c>
      <c r="AC147" s="5">
        <f t="shared" si="107"/>
        <v>0.05</v>
      </c>
      <c r="AD147" s="5">
        <f t="shared" si="114"/>
        <v>0.21400000000000002</v>
      </c>
      <c r="AE147" s="17">
        <f t="shared" si="63"/>
        <v>0.15200000000000002</v>
      </c>
      <c r="AF147" s="5">
        <f t="shared" si="108"/>
        <v>0.05</v>
      </c>
      <c r="AG147" s="18" t="s">
        <v>158</v>
      </c>
      <c r="AH147" s="18">
        <v>15.003734827264239</v>
      </c>
      <c r="AI147" s="5">
        <f t="shared" si="115"/>
        <v>0.05</v>
      </c>
      <c r="AJ147" s="5">
        <f t="shared" si="116"/>
        <v>0.05</v>
      </c>
      <c r="AK147" s="5">
        <f t="shared" si="109"/>
        <v>0.01</v>
      </c>
      <c r="AL147" s="5">
        <f t="shared" si="110"/>
        <v>0.05</v>
      </c>
      <c r="AM147" s="5">
        <f t="shared" si="110"/>
        <v>0.05</v>
      </c>
      <c r="AN147" s="5">
        <v>1.0675560224089635</v>
      </c>
      <c r="AO147" s="5">
        <v>0.22432306255835666</v>
      </c>
      <c r="AP147" s="5">
        <f t="shared" si="111"/>
        <v>5.0000000000000001E-3</v>
      </c>
      <c r="AQ147" s="5">
        <v>0.78075163398692815</v>
      </c>
      <c r="AR147" s="5">
        <v>0.12394957983193279</v>
      </c>
      <c r="AS147" s="5" t="s">
        <v>158</v>
      </c>
      <c r="AT147" s="5" t="s">
        <v>158</v>
      </c>
      <c r="AU147" s="5" t="s">
        <v>158</v>
      </c>
      <c r="AV147" s="5" t="s">
        <v>158</v>
      </c>
      <c r="AW147" s="5" t="s">
        <v>158</v>
      </c>
      <c r="BC147" s="5">
        <v>140</v>
      </c>
      <c r="BD147" s="5">
        <f t="shared" ref="BD147:BE152" si="117">0.5*0.1</f>
        <v>0.05</v>
      </c>
      <c r="BE147" s="5">
        <f t="shared" si="117"/>
        <v>0.05</v>
      </c>
      <c r="BF147" s="5">
        <v>0.1107142857142857</v>
      </c>
      <c r="BG147" s="5">
        <f t="shared" ref="BG147:BG152" si="118">0.5*0.1</f>
        <v>0.05</v>
      </c>
      <c r="BH147" s="5">
        <v>0.40404591836734693</v>
      </c>
      <c r="BI147" s="5">
        <v>4.6803112244897953</v>
      </c>
      <c r="BJ147" s="5">
        <v>1.7086734693877552</v>
      </c>
      <c r="BK147" s="5">
        <f>0.5*0.01</f>
        <v>5.0000000000000001E-3</v>
      </c>
      <c r="BL147" s="5">
        <v>3.6187448979591839</v>
      </c>
      <c r="BM147" s="5">
        <v>0.4076530612244898</v>
      </c>
      <c r="BN147" s="17">
        <v>440</v>
      </c>
      <c r="BO147" s="5" t="s">
        <v>158</v>
      </c>
      <c r="BP147" s="5" t="s">
        <v>158</v>
      </c>
      <c r="BQ147" s="5" t="s">
        <v>158</v>
      </c>
      <c r="BR147" s="5" t="s">
        <v>158</v>
      </c>
      <c r="BS147" s="5" t="s">
        <v>158</v>
      </c>
      <c r="BT147" s="5" t="s">
        <v>158</v>
      </c>
      <c r="BU147" s="5" t="s">
        <v>158</v>
      </c>
      <c r="BV147" s="5" t="s">
        <v>158</v>
      </c>
      <c r="BW147" s="5" t="s">
        <v>158</v>
      </c>
      <c r="BX147" s="5" t="s">
        <v>158</v>
      </c>
      <c r="BY147" s="5" t="s">
        <v>158</v>
      </c>
      <c r="BZ147" s="5" t="s">
        <v>158</v>
      </c>
      <c r="CA147" s="5" t="s">
        <v>158</v>
      </c>
      <c r="CB147" s="5" t="s">
        <v>158</v>
      </c>
      <c r="CC147" s="5" t="s">
        <v>158</v>
      </c>
      <c r="CD147" s="5" t="s">
        <v>158</v>
      </c>
      <c r="CE147" s="5" t="s">
        <v>158</v>
      </c>
      <c r="CF147" s="5" t="s">
        <v>158</v>
      </c>
      <c r="CG147" s="5" t="s">
        <v>158</v>
      </c>
      <c r="CH147" s="5" t="s">
        <v>158</v>
      </c>
      <c r="CI147" s="17" t="s">
        <v>158</v>
      </c>
      <c r="CJ147" s="17" t="s">
        <v>158</v>
      </c>
      <c r="CK147" s="17" t="s">
        <v>158</v>
      </c>
      <c r="CL147" s="17" t="s">
        <v>158</v>
      </c>
      <c r="CM147" s="17" t="s">
        <v>158</v>
      </c>
      <c r="CN147" s="17" t="s">
        <v>158</v>
      </c>
      <c r="CO147" s="17" t="s">
        <v>158</v>
      </c>
      <c r="CP147" s="17" t="s">
        <v>158</v>
      </c>
      <c r="CQ147" s="17" t="s">
        <v>158</v>
      </c>
      <c r="CR147" s="17" t="s">
        <v>158</v>
      </c>
      <c r="CS147" s="17" t="s">
        <v>158</v>
      </c>
      <c r="CT147" s="17" t="s">
        <v>158</v>
      </c>
      <c r="CU147" s="17" t="s">
        <v>158</v>
      </c>
      <c r="CV147" s="17" t="s">
        <v>158</v>
      </c>
      <c r="CW147" s="17" t="s">
        <v>158</v>
      </c>
      <c r="CX147" s="17" t="s">
        <v>158</v>
      </c>
      <c r="CY147" s="67" t="s">
        <v>158</v>
      </c>
    </row>
    <row r="148" spans="1:103" x14ac:dyDescent="0.2">
      <c r="A148" s="32" t="s">
        <v>5</v>
      </c>
      <c r="B148" s="14" t="s">
        <v>5</v>
      </c>
      <c r="C148" s="14" t="s">
        <v>20</v>
      </c>
      <c r="G148" s="28">
        <v>42264</v>
      </c>
      <c r="H148" s="16">
        <v>2015</v>
      </c>
      <c r="I148" s="135" t="s">
        <v>33</v>
      </c>
      <c r="J148" s="135">
        <v>10</v>
      </c>
      <c r="K148" s="136" t="s">
        <v>158</v>
      </c>
      <c r="L148" s="5" t="s">
        <v>158</v>
      </c>
      <c r="M148" s="5">
        <v>0.79</v>
      </c>
      <c r="N148" s="5">
        <v>1.8</v>
      </c>
      <c r="O148" s="5">
        <v>3.3</v>
      </c>
      <c r="P148" s="5">
        <v>2.5</v>
      </c>
      <c r="Q148" s="5">
        <v>3.6</v>
      </c>
      <c r="R148" s="5">
        <v>3.5</v>
      </c>
      <c r="S148" s="5">
        <v>1.4</v>
      </c>
      <c r="T148" s="5">
        <f t="shared" si="113"/>
        <v>16.89</v>
      </c>
      <c r="U148" s="17" t="s">
        <v>158</v>
      </c>
      <c r="V148" s="5">
        <f>0.5*0.025</f>
        <v>1.2500000000000001E-2</v>
      </c>
      <c r="W148" s="5">
        <v>0.14000000000000001</v>
      </c>
      <c r="X148" s="5">
        <v>6.9000000000000006E-2</v>
      </c>
      <c r="Y148" s="5">
        <v>0.14000000000000001</v>
      </c>
      <c r="Z148" s="5">
        <f>0.5*0.025</f>
        <v>1.2500000000000001E-2</v>
      </c>
      <c r="AA148" s="5">
        <v>4.1000000000000002E-2</v>
      </c>
      <c r="AB148" s="5">
        <f>0.5*0.025</f>
        <v>1.2500000000000001E-2</v>
      </c>
      <c r="AC148" s="5">
        <f t="shared" si="107"/>
        <v>0.05</v>
      </c>
      <c r="AD148" s="5">
        <f t="shared" si="114"/>
        <v>0.47750000000000004</v>
      </c>
      <c r="AE148" s="17">
        <f t="shared" si="63"/>
        <v>0.41500000000000004</v>
      </c>
      <c r="AF148" s="5">
        <f t="shared" si="108"/>
        <v>0.05</v>
      </c>
      <c r="AG148" s="18" t="s">
        <v>158</v>
      </c>
      <c r="AH148" s="18">
        <v>14.906136455389584</v>
      </c>
      <c r="AI148" s="5">
        <f t="shared" si="115"/>
        <v>0.05</v>
      </c>
      <c r="AJ148" s="5">
        <f t="shared" si="116"/>
        <v>0.05</v>
      </c>
      <c r="AK148" s="5">
        <f t="shared" si="109"/>
        <v>0.01</v>
      </c>
      <c r="AL148" s="5">
        <f t="shared" si="110"/>
        <v>0.05</v>
      </c>
      <c r="AM148" s="5">
        <f t="shared" si="110"/>
        <v>0.05</v>
      </c>
      <c r="AN148" s="5">
        <v>0.44545064594267264</v>
      </c>
      <c r="AO148" s="5">
        <v>0.2152301170771094</v>
      </c>
      <c r="AP148" s="5">
        <f t="shared" si="111"/>
        <v>5.0000000000000001E-3</v>
      </c>
      <c r="AQ148" s="5">
        <v>0.41399374243035925</v>
      </c>
      <c r="AR148" s="5">
        <v>8.8564796124343967E-2</v>
      </c>
      <c r="AS148" s="5" t="s">
        <v>158</v>
      </c>
      <c r="AT148" s="5" t="s">
        <v>158</v>
      </c>
      <c r="AU148" s="5" t="s">
        <v>158</v>
      </c>
      <c r="AV148" s="5" t="s">
        <v>158</v>
      </c>
      <c r="AW148" s="5" t="s">
        <v>158</v>
      </c>
      <c r="BC148" s="5">
        <v>210</v>
      </c>
      <c r="BD148" s="5">
        <f t="shared" si="117"/>
        <v>0.05</v>
      </c>
      <c r="BE148" s="5">
        <f t="shared" si="117"/>
        <v>0.05</v>
      </c>
      <c r="BF148" s="5">
        <v>0.19270087916581477</v>
      </c>
      <c r="BG148" s="5">
        <f t="shared" si="118"/>
        <v>0.05</v>
      </c>
      <c r="BH148" s="5">
        <v>0.40683398078102639</v>
      </c>
      <c r="BI148" s="5">
        <v>6.4677008791658146</v>
      </c>
      <c r="BJ148" s="5">
        <v>3.9404007360457989</v>
      </c>
      <c r="BK148" s="5">
        <f>0.5*0.01</f>
        <v>5.0000000000000001E-3</v>
      </c>
      <c r="BL148" s="5">
        <v>6.2220098139439788</v>
      </c>
      <c r="BM148" s="5">
        <v>0.80300552034348804</v>
      </c>
      <c r="BN148" s="17">
        <v>71</v>
      </c>
      <c r="BO148" s="5" t="s">
        <v>158</v>
      </c>
      <c r="BP148" s="5" t="s">
        <v>158</v>
      </c>
      <c r="BQ148" s="5" t="s">
        <v>158</v>
      </c>
      <c r="BR148" s="5" t="s">
        <v>158</v>
      </c>
      <c r="BS148" s="5" t="s">
        <v>158</v>
      </c>
      <c r="BT148" s="5" t="s">
        <v>158</v>
      </c>
      <c r="BU148" s="5" t="s">
        <v>158</v>
      </c>
      <c r="BV148" s="5" t="s">
        <v>158</v>
      </c>
      <c r="BW148" s="5" t="s">
        <v>158</v>
      </c>
      <c r="BX148" s="5" t="s">
        <v>158</v>
      </c>
      <c r="BY148" s="5" t="s">
        <v>158</v>
      </c>
      <c r="BZ148" s="5" t="s">
        <v>158</v>
      </c>
      <c r="CA148" s="5" t="s">
        <v>158</v>
      </c>
      <c r="CB148" s="5" t="s">
        <v>158</v>
      </c>
      <c r="CC148" s="5" t="s">
        <v>158</v>
      </c>
      <c r="CD148" s="5" t="s">
        <v>158</v>
      </c>
      <c r="CE148" s="5" t="s">
        <v>158</v>
      </c>
      <c r="CF148" s="5" t="s">
        <v>158</v>
      </c>
      <c r="CG148" s="5" t="s">
        <v>158</v>
      </c>
      <c r="CH148" s="5" t="s">
        <v>158</v>
      </c>
      <c r="CI148" s="17" t="s">
        <v>158</v>
      </c>
      <c r="CJ148" s="17" t="s">
        <v>158</v>
      </c>
      <c r="CK148" s="17" t="s">
        <v>158</v>
      </c>
      <c r="CL148" s="17" t="s">
        <v>158</v>
      </c>
      <c r="CM148" s="17" t="s">
        <v>158</v>
      </c>
      <c r="CN148" s="17" t="s">
        <v>158</v>
      </c>
      <c r="CO148" s="17" t="s">
        <v>158</v>
      </c>
      <c r="CP148" s="17" t="s">
        <v>158</v>
      </c>
      <c r="CQ148" s="17" t="s">
        <v>158</v>
      </c>
      <c r="CR148" s="17" t="s">
        <v>158</v>
      </c>
      <c r="CS148" s="17" t="s">
        <v>158</v>
      </c>
      <c r="CT148" s="17" t="s">
        <v>158</v>
      </c>
      <c r="CU148" s="17" t="s">
        <v>158</v>
      </c>
      <c r="CV148" s="17" t="s">
        <v>158</v>
      </c>
      <c r="CW148" s="17" t="s">
        <v>158</v>
      </c>
      <c r="CX148" s="17" t="s">
        <v>158</v>
      </c>
      <c r="CY148" s="67" t="s">
        <v>158</v>
      </c>
    </row>
    <row r="149" spans="1:103" x14ac:dyDescent="0.2">
      <c r="A149" s="32" t="s">
        <v>25</v>
      </c>
      <c r="B149" s="14" t="s">
        <v>25</v>
      </c>
      <c r="C149" s="14" t="s">
        <v>20</v>
      </c>
      <c r="G149" s="28">
        <v>42264</v>
      </c>
      <c r="H149" s="16">
        <v>2015</v>
      </c>
      <c r="I149" s="135" t="s">
        <v>33</v>
      </c>
      <c r="J149" s="135">
        <v>10</v>
      </c>
      <c r="K149" s="136" t="s">
        <v>158</v>
      </c>
      <c r="L149" s="5" t="s">
        <v>158</v>
      </c>
      <c r="M149" s="5">
        <f>0.5*0.04</f>
        <v>0.02</v>
      </c>
      <c r="N149" s="5">
        <v>0.15</v>
      </c>
      <c r="O149" s="5">
        <v>0.86</v>
      </c>
      <c r="P149" s="5">
        <v>0.66</v>
      </c>
      <c r="Q149" s="5">
        <v>2.7</v>
      </c>
      <c r="R149" s="5">
        <v>2</v>
      </c>
      <c r="S149" s="5">
        <v>1.1000000000000001</v>
      </c>
      <c r="T149" s="5">
        <f t="shared" si="113"/>
        <v>7.49</v>
      </c>
      <c r="U149" s="17" t="s">
        <v>158</v>
      </c>
      <c r="V149" s="5">
        <f>0.5*0.025</f>
        <v>1.2500000000000001E-2</v>
      </c>
      <c r="W149" s="5">
        <v>0.11</v>
      </c>
      <c r="X149" s="5">
        <v>6.9000000000000006E-2</v>
      </c>
      <c r="Y149" s="5">
        <v>0.13</v>
      </c>
      <c r="Z149" s="5">
        <f>0.5*0.025</f>
        <v>1.2500000000000001E-2</v>
      </c>
      <c r="AA149" s="5">
        <v>4.9000000000000002E-2</v>
      </c>
      <c r="AB149" s="5">
        <f>0.5*0.025</f>
        <v>1.2500000000000001E-2</v>
      </c>
      <c r="AC149" s="5">
        <f t="shared" si="107"/>
        <v>0.05</v>
      </c>
      <c r="AD149" s="5">
        <f t="shared" si="114"/>
        <v>0.44550000000000001</v>
      </c>
      <c r="AE149" s="17">
        <f t="shared" si="63"/>
        <v>0.38300000000000001</v>
      </c>
      <c r="AF149" s="5">
        <f t="shared" si="108"/>
        <v>0.05</v>
      </c>
      <c r="AG149" s="18" t="s">
        <v>158</v>
      </c>
      <c r="AH149" s="18">
        <v>51.028662420382162</v>
      </c>
      <c r="AI149" s="5">
        <f t="shared" si="115"/>
        <v>0.05</v>
      </c>
      <c r="AJ149" s="5">
        <f t="shared" si="116"/>
        <v>0.05</v>
      </c>
      <c r="AK149" s="5">
        <f t="shared" si="109"/>
        <v>0.01</v>
      </c>
      <c r="AL149" s="5">
        <f t="shared" si="110"/>
        <v>0.05</v>
      </c>
      <c r="AM149" s="5">
        <f t="shared" si="110"/>
        <v>0.05</v>
      </c>
      <c r="AN149" s="5">
        <v>1.7126884288747348</v>
      </c>
      <c r="AO149" s="5">
        <v>0.62234607218683646</v>
      </c>
      <c r="AP149" s="5">
        <f t="shared" si="111"/>
        <v>5.0000000000000001E-3</v>
      </c>
      <c r="AQ149" s="5">
        <v>0.82079087048832278</v>
      </c>
      <c r="AR149" s="5">
        <v>9.3152866242038238E-2</v>
      </c>
      <c r="AS149" s="5" t="s">
        <v>158</v>
      </c>
      <c r="AT149" s="5" t="s">
        <v>158</v>
      </c>
      <c r="AU149" s="5" t="s">
        <v>158</v>
      </c>
      <c r="AV149" s="5" t="s">
        <v>158</v>
      </c>
      <c r="AW149" s="5" t="s">
        <v>158</v>
      </c>
      <c r="BC149" s="5">
        <v>750</v>
      </c>
      <c r="BD149" s="5">
        <f t="shared" si="117"/>
        <v>0.05</v>
      </c>
      <c r="BE149" s="5">
        <f t="shared" si="117"/>
        <v>0.05</v>
      </c>
      <c r="BF149" s="5">
        <v>0.52939441604404236</v>
      </c>
      <c r="BG149" s="5">
        <f t="shared" si="118"/>
        <v>0.05</v>
      </c>
      <c r="BH149" s="5">
        <v>0.46398446716476593</v>
      </c>
      <c r="BI149" s="5">
        <v>22.008164569406212</v>
      </c>
      <c r="BJ149" s="5">
        <v>11.398446716476601</v>
      </c>
      <c r="BK149" s="5">
        <f>0.5*0.01</f>
        <v>5.0000000000000001E-3</v>
      </c>
      <c r="BL149" s="5">
        <v>9.9354797483287438</v>
      </c>
      <c r="BM149" s="5">
        <v>0.60312622886354694</v>
      </c>
      <c r="BN149" s="17">
        <v>140</v>
      </c>
      <c r="BO149" s="5" t="s">
        <v>158</v>
      </c>
      <c r="BP149" s="5" t="s">
        <v>158</v>
      </c>
      <c r="BQ149" s="5" t="s">
        <v>158</v>
      </c>
      <c r="BR149" s="5" t="s">
        <v>158</v>
      </c>
      <c r="BS149" s="5" t="s">
        <v>158</v>
      </c>
      <c r="BT149" s="5" t="s">
        <v>158</v>
      </c>
      <c r="BU149" s="5" t="s">
        <v>158</v>
      </c>
      <c r="BV149" s="5" t="s">
        <v>158</v>
      </c>
      <c r="BW149" s="5" t="s">
        <v>158</v>
      </c>
      <c r="BX149" s="5" t="s">
        <v>158</v>
      </c>
      <c r="BY149" s="5" t="s">
        <v>158</v>
      </c>
      <c r="BZ149" s="5" t="s">
        <v>158</v>
      </c>
      <c r="CA149" s="5" t="s">
        <v>158</v>
      </c>
      <c r="CB149" s="5" t="s">
        <v>158</v>
      </c>
      <c r="CC149" s="5" t="s">
        <v>158</v>
      </c>
      <c r="CD149" s="5" t="s">
        <v>158</v>
      </c>
      <c r="CE149" s="5" t="s">
        <v>158</v>
      </c>
      <c r="CF149" s="5" t="s">
        <v>158</v>
      </c>
      <c r="CG149" s="5" t="s">
        <v>158</v>
      </c>
      <c r="CH149" s="5" t="s">
        <v>158</v>
      </c>
      <c r="CI149" s="17" t="s">
        <v>158</v>
      </c>
      <c r="CJ149" s="17" t="s">
        <v>158</v>
      </c>
      <c r="CK149" s="17" t="s">
        <v>158</v>
      </c>
      <c r="CL149" s="17" t="s">
        <v>158</v>
      </c>
      <c r="CM149" s="17" t="s">
        <v>158</v>
      </c>
      <c r="CN149" s="17" t="s">
        <v>158</v>
      </c>
      <c r="CO149" s="17" t="s">
        <v>158</v>
      </c>
      <c r="CP149" s="17" t="s">
        <v>158</v>
      </c>
      <c r="CQ149" s="17" t="s">
        <v>158</v>
      </c>
      <c r="CR149" s="17" t="s">
        <v>158</v>
      </c>
      <c r="CS149" s="17" t="s">
        <v>158</v>
      </c>
      <c r="CT149" s="17" t="s">
        <v>158</v>
      </c>
      <c r="CU149" s="17" t="s">
        <v>158</v>
      </c>
      <c r="CV149" s="17" t="s">
        <v>158</v>
      </c>
      <c r="CW149" s="17" t="s">
        <v>158</v>
      </c>
      <c r="CX149" s="17" t="s">
        <v>158</v>
      </c>
      <c r="CY149" s="67" t="s">
        <v>158</v>
      </c>
    </row>
    <row r="150" spans="1:103" x14ac:dyDescent="0.2">
      <c r="A150" s="32" t="s">
        <v>26</v>
      </c>
      <c r="B150" s="14" t="s">
        <v>26</v>
      </c>
      <c r="C150" s="14" t="s">
        <v>20</v>
      </c>
      <c r="G150" s="28">
        <v>42264</v>
      </c>
      <c r="H150" s="16">
        <v>2015</v>
      </c>
      <c r="I150" s="135" t="s">
        <v>33</v>
      </c>
      <c r="J150" s="135">
        <v>10</v>
      </c>
      <c r="K150" s="136" t="s">
        <v>158</v>
      </c>
      <c r="L150" s="5" t="s">
        <v>158</v>
      </c>
      <c r="M150" s="5">
        <f>0.5*0.04</f>
        <v>0.02</v>
      </c>
      <c r="N150" s="5">
        <v>0.05</v>
      </c>
      <c r="O150" s="5">
        <v>0.34</v>
      </c>
      <c r="P150" s="5">
        <v>0.31</v>
      </c>
      <c r="Q150" s="5">
        <v>0.98</v>
      </c>
      <c r="R150" s="5">
        <v>0.83</v>
      </c>
      <c r="S150" s="5">
        <v>0.56000000000000005</v>
      </c>
      <c r="T150" s="5">
        <f t="shared" si="113"/>
        <v>3.09</v>
      </c>
      <c r="U150" s="17" t="s">
        <v>158</v>
      </c>
      <c r="V150" s="5">
        <f>0.5*0.023</f>
        <v>1.15E-2</v>
      </c>
      <c r="W150" s="5">
        <v>2.1000000000000001E-2</v>
      </c>
      <c r="X150" s="5">
        <f>0.5*0.019</f>
        <v>9.4999999999999998E-3</v>
      </c>
      <c r="Y150" s="5">
        <v>3.7000000000000005E-2</v>
      </c>
      <c r="Z150" s="5">
        <f>0.5*0.023</f>
        <v>1.15E-2</v>
      </c>
      <c r="AA150" s="5">
        <f>0.5*0.023</f>
        <v>1.15E-2</v>
      </c>
      <c r="AB150" s="5">
        <f>0.5*0.023</f>
        <v>1.15E-2</v>
      </c>
      <c r="AC150" s="5">
        <f t="shared" si="107"/>
        <v>0.05</v>
      </c>
      <c r="AD150" s="5">
        <f t="shared" si="114"/>
        <v>0.16350000000000001</v>
      </c>
      <c r="AE150" s="17">
        <f t="shared" si="63"/>
        <v>0.10199999999999999</v>
      </c>
      <c r="AF150" s="5">
        <f t="shared" si="108"/>
        <v>0.05</v>
      </c>
      <c r="AG150" s="18" t="s">
        <v>158</v>
      </c>
      <c r="AH150" s="18">
        <v>5.1376970664538018</v>
      </c>
      <c r="AI150" s="5">
        <f t="shared" si="115"/>
        <v>0.05</v>
      </c>
      <c r="AJ150" s="5">
        <f t="shared" si="116"/>
        <v>0.05</v>
      </c>
      <c r="AK150" s="5">
        <f t="shared" si="109"/>
        <v>0.01</v>
      </c>
      <c r="AL150" s="5">
        <f>0.5*0.1</f>
        <v>0.05</v>
      </c>
      <c r="AM150" s="5">
        <v>0.13069497106365996</v>
      </c>
      <c r="AN150" s="5">
        <v>0.43040560766314112</v>
      </c>
      <c r="AO150" s="5">
        <v>0.12796846936739173</v>
      </c>
      <c r="AP150" s="5">
        <f t="shared" si="111"/>
        <v>5.0000000000000001E-3</v>
      </c>
      <c r="AQ150" s="5">
        <v>0.28156555577728992</v>
      </c>
      <c r="AR150" s="5">
        <f>0.5*0.02</f>
        <v>0.01</v>
      </c>
      <c r="AS150" s="5" t="s">
        <v>158</v>
      </c>
      <c r="AT150" s="5" t="s">
        <v>158</v>
      </c>
      <c r="AU150" s="5" t="s">
        <v>158</v>
      </c>
      <c r="AV150" s="5" t="s">
        <v>158</v>
      </c>
      <c r="AW150" s="5" t="s">
        <v>158</v>
      </c>
      <c r="BC150" s="5">
        <v>65.723857868020303</v>
      </c>
      <c r="BD150" s="5">
        <f t="shared" si="117"/>
        <v>0.05</v>
      </c>
      <c r="BE150" s="5">
        <f t="shared" si="117"/>
        <v>0.05</v>
      </c>
      <c r="BF150" s="5">
        <v>0.12842639593908631</v>
      </c>
      <c r="BG150" s="5">
        <f t="shared" si="118"/>
        <v>0.05</v>
      </c>
      <c r="BH150" s="5">
        <v>1.2263604060913704</v>
      </c>
      <c r="BI150" s="5">
        <v>4.2301573604060909</v>
      </c>
      <c r="BJ150" s="5">
        <v>0.41472081218274109</v>
      </c>
      <c r="BK150" s="5">
        <v>0.4223350253807106</v>
      </c>
      <c r="BL150" s="5">
        <v>2.2602741116751273</v>
      </c>
      <c r="BM150" s="5">
        <v>9.4111675126903563E-2</v>
      </c>
      <c r="BN150" s="17">
        <v>45</v>
      </c>
      <c r="BO150" s="5" t="s">
        <v>158</v>
      </c>
      <c r="BP150" s="5" t="s">
        <v>158</v>
      </c>
      <c r="BQ150" s="5" t="s">
        <v>158</v>
      </c>
      <c r="BR150" s="5" t="s">
        <v>158</v>
      </c>
      <c r="BS150" s="5" t="s">
        <v>158</v>
      </c>
      <c r="BT150" s="5" t="s">
        <v>158</v>
      </c>
      <c r="BU150" s="5" t="s">
        <v>158</v>
      </c>
      <c r="BV150" s="5" t="s">
        <v>158</v>
      </c>
      <c r="BW150" s="5" t="s">
        <v>158</v>
      </c>
      <c r="BX150" s="5" t="s">
        <v>158</v>
      </c>
      <c r="BY150" s="5" t="s">
        <v>158</v>
      </c>
      <c r="BZ150" s="5" t="s">
        <v>158</v>
      </c>
      <c r="CA150" s="5" t="s">
        <v>158</v>
      </c>
      <c r="CB150" s="5" t="s">
        <v>158</v>
      </c>
      <c r="CC150" s="5" t="s">
        <v>158</v>
      </c>
      <c r="CD150" s="5" t="s">
        <v>158</v>
      </c>
      <c r="CE150" s="5" t="s">
        <v>158</v>
      </c>
      <c r="CF150" s="5" t="s">
        <v>158</v>
      </c>
      <c r="CG150" s="5" t="s">
        <v>158</v>
      </c>
      <c r="CH150" s="5" t="s">
        <v>158</v>
      </c>
      <c r="CI150" s="17" t="s">
        <v>158</v>
      </c>
      <c r="CJ150" s="17" t="s">
        <v>158</v>
      </c>
      <c r="CK150" s="17" t="s">
        <v>158</v>
      </c>
      <c r="CL150" s="17" t="s">
        <v>158</v>
      </c>
      <c r="CM150" s="17" t="s">
        <v>158</v>
      </c>
      <c r="CN150" s="17" t="s">
        <v>158</v>
      </c>
      <c r="CO150" s="17" t="s">
        <v>158</v>
      </c>
      <c r="CP150" s="17" t="s">
        <v>158</v>
      </c>
      <c r="CQ150" s="17" t="s">
        <v>158</v>
      </c>
      <c r="CR150" s="17" t="s">
        <v>158</v>
      </c>
      <c r="CS150" s="17" t="s">
        <v>158</v>
      </c>
      <c r="CT150" s="17" t="s">
        <v>158</v>
      </c>
      <c r="CU150" s="17" t="s">
        <v>158</v>
      </c>
      <c r="CV150" s="17" t="s">
        <v>158</v>
      </c>
      <c r="CW150" s="17" t="s">
        <v>158</v>
      </c>
      <c r="CX150" s="17" t="s">
        <v>158</v>
      </c>
      <c r="CY150" s="67" t="s">
        <v>158</v>
      </c>
    </row>
    <row r="151" spans="1:103" x14ac:dyDescent="0.2">
      <c r="A151" s="32" t="s">
        <v>81</v>
      </c>
      <c r="B151" s="14" t="s">
        <v>81</v>
      </c>
      <c r="C151" s="14" t="s">
        <v>20</v>
      </c>
      <c r="G151" s="28">
        <v>42264</v>
      </c>
      <c r="H151" s="16">
        <v>2015</v>
      </c>
      <c r="I151" s="135" t="s">
        <v>33</v>
      </c>
      <c r="J151" s="135">
        <v>10</v>
      </c>
      <c r="K151" s="136" t="s">
        <v>158</v>
      </c>
      <c r="L151" s="5" t="s">
        <v>158</v>
      </c>
      <c r="M151" s="5">
        <f>0.5*0.04</f>
        <v>0.02</v>
      </c>
      <c r="N151" s="5">
        <v>0.17</v>
      </c>
      <c r="O151" s="5">
        <v>0.4</v>
      </c>
      <c r="P151" s="5">
        <v>0.24</v>
      </c>
      <c r="Q151" s="5">
        <v>0.63</v>
      </c>
      <c r="R151" s="5">
        <v>0.6</v>
      </c>
      <c r="S151" s="5">
        <v>0.32</v>
      </c>
      <c r="T151" s="5">
        <f t="shared" si="113"/>
        <v>2.38</v>
      </c>
      <c r="U151" s="17" t="s">
        <v>158</v>
      </c>
      <c r="V151" s="5">
        <f>0.5*0.025</f>
        <v>1.2500000000000001E-2</v>
      </c>
      <c r="W151" s="5">
        <v>6.9000000000000006E-2</v>
      </c>
      <c r="X151" s="5">
        <f>0.5*0.02</f>
        <v>0.01</v>
      </c>
      <c r="Y151" s="5">
        <v>7.0000000000000007E-2</v>
      </c>
      <c r="Z151" s="5">
        <f>0.5*0.025</f>
        <v>1.2500000000000001E-2</v>
      </c>
      <c r="AA151" s="5">
        <v>3.1E-2</v>
      </c>
      <c r="AB151" s="5">
        <f>0.5*0.025</f>
        <v>1.2500000000000001E-2</v>
      </c>
      <c r="AC151" s="5">
        <f t="shared" si="107"/>
        <v>0.05</v>
      </c>
      <c r="AD151" s="5">
        <f t="shared" si="114"/>
        <v>0.26750000000000002</v>
      </c>
      <c r="AE151" s="17">
        <f>SUM(V151,W151,Y151,X151,AB151,AA151)</f>
        <v>0.20500000000000004</v>
      </c>
      <c r="AF151" s="5">
        <f t="shared" si="108"/>
        <v>0.05</v>
      </c>
      <c r="AG151" s="18" t="s">
        <v>158</v>
      </c>
      <c r="AH151" s="18">
        <v>8.8438274665344583</v>
      </c>
      <c r="AI151" s="5">
        <f t="shared" si="115"/>
        <v>0.05</v>
      </c>
      <c r="AJ151" s="5">
        <f t="shared" si="116"/>
        <v>0.05</v>
      </c>
      <c r="AK151" s="5">
        <f t="shared" si="109"/>
        <v>0.01</v>
      </c>
      <c r="AL151" s="5">
        <f>0.5*0.1</f>
        <v>0.05</v>
      </c>
      <c r="AM151" s="5">
        <f>0.5*0.1</f>
        <v>0.05</v>
      </c>
      <c r="AN151" s="5">
        <v>0.9205280118988598</v>
      </c>
      <c r="AO151" s="5">
        <v>1.0483391175012395</v>
      </c>
      <c r="AP151" s="5">
        <f t="shared" si="111"/>
        <v>5.0000000000000001E-3</v>
      </c>
      <c r="AQ151" s="5">
        <v>0.96200793257312844</v>
      </c>
      <c r="AR151" s="5">
        <v>0.32994546355974219</v>
      </c>
      <c r="AS151" s="5" t="s">
        <v>158</v>
      </c>
      <c r="AT151" s="5" t="s">
        <v>158</v>
      </c>
      <c r="AU151" s="5" t="s">
        <v>158</v>
      </c>
      <c r="AV151" s="5" t="s">
        <v>158</v>
      </c>
      <c r="AW151" s="5" t="s">
        <v>158</v>
      </c>
      <c r="BC151" s="5">
        <v>99.011305241521072</v>
      </c>
      <c r="BD151" s="5">
        <f t="shared" si="117"/>
        <v>0.05</v>
      </c>
      <c r="BE151" s="5">
        <f t="shared" si="117"/>
        <v>0.05</v>
      </c>
      <c r="BF151" s="5">
        <v>0.236896197327852</v>
      </c>
      <c r="BG151" s="5">
        <f t="shared" si="118"/>
        <v>0.05</v>
      </c>
      <c r="BH151" s="5">
        <v>0.24045734840698868</v>
      </c>
      <c r="BI151" s="5">
        <v>9.7499537512846874</v>
      </c>
      <c r="BJ151" s="5">
        <v>13.005652620760536</v>
      </c>
      <c r="BK151" s="5">
        <f>0.5*0.01</f>
        <v>5.0000000000000001E-3</v>
      </c>
      <c r="BL151" s="5">
        <v>9.6468345323741023</v>
      </c>
      <c r="BM151" s="5">
        <v>3.2697841726618706</v>
      </c>
      <c r="BN151" s="17">
        <v>27</v>
      </c>
      <c r="BO151" s="5" t="s">
        <v>158</v>
      </c>
      <c r="BP151" s="5" t="s">
        <v>158</v>
      </c>
      <c r="BQ151" s="5" t="s">
        <v>158</v>
      </c>
      <c r="BR151" s="5" t="s">
        <v>158</v>
      </c>
      <c r="BS151" s="5" t="s">
        <v>158</v>
      </c>
      <c r="BT151" s="5" t="s">
        <v>158</v>
      </c>
      <c r="BU151" s="5" t="s">
        <v>158</v>
      </c>
      <c r="BV151" s="5" t="s">
        <v>158</v>
      </c>
      <c r="BW151" s="5" t="s">
        <v>158</v>
      </c>
      <c r="BX151" s="5" t="s">
        <v>158</v>
      </c>
      <c r="BY151" s="5" t="s">
        <v>158</v>
      </c>
      <c r="BZ151" s="5" t="s">
        <v>158</v>
      </c>
      <c r="CA151" s="5" t="s">
        <v>158</v>
      </c>
      <c r="CB151" s="5" t="s">
        <v>158</v>
      </c>
      <c r="CC151" s="5" t="s">
        <v>158</v>
      </c>
      <c r="CD151" s="5" t="s">
        <v>158</v>
      </c>
      <c r="CE151" s="5" t="s">
        <v>158</v>
      </c>
      <c r="CF151" s="5" t="s">
        <v>158</v>
      </c>
      <c r="CG151" s="5" t="s">
        <v>158</v>
      </c>
      <c r="CH151" s="5" t="s">
        <v>158</v>
      </c>
      <c r="CI151" s="17" t="s">
        <v>158</v>
      </c>
      <c r="CJ151" s="17" t="s">
        <v>158</v>
      </c>
      <c r="CK151" s="17" t="s">
        <v>158</v>
      </c>
      <c r="CL151" s="17" t="s">
        <v>158</v>
      </c>
      <c r="CM151" s="17" t="s">
        <v>158</v>
      </c>
      <c r="CN151" s="17" t="s">
        <v>158</v>
      </c>
      <c r="CO151" s="17" t="s">
        <v>158</v>
      </c>
      <c r="CP151" s="17" t="s">
        <v>158</v>
      </c>
      <c r="CQ151" s="17" t="s">
        <v>158</v>
      </c>
      <c r="CR151" s="17" t="s">
        <v>158</v>
      </c>
      <c r="CS151" s="17" t="s">
        <v>158</v>
      </c>
      <c r="CT151" s="17" t="s">
        <v>158</v>
      </c>
      <c r="CU151" s="17" t="s">
        <v>158</v>
      </c>
      <c r="CV151" s="17" t="s">
        <v>158</v>
      </c>
      <c r="CW151" s="17" t="s">
        <v>158</v>
      </c>
      <c r="CX151" s="17" t="s">
        <v>158</v>
      </c>
      <c r="CY151" s="67" t="s">
        <v>158</v>
      </c>
    </row>
    <row r="152" spans="1:103" x14ac:dyDescent="0.2">
      <c r="A152" s="32" t="s">
        <v>6</v>
      </c>
      <c r="B152" s="14" t="s">
        <v>6</v>
      </c>
      <c r="C152" s="14" t="s">
        <v>20</v>
      </c>
      <c r="G152" s="28">
        <v>42256</v>
      </c>
      <c r="H152" s="16">
        <v>2015</v>
      </c>
      <c r="I152" s="135" t="s">
        <v>33</v>
      </c>
      <c r="J152" s="135">
        <v>10</v>
      </c>
      <c r="K152" s="136" t="s">
        <v>158</v>
      </c>
      <c r="L152" s="5" t="s">
        <v>158</v>
      </c>
      <c r="M152" s="5">
        <v>9.4E-2</v>
      </c>
      <c r="N152" s="5">
        <v>0.47</v>
      </c>
      <c r="O152" s="5">
        <v>2.5</v>
      </c>
      <c r="P152" s="5">
        <v>1.8</v>
      </c>
      <c r="Q152" s="5">
        <v>5.3</v>
      </c>
      <c r="R152" s="5">
        <v>4</v>
      </c>
      <c r="S152" s="5">
        <v>2</v>
      </c>
      <c r="T152" s="5">
        <f t="shared" si="113"/>
        <v>16.164000000000001</v>
      </c>
      <c r="U152" s="17" t="s">
        <v>158</v>
      </c>
      <c r="V152" s="5">
        <f>0.5*0.024</f>
        <v>1.2E-2</v>
      </c>
      <c r="W152" s="5">
        <v>0.32</v>
      </c>
      <c r="X152" s="5">
        <v>9.2999999999999999E-2</v>
      </c>
      <c r="Y152" s="5">
        <v>0.17</v>
      </c>
      <c r="Z152" s="5">
        <f>0.5*0.024</f>
        <v>1.2E-2</v>
      </c>
      <c r="AA152" s="5">
        <v>5.6000000000000001E-2</v>
      </c>
      <c r="AB152" s="5">
        <v>2.7E-2</v>
      </c>
      <c r="AC152" s="5">
        <f t="shared" si="107"/>
        <v>0.05</v>
      </c>
      <c r="AD152" s="5">
        <f t="shared" si="114"/>
        <v>0.74000000000000021</v>
      </c>
      <c r="AE152" s="17">
        <f t="shared" si="63"/>
        <v>0.67800000000000005</v>
      </c>
      <c r="AF152" s="5">
        <f t="shared" si="108"/>
        <v>0.05</v>
      </c>
      <c r="AG152" s="18" t="s">
        <v>158</v>
      </c>
      <c r="AH152" s="18">
        <v>5.6907989616383032</v>
      </c>
      <c r="AI152" s="5">
        <f t="shared" si="115"/>
        <v>0.05</v>
      </c>
      <c r="AJ152" s="5">
        <f t="shared" si="116"/>
        <v>0.05</v>
      </c>
      <c r="AK152" s="5">
        <f t="shared" si="109"/>
        <v>0.01</v>
      </c>
      <c r="AL152" s="5">
        <f>0.5*0.1</f>
        <v>0.05</v>
      </c>
      <c r="AM152" s="5">
        <f>0.5*0.1</f>
        <v>0.05</v>
      </c>
      <c r="AN152" s="5">
        <v>0.52913421786366699</v>
      </c>
      <c r="AO152" s="5">
        <v>0.16849341409479854</v>
      </c>
      <c r="AP152" s="5">
        <f t="shared" si="111"/>
        <v>5.0000000000000001E-3</v>
      </c>
      <c r="AQ152" s="5">
        <v>0.2664984136140755</v>
      </c>
      <c r="AR152" s="5">
        <v>3.4948562638207871E-2</v>
      </c>
      <c r="AS152" s="5" t="s">
        <v>158</v>
      </c>
      <c r="AT152" s="5" t="s">
        <v>158</v>
      </c>
      <c r="AU152" s="5" t="s">
        <v>158</v>
      </c>
      <c r="AV152" s="5" t="s">
        <v>158</v>
      </c>
      <c r="AW152" s="5" t="s">
        <v>158</v>
      </c>
      <c r="BC152" s="5">
        <v>95.662537537537517</v>
      </c>
      <c r="BD152" s="5">
        <f t="shared" si="117"/>
        <v>0.05</v>
      </c>
      <c r="BE152" s="5">
        <f t="shared" si="117"/>
        <v>0.05</v>
      </c>
      <c r="BF152" s="5">
        <f>0.5*0.02</f>
        <v>0.01</v>
      </c>
      <c r="BG152" s="5">
        <f t="shared" si="118"/>
        <v>0.05</v>
      </c>
      <c r="BH152" s="5">
        <v>0.36783502252252248</v>
      </c>
      <c r="BI152" s="5">
        <v>7.6076435810810805</v>
      </c>
      <c r="BJ152" s="5">
        <v>2.2470908408408405</v>
      </c>
      <c r="BK152" s="5">
        <f>0.5*0.01</f>
        <v>5.0000000000000001E-3</v>
      </c>
      <c r="BL152" s="5">
        <v>4.3227946696696691</v>
      </c>
      <c r="BM152" s="5">
        <v>0.25103228228228225</v>
      </c>
      <c r="BN152" s="17">
        <v>62</v>
      </c>
      <c r="BO152" s="5" t="s">
        <v>158</v>
      </c>
      <c r="BP152" s="5" t="s">
        <v>158</v>
      </c>
      <c r="BQ152" s="5" t="s">
        <v>158</v>
      </c>
      <c r="BR152" s="5" t="s">
        <v>158</v>
      </c>
      <c r="BS152" s="5" t="s">
        <v>158</v>
      </c>
      <c r="BT152" s="5" t="s">
        <v>158</v>
      </c>
      <c r="BU152" s="5" t="s">
        <v>158</v>
      </c>
      <c r="BV152" s="5" t="s">
        <v>158</v>
      </c>
      <c r="BW152" s="5" t="s">
        <v>158</v>
      </c>
      <c r="BX152" s="5" t="s">
        <v>158</v>
      </c>
      <c r="BY152" s="5" t="s">
        <v>158</v>
      </c>
      <c r="BZ152" s="5" t="s">
        <v>158</v>
      </c>
      <c r="CA152" s="5" t="s">
        <v>158</v>
      </c>
      <c r="CB152" s="5" t="s">
        <v>158</v>
      </c>
      <c r="CC152" s="5" t="s">
        <v>158</v>
      </c>
      <c r="CD152" s="5" t="s">
        <v>158</v>
      </c>
      <c r="CE152" s="5" t="s">
        <v>158</v>
      </c>
      <c r="CF152" s="5" t="s">
        <v>158</v>
      </c>
      <c r="CG152" s="5" t="s">
        <v>158</v>
      </c>
      <c r="CH152" s="5" t="s">
        <v>158</v>
      </c>
      <c r="CI152" s="17" t="s">
        <v>158</v>
      </c>
      <c r="CJ152" s="17" t="s">
        <v>158</v>
      </c>
      <c r="CK152" s="17" t="s">
        <v>158</v>
      </c>
      <c r="CL152" s="17" t="s">
        <v>158</v>
      </c>
      <c r="CM152" s="17" t="s">
        <v>158</v>
      </c>
      <c r="CN152" s="17" t="s">
        <v>158</v>
      </c>
      <c r="CO152" s="17" t="s">
        <v>158</v>
      </c>
      <c r="CP152" s="17" t="s">
        <v>158</v>
      </c>
      <c r="CQ152" s="17" t="s">
        <v>158</v>
      </c>
      <c r="CR152" s="17" t="s">
        <v>158</v>
      </c>
      <c r="CS152" s="17" t="s">
        <v>158</v>
      </c>
      <c r="CT152" s="17" t="s">
        <v>158</v>
      </c>
      <c r="CU152" s="17" t="s">
        <v>158</v>
      </c>
      <c r="CV152" s="17" t="s">
        <v>158</v>
      </c>
      <c r="CW152" s="17" t="s">
        <v>158</v>
      </c>
      <c r="CX152" s="17" t="s">
        <v>158</v>
      </c>
      <c r="CY152" s="67" t="s">
        <v>158</v>
      </c>
    </row>
    <row r="153" spans="1:103" x14ac:dyDescent="0.2">
      <c r="A153" s="36" t="s">
        <v>112</v>
      </c>
      <c r="B153" s="58" t="s">
        <v>24</v>
      </c>
      <c r="C153" s="25" t="s">
        <v>20</v>
      </c>
      <c r="D153" s="25" t="s">
        <v>125</v>
      </c>
      <c r="E153" s="26"/>
      <c r="F153" s="27"/>
      <c r="G153" s="28">
        <v>41896</v>
      </c>
      <c r="H153" s="29">
        <v>2014</v>
      </c>
      <c r="I153" s="135" t="s">
        <v>33</v>
      </c>
      <c r="J153" s="135">
        <v>10</v>
      </c>
      <c r="K153" s="136" t="s">
        <v>158</v>
      </c>
      <c r="L153" s="5" t="s">
        <v>158</v>
      </c>
      <c r="M153" s="30">
        <v>1</v>
      </c>
      <c r="N153" s="30">
        <v>1.9</v>
      </c>
      <c r="O153" s="30">
        <v>6.2</v>
      </c>
      <c r="P153" s="30">
        <v>5.4</v>
      </c>
      <c r="Q153" s="30">
        <v>11</v>
      </c>
      <c r="R153" s="30">
        <v>9.6</v>
      </c>
      <c r="S153" s="30">
        <v>3.4</v>
      </c>
      <c r="T153" s="30">
        <v>39</v>
      </c>
      <c r="U153" s="17" t="s">
        <v>158</v>
      </c>
      <c r="V153" s="17">
        <f>0.5*0.023</f>
        <v>1.15E-2</v>
      </c>
      <c r="W153" s="5">
        <v>0.21</v>
      </c>
      <c r="X153" s="5">
        <v>8.2000000000000003E-2</v>
      </c>
      <c r="Y153" s="5">
        <v>0.1</v>
      </c>
      <c r="Z153" s="5">
        <f>0.5*0.027</f>
        <v>1.35E-2</v>
      </c>
      <c r="AA153" s="5">
        <f>0.5*0.027</f>
        <v>1.35E-2</v>
      </c>
      <c r="AB153" s="5">
        <f>0.5*0.027</f>
        <v>1.35E-2</v>
      </c>
      <c r="AC153" s="5">
        <f>0.5*0.074</f>
        <v>3.6999999999999998E-2</v>
      </c>
      <c r="AD153" s="5">
        <v>0.39200000000000002</v>
      </c>
      <c r="AE153" s="17">
        <f t="shared" si="63"/>
        <v>0.43050000000000005</v>
      </c>
      <c r="AF153" s="30">
        <f>0.5*0.21</f>
        <v>0.105</v>
      </c>
      <c r="AG153" s="18" t="s">
        <v>158</v>
      </c>
      <c r="AH153" s="31">
        <f>BC153/18.8</f>
        <v>4.787234042553191</v>
      </c>
      <c r="AI153" s="31">
        <f>BD153/18.8</f>
        <v>3.5638297872340428E-2</v>
      </c>
      <c r="AJ153" s="30" t="s">
        <v>158</v>
      </c>
      <c r="AK153" s="30">
        <f t="shared" ref="AK153:AK159" si="119">BF153/18.8</f>
        <v>2.2340425531914891E-2</v>
      </c>
      <c r="AL153" s="30" t="s">
        <v>158</v>
      </c>
      <c r="AM153" s="30">
        <f t="shared" ref="AM153:AO156" si="120">BH153/18.8</f>
        <v>5.0531914893617018E-2</v>
      </c>
      <c r="AN153" s="30">
        <f t="shared" si="120"/>
        <v>0.32978723404255317</v>
      </c>
      <c r="AO153" s="30">
        <f t="shared" si="120"/>
        <v>7.9787234042553182E-2</v>
      </c>
      <c r="AP153" s="30" t="s">
        <v>158</v>
      </c>
      <c r="AQ153" s="30" t="s">
        <v>158</v>
      </c>
      <c r="AR153" s="30" t="s">
        <v>158</v>
      </c>
      <c r="AS153" s="5" t="s">
        <v>158</v>
      </c>
      <c r="AT153" s="5" t="s">
        <v>158</v>
      </c>
      <c r="AU153" s="5" t="s">
        <v>158</v>
      </c>
      <c r="AV153" s="5" t="s">
        <v>158</v>
      </c>
      <c r="AW153" s="5" t="s">
        <v>158</v>
      </c>
      <c r="BC153" s="30">
        <v>90</v>
      </c>
      <c r="BD153" s="30">
        <v>0.67</v>
      </c>
      <c r="BE153" s="30" t="s">
        <v>160</v>
      </c>
      <c r="BF153" s="30">
        <v>0.42</v>
      </c>
      <c r="BG153" s="30" t="s">
        <v>160</v>
      </c>
      <c r="BH153" s="30">
        <v>0.95</v>
      </c>
      <c r="BI153" s="30">
        <v>6.2</v>
      </c>
      <c r="BJ153" s="30">
        <v>1.5</v>
      </c>
      <c r="BK153" s="30" t="s">
        <v>160</v>
      </c>
      <c r="BL153" s="30" t="s">
        <v>160</v>
      </c>
      <c r="BM153" s="17" t="s">
        <v>158</v>
      </c>
      <c r="BN153" s="5" t="s">
        <v>158</v>
      </c>
      <c r="BO153" s="5" t="s">
        <v>158</v>
      </c>
      <c r="BP153" s="5" t="s">
        <v>158</v>
      </c>
      <c r="BQ153" s="5" t="s">
        <v>158</v>
      </c>
      <c r="BR153" s="5" t="s">
        <v>158</v>
      </c>
      <c r="BS153" s="5" t="s">
        <v>158</v>
      </c>
      <c r="BT153" s="5" t="s">
        <v>158</v>
      </c>
      <c r="BU153" s="5" t="s">
        <v>158</v>
      </c>
      <c r="BV153" s="5" t="s">
        <v>158</v>
      </c>
      <c r="BW153" s="5" t="s">
        <v>158</v>
      </c>
      <c r="BX153" s="5" t="s">
        <v>158</v>
      </c>
      <c r="BY153" s="5" t="s">
        <v>158</v>
      </c>
      <c r="BZ153" s="5" t="s">
        <v>158</v>
      </c>
      <c r="CA153" s="5" t="s">
        <v>158</v>
      </c>
      <c r="CB153" s="5" t="s">
        <v>158</v>
      </c>
      <c r="CC153" s="5" t="s">
        <v>158</v>
      </c>
      <c r="CD153" s="5" t="s">
        <v>158</v>
      </c>
      <c r="CE153" s="5" t="s">
        <v>158</v>
      </c>
      <c r="CF153" s="5" t="s">
        <v>158</v>
      </c>
      <c r="CG153" s="5" t="s">
        <v>158</v>
      </c>
      <c r="CH153" s="5" t="s">
        <v>158</v>
      </c>
      <c r="CI153" s="17" t="s">
        <v>158</v>
      </c>
      <c r="CJ153" s="17" t="s">
        <v>158</v>
      </c>
      <c r="CK153" s="17" t="s">
        <v>158</v>
      </c>
      <c r="CL153" s="17" t="s">
        <v>158</v>
      </c>
      <c r="CM153" s="17" t="s">
        <v>158</v>
      </c>
      <c r="CN153" s="17" t="s">
        <v>158</v>
      </c>
      <c r="CO153" s="17" t="s">
        <v>158</v>
      </c>
      <c r="CP153" s="17" t="s">
        <v>158</v>
      </c>
      <c r="CQ153" s="17" t="s">
        <v>158</v>
      </c>
      <c r="CR153" s="17" t="s">
        <v>158</v>
      </c>
      <c r="CS153" s="17" t="s">
        <v>158</v>
      </c>
      <c r="CT153" s="17" t="s">
        <v>158</v>
      </c>
      <c r="CU153" s="17" t="s">
        <v>158</v>
      </c>
      <c r="CV153" s="17" t="s">
        <v>158</v>
      </c>
      <c r="CW153" s="17" t="s">
        <v>158</v>
      </c>
      <c r="CX153" s="17" t="s">
        <v>158</v>
      </c>
      <c r="CY153" s="67" t="s">
        <v>158</v>
      </c>
    </row>
    <row r="154" spans="1:103" x14ac:dyDescent="0.2">
      <c r="A154" s="36" t="s">
        <v>22</v>
      </c>
      <c r="B154" s="58" t="s">
        <v>22</v>
      </c>
      <c r="C154" s="25" t="s">
        <v>20</v>
      </c>
      <c r="D154" s="25" t="s">
        <v>125</v>
      </c>
      <c r="E154" s="26"/>
      <c r="F154" s="27"/>
      <c r="G154" s="28">
        <v>41899</v>
      </c>
      <c r="H154" s="29">
        <v>2014</v>
      </c>
      <c r="I154" s="135" t="s">
        <v>33</v>
      </c>
      <c r="J154" s="135">
        <v>10</v>
      </c>
      <c r="K154" s="136" t="s">
        <v>158</v>
      </c>
      <c r="L154" s="5" t="s">
        <v>158</v>
      </c>
      <c r="M154" s="30">
        <v>0.95</v>
      </c>
      <c r="N154" s="30">
        <v>2</v>
      </c>
      <c r="O154" s="30">
        <v>6.2</v>
      </c>
      <c r="P154" s="30">
        <v>5</v>
      </c>
      <c r="Q154" s="30">
        <v>12</v>
      </c>
      <c r="R154" s="30">
        <v>11</v>
      </c>
      <c r="S154" s="30">
        <v>4.2</v>
      </c>
      <c r="T154" s="30">
        <v>42</v>
      </c>
      <c r="U154" s="17" t="s">
        <v>158</v>
      </c>
      <c r="V154" s="17">
        <f>0.5*0.024</f>
        <v>1.2E-2</v>
      </c>
      <c r="W154" s="5">
        <v>0.28000000000000003</v>
      </c>
      <c r="X154" s="5">
        <v>0.14000000000000001</v>
      </c>
      <c r="Y154" s="5">
        <v>0.28000000000000003</v>
      </c>
      <c r="Z154" s="5">
        <f>0.5*0.027</f>
        <v>1.35E-2</v>
      </c>
      <c r="AA154" s="5">
        <v>5.7000000000000002E-2</v>
      </c>
      <c r="AB154" s="5">
        <v>4.7E-2</v>
      </c>
      <c r="AC154" s="5">
        <f>0.5*0.075</f>
        <v>3.7499999999999999E-2</v>
      </c>
      <c r="AD154" s="5">
        <v>0.80400000000000016</v>
      </c>
      <c r="AE154" s="17">
        <f>SUM(V154,W154,Y154,X154,AB154,AA154)</f>
        <v>0.81600000000000017</v>
      </c>
      <c r="AF154" s="30">
        <f>0.5*0.22</f>
        <v>0.11</v>
      </c>
      <c r="AG154" s="18" t="s">
        <v>158</v>
      </c>
      <c r="AH154" s="31">
        <f>BC154/18.8</f>
        <v>9.5744680851063819</v>
      </c>
      <c r="AI154" s="31">
        <f>BD154/18.8</f>
        <v>4.5212765957446804E-2</v>
      </c>
      <c r="AJ154" s="30" t="s">
        <v>158</v>
      </c>
      <c r="AK154" s="30">
        <f t="shared" si="119"/>
        <v>6.382978723404255E-3</v>
      </c>
      <c r="AL154" s="30" t="s">
        <v>158</v>
      </c>
      <c r="AM154" s="30">
        <f t="shared" si="120"/>
        <v>1.1702127659574468E-2</v>
      </c>
      <c r="AN154" s="30">
        <f t="shared" si="120"/>
        <v>0.25</v>
      </c>
      <c r="AO154" s="30">
        <f t="shared" si="120"/>
        <v>0.20744680851063829</v>
      </c>
      <c r="AP154" s="30" t="s">
        <v>158</v>
      </c>
      <c r="AQ154" s="30" t="s">
        <v>158</v>
      </c>
      <c r="AR154" s="30" t="s">
        <v>158</v>
      </c>
      <c r="AS154" s="5" t="s">
        <v>158</v>
      </c>
      <c r="AT154" s="5" t="s">
        <v>158</v>
      </c>
      <c r="AU154" s="5" t="s">
        <v>158</v>
      </c>
      <c r="AV154" s="5" t="s">
        <v>158</v>
      </c>
      <c r="AW154" s="5" t="s">
        <v>158</v>
      </c>
      <c r="BC154" s="30">
        <v>180</v>
      </c>
      <c r="BD154" s="30">
        <v>0.85</v>
      </c>
      <c r="BE154" s="30" t="s">
        <v>160</v>
      </c>
      <c r="BF154" s="30">
        <v>0.12</v>
      </c>
      <c r="BG154" s="30" t="s">
        <v>160</v>
      </c>
      <c r="BH154" s="30">
        <v>0.22</v>
      </c>
      <c r="BI154" s="30">
        <v>4.7</v>
      </c>
      <c r="BJ154" s="30">
        <v>3.9</v>
      </c>
      <c r="BK154" s="30" t="s">
        <v>160</v>
      </c>
      <c r="BL154" s="30" t="s">
        <v>160</v>
      </c>
      <c r="BM154" s="17" t="s">
        <v>158</v>
      </c>
      <c r="BN154" s="5" t="s">
        <v>158</v>
      </c>
      <c r="BO154" s="5" t="s">
        <v>158</v>
      </c>
      <c r="BP154" s="5" t="s">
        <v>158</v>
      </c>
      <c r="BQ154" s="5" t="s">
        <v>158</v>
      </c>
      <c r="BR154" s="5" t="s">
        <v>158</v>
      </c>
      <c r="BS154" s="5" t="s">
        <v>158</v>
      </c>
      <c r="BT154" s="5" t="s">
        <v>158</v>
      </c>
      <c r="BU154" s="5" t="s">
        <v>158</v>
      </c>
      <c r="BV154" s="5" t="s">
        <v>158</v>
      </c>
      <c r="BW154" s="5" t="s">
        <v>158</v>
      </c>
      <c r="BX154" s="5" t="s">
        <v>158</v>
      </c>
      <c r="BY154" s="5" t="s">
        <v>158</v>
      </c>
      <c r="BZ154" s="5" t="s">
        <v>158</v>
      </c>
      <c r="CA154" s="5" t="s">
        <v>158</v>
      </c>
      <c r="CB154" s="5" t="s">
        <v>158</v>
      </c>
      <c r="CC154" s="5" t="s">
        <v>158</v>
      </c>
      <c r="CD154" s="5" t="s">
        <v>158</v>
      </c>
      <c r="CE154" s="5" t="s">
        <v>158</v>
      </c>
      <c r="CF154" s="5" t="s">
        <v>158</v>
      </c>
      <c r="CG154" s="5" t="s">
        <v>158</v>
      </c>
      <c r="CH154" s="5" t="s">
        <v>158</v>
      </c>
      <c r="CI154" s="17" t="s">
        <v>158</v>
      </c>
      <c r="CJ154" s="17" t="s">
        <v>158</v>
      </c>
      <c r="CK154" s="17" t="s">
        <v>158</v>
      </c>
      <c r="CL154" s="17" t="s">
        <v>158</v>
      </c>
      <c r="CM154" s="17" t="s">
        <v>158</v>
      </c>
      <c r="CN154" s="17" t="s">
        <v>158</v>
      </c>
      <c r="CO154" s="17" t="s">
        <v>158</v>
      </c>
      <c r="CP154" s="17" t="s">
        <v>158</v>
      </c>
      <c r="CQ154" s="17" t="s">
        <v>158</v>
      </c>
      <c r="CR154" s="17" t="s">
        <v>158</v>
      </c>
      <c r="CS154" s="17" t="s">
        <v>158</v>
      </c>
      <c r="CT154" s="17" t="s">
        <v>158</v>
      </c>
      <c r="CU154" s="17" t="s">
        <v>158</v>
      </c>
      <c r="CV154" s="17" t="s">
        <v>158</v>
      </c>
      <c r="CW154" s="17" t="s">
        <v>158</v>
      </c>
      <c r="CX154" s="17" t="s">
        <v>158</v>
      </c>
      <c r="CY154" s="67" t="s">
        <v>158</v>
      </c>
    </row>
    <row r="155" spans="1:103" x14ac:dyDescent="0.2">
      <c r="A155" s="36" t="s">
        <v>21</v>
      </c>
      <c r="B155" s="58" t="s">
        <v>21</v>
      </c>
      <c r="C155" s="25" t="s">
        <v>20</v>
      </c>
      <c r="D155" s="25" t="s">
        <v>125</v>
      </c>
      <c r="E155" s="26"/>
      <c r="F155" s="27"/>
      <c r="G155" s="28">
        <v>41986</v>
      </c>
      <c r="H155" s="29">
        <v>2014</v>
      </c>
      <c r="I155" s="135" t="s">
        <v>33</v>
      </c>
      <c r="J155" s="135">
        <v>10</v>
      </c>
      <c r="K155" s="136" t="s">
        <v>158</v>
      </c>
      <c r="L155" s="5" t="s">
        <v>158</v>
      </c>
      <c r="M155" s="30">
        <f>0.5*0.04</f>
        <v>0.02</v>
      </c>
      <c r="N155" s="30">
        <v>0.23</v>
      </c>
      <c r="O155" s="30">
        <v>1.7</v>
      </c>
      <c r="P155" s="30">
        <v>1.4</v>
      </c>
      <c r="Q155" s="30">
        <v>6.4</v>
      </c>
      <c r="R155" s="30">
        <v>5.4</v>
      </c>
      <c r="S155" s="30">
        <v>2.7</v>
      </c>
      <c r="T155" s="30">
        <v>18</v>
      </c>
      <c r="U155" s="17" t="s">
        <v>158</v>
      </c>
      <c r="V155" s="17">
        <f>0.5*0.024</f>
        <v>1.2E-2</v>
      </c>
      <c r="W155" s="5">
        <v>0.28000000000000003</v>
      </c>
      <c r="X155" s="5">
        <v>0.13</v>
      </c>
      <c r="Y155" s="5">
        <v>0.2</v>
      </c>
      <c r="Z155" s="5">
        <f>0.5*0.027</f>
        <v>1.35E-2</v>
      </c>
      <c r="AA155" s="5">
        <v>4.3999999999999997E-2</v>
      </c>
      <c r="AB155" s="5">
        <v>3.5000000000000003E-2</v>
      </c>
      <c r="AC155" s="5">
        <f>0.5*0.074</f>
        <v>3.6999999999999998E-2</v>
      </c>
      <c r="AD155" s="5">
        <v>0.68900000000000017</v>
      </c>
      <c r="AE155" s="17">
        <f t="shared" si="63"/>
        <v>0.70100000000000018</v>
      </c>
      <c r="AF155" s="30">
        <f>0.5*0.22</f>
        <v>0.11</v>
      </c>
      <c r="AG155" s="18" t="s">
        <v>158</v>
      </c>
      <c r="AH155" s="31">
        <f t="shared" ref="AH155:AH192" si="121">BC155/18.8</f>
        <v>11.702127659574467</v>
      </c>
      <c r="AI155" s="31">
        <f>BD155/18.8</f>
        <v>4.0425531914893613E-2</v>
      </c>
      <c r="AJ155" s="30">
        <f>BE155/18.8</f>
        <v>1.276595744680851E-2</v>
      </c>
      <c r="AK155" s="30">
        <f t="shared" si="119"/>
        <v>5.8510638297872338E-3</v>
      </c>
      <c r="AL155" s="30" t="s">
        <v>158</v>
      </c>
      <c r="AM155" s="30">
        <f t="shared" si="120"/>
        <v>1.276595744680851E-2</v>
      </c>
      <c r="AN155" s="30">
        <f t="shared" si="120"/>
        <v>0.27659574468085107</v>
      </c>
      <c r="AO155" s="30">
        <f t="shared" si="120"/>
        <v>0.25</v>
      </c>
      <c r="AP155" s="30" t="s">
        <v>158</v>
      </c>
      <c r="AQ155" s="30" t="s">
        <v>158</v>
      </c>
      <c r="AR155" s="30" t="s">
        <v>158</v>
      </c>
      <c r="AS155" s="5" t="s">
        <v>158</v>
      </c>
      <c r="AT155" s="5" t="s">
        <v>158</v>
      </c>
      <c r="AU155" s="5" t="s">
        <v>158</v>
      </c>
      <c r="AV155" s="5" t="s">
        <v>158</v>
      </c>
      <c r="AW155" s="5" t="s">
        <v>158</v>
      </c>
      <c r="BC155" s="30">
        <v>220</v>
      </c>
      <c r="BD155" s="30">
        <v>0.76</v>
      </c>
      <c r="BE155" s="30">
        <v>0.24</v>
      </c>
      <c r="BF155" s="30">
        <v>0.11</v>
      </c>
      <c r="BG155" s="30" t="s">
        <v>160</v>
      </c>
      <c r="BH155" s="30">
        <v>0.24</v>
      </c>
      <c r="BI155" s="30">
        <v>5.2</v>
      </c>
      <c r="BJ155" s="30">
        <v>4.7</v>
      </c>
      <c r="BK155" s="30" t="s">
        <v>160</v>
      </c>
      <c r="BL155" s="30" t="s">
        <v>160</v>
      </c>
      <c r="BM155" s="17" t="s">
        <v>158</v>
      </c>
      <c r="BN155" s="5" t="s">
        <v>158</v>
      </c>
      <c r="BO155" s="5" t="s">
        <v>158</v>
      </c>
      <c r="BP155" s="5" t="s">
        <v>158</v>
      </c>
      <c r="BQ155" s="5" t="s">
        <v>158</v>
      </c>
      <c r="BR155" s="5" t="s">
        <v>158</v>
      </c>
      <c r="BS155" s="5" t="s">
        <v>158</v>
      </c>
      <c r="BT155" s="5" t="s">
        <v>158</v>
      </c>
      <c r="BU155" s="5" t="s">
        <v>158</v>
      </c>
      <c r="BV155" s="5" t="s">
        <v>158</v>
      </c>
      <c r="BW155" s="5" t="s">
        <v>158</v>
      </c>
      <c r="BX155" s="5" t="s">
        <v>158</v>
      </c>
      <c r="BY155" s="5" t="s">
        <v>158</v>
      </c>
      <c r="BZ155" s="5" t="s">
        <v>158</v>
      </c>
      <c r="CA155" s="5" t="s">
        <v>158</v>
      </c>
      <c r="CB155" s="5" t="s">
        <v>158</v>
      </c>
      <c r="CC155" s="5" t="s">
        <v>158</v>
      </c>
      <c r="CD155" s="5" t="s">
        <v>158</v>
      </c>
      <c r="CE155" s="5" t="s">
        <v>158</v>
      </c>
      <c r="CF155" s="5" t="s">
        <v>158</v>
      </c>
      <c r="CG155" s="5" t="s">
        <v>158</v>
      </c>
      <c r="CH155" s="5" t="s">
        <v>158</v>
      </c>
      <c r="CI155" s="17" t="s">
        <v>158</v>
      </c>
      <c r="CJ155" s="17" t="s">
        <v>158</v>
      </c>
      <c r="CK155" s="17" t="s">
        <v>158</v>
      </c>
      <c r="CL155" s="17" t="s">
        <v>158</v>
      </c>
      <c r="CM155" s="17" t="s">
        <v>158</v>
      </c>
      <c r="CN155" s="17" t="s">
        <v>158</v>
      </c>
      <c r="CO155" s="17" t="s">
        <v>158</v>
      </c>
      <c r="CP155" s="17" t="s">
        <v>158</v>
      </c>
      <c r="CQ155" s="17" t="s">
        <v>158</v>
      </c>
      <c r="CR155" s="17" t="s">
        <v>158</v>
      </c>
      <c r="CS155" s="17" t="s">
        <v>158</v>
      </c>
      <c r="CT155" s="17" t="s">
        <v>158</v>
      </c>
      <c r="CU155" s="17" t="s">
        <v>158</v>
      </c>
      <c r="CV155" s="17" t="s">
        <v>158</v>
      </c>
      <c r="CW155" s="17" t="s">
        <v>158</v>
      </c>
      <c r="CX155" s="17" t="s">
        <v>158</v>
      </c>
      <c r="CY155" s="67" t="s">
        <v>158</v>
      </c>
    </row>
    <row r="156" spans="1:103" x14ac:dyDescent="0.2">
      <c r="A156" s="36" t="s">
        <v>23</v>
      </c>
      <c r="B156" s="58" t="s">
        <v>23</v>
      </c>
      <c r="C156" s="25" t="s">
        <v>20</v>
      </c>
      <c r="D156" s="25" t="s">
        <v>125</v>
      </c>
      <c r="E156" s="26"/>
      <c r="F156" s="27"/>
      <c r="G156" s="28">
        <v>41898</v>
      </c>
      <c r="H156" s="29">
        <v>2014</v>
      </c>
      <c r="I156" s="135" t="s">
        <v>33</v>
      </c>
      <c r="J156" s="135">
        <v>10</v>
      </c>
      <c r="K156" s="136" t="s">
        <v>158</v>
      </c>
      <c r="L156" s="5" t="s">
        <v>158</v>
      </c>
      <c r="M156" s="30">
        <v>0.4</v>
      </c>
      <c r="N156" s="30">
        <v>1.7</v>
      </c>
      <c r="O156" s="30">
        <v>6.6</v>
      </c>
      <c r="P156" s="30">
        <v>5.5</v>
      </c>
      <c r="Q156" s="30">
        <v>11</v>
      </c>
      <c r="R156" s="30">
        <v>11</v>
      </c>
      <c r="S156" s="30">
        <v>4.3</v>
      </c>
      <c r="T156" s="30">
        <v>41</v>
      </c>
      <c r="U156" s="17" t="s">
        <v>158</v>
      </c>
      <c r="V156" s="17">
        <f>0.5*0.024</f>
        <v>1.2E-2</v>
      </c>
      <c r="W156" s="5">
        <v>6.9000000000000006E-2</v>
      </c>
      <c r="X156" s="5">
        <v>4.4999999999999998E-2</v>
      </c>
      <c r="Y156" s="5">
        <v>3.7999999999999999E-2</v>
      </c>
      <c r="Z156" s="5">
        <v>5.1999999999999998E-2</v>
      </c>
      <c r="AA156" s="5">
        <f>0.5*0.026</f>
        <v>1.2999999999999999E-2</v>
      </c>
      <c r="AB156" s="5">
        <f>0.5*0.026</f>
        <v>1.2999999999999999E-2</v>
      </c>
      <c r="AC156" s="5">
        <f>0.5*0.11</f>
        <v>5.5E-2</v>
      </c>
      <c r="AD156" s="5">
        <v>0.20400000000000001</v>
      </c>
      <c r="AE156" s="17">
        <f>SUM(V156,W156,Y156,X156,AB156,AA156)</f>
        <v>0.19</v>
      </c>
      <c r="AF156" s="30">
        <f>0.5*0.31</f>
        <v>0.155</v>
      </c>
      <c r="AG156" s="18" t="s">
        <v>158</v>
      </c>
      <c r="AH156" s="31">
        <f t="shared" si="121"/>
        <v>6.914893617021276</v>
      </c>
      <c r="AI156" s="31">
        <f>BD156/18.8</f>
        <v>4.9468085106382981E-2</v>
      </c>
      <c r="AJ156" s="30">
        <f>BE156/18.8</f>
        <v>2.3404255319148935E-2</v>
      </c>
      <c r="AK156" s="30">
        <f t="shared" si="119"/>
        <v>2.5000000000000001E-3</v>
      </c>
      <c r="AL156" s="30" t="s">
        <v>158</v>
      </c>
      <c r="AM156" s="30">
        <f t="shared" si="120"/>
        <v>2.7659574468085105E-2</v>
      </c>
      <c r="AN156" s="30">
        <f t="shared" si="120"/>
        <v>0.3457446808510638</v>
      </c>
      <c r="AO156" s="30">
        <f t="shared" si="120"/>
        <v>0.1702127659574468</v>
      </c>
      <c r="AP156" s="30" t="s">
        <v>158</v>
      </c>
      <c r="AQ156" s="30" t="s">
        <v>158</v>
      </c>
      <c r="AR156" s="30" t="s">
        <v>158</v>
      </c>
      <c r="AS156" s="5" t="s">
        <v>158</v>
      </c>
      <c r="AT156" s="5" t="s">
        <v>158</v>
      </c>
      <c r="AU156" s="5" t="s">
        <v>158</v>
      </c>
      <c r="AV156" s="5" t="s">
        <v>158</v>
      </c>
      <c r="AW156" s="5" t="s">
        <v>158</v>
      </c>
      <c r="BC156" s="30">
        <v>130</v>
      </c>
      <c r="BD156" s="30">
        <v>0.93</v>
      </c>
      <c r="BE156" s="30">
        <v>0.44</v>
      </c>
      <c r="BF156" s="30">
        <v>4.7E-2</v>
      </c>
      <c r="BG156" s="30" t="s">
        <v>160</v>
      </c>
      <c r="BH156" s="30">
        <v>0.52</v>
      </c>
      <c r="BI156" s="30">
        <v>6.5</v>
      </c>
      <c r="BJ156" s="30">
        <v>3.2</v>
      </c>
      <c r="BK156" s="30" t="s">
        <v>160</v>
      </c>
      <c r="BL156" s="30" t="s">
        <v>160</v>
      </c>
      <c r="BM156" s="17" t="s">
        <v>158</v>
      </c>
      <c r="BN156" s="5" t="s">
        <v>158</v>
      </c>
      <c r="BO156" s="5" t="s">
        <v>158</v>
      </c>
      <c r="BP156" s="5" t="s">
        <v>158</v>
      </c>
      <c r="BQ156" s="5" t="s">
        <v>158</v>
      </c>
      <c r="BR156" s="5" t="s">
        <v>158</v>
      </c>
      <c r="BS156" s="5" t="s">
        <v>158</v>
      </c>
      <c r="BT156" s="5" t="s">
        <v>158</v>
      </c>
      <c r="BU156" s="5" t="s">
        <v>158</v>
      </c>
      <c r="BV156" s="5" t="s">
        <v>158</v>
      </c>
      <c r="BW156" s="5" t="s">
        <v>158</v>
      </c>
      <c r="BX156" s="5" t="s">
        <v>158</v>
      </c>
      <c r="BY156" s="5" t="s">
        <v>158</v>
      </c>
      <c r="BZ156" s="5" t="s">
        <v>158</v>
      </c>
      <c r="CA156" s="5" t="s">
        <v>158</v>
      </c>
      <c r="CB156" s="5" t="s">
        <v>158</v>
      </c>
      <c r="CC156" s="5" t="s">
        <v>158</v>
      </c>
      <c r="CD156" s="5" t="s">
        <v>158</v>
      </c>
      <c r="CE156" s="5" t="s">
        <v>158</v>
      </c>
      <c r="CF156" s="5" t="s">
        <v>158</v>
      </c>
      <c r="CG156" s="5" t="s">
        <v>158</v>
      </c>
      <c r="CH156" s="5" t="s">
        <v>158</v>
      </c>
      <c r="CI156" s="17" t="s">
        <v>158</v>
      </c>
      <c r="CJ156" s="17" t="s">
        <v>158</v>
      </c>
      <c r="CK156" s="17" t="s">
        <v>158</v>
      </c>
      <c r="CL156" s="17" t="s">
        <v>158</v>
      </c>
      <c r="CM156" s="17" t="s">
        <v>158</v>
      </c>
      <c r="CN156" s="17" t="s">
        <v>158</v>
      </c>
      <c r="CO156" s="17" t="s">
        <v>158</v>
      </c>
      <c r="CP156" s="17" t="s">
        <v>158</v>
      </c>
      <c r="CQ156" s="17" t="s">
        <v>158</v>
      </c>
      <c r="CR156" s="17" t="s">
        <v>158</v>
      </c>
      <c r="CS156" s="17" t="s">
        <v>158</v>
      </c>
      <c r="CT156" s="17" t="s">
        <v>158</v>
      </c>
      <c r="CU156" s="17" t="s">
        <v>158</v>
      </c>
      <c r="CV156" s="17" t="s">
        <v>158</v>
      </c>
      <c r="CW156" s="17" t="s">
        <v>158</v>
      </c>
      <c r="CX156" s="17" t="s">
        <v>158</v>
      </c>
      <c r="CY156" s="67" t="s">
        <v>158</v>
      </c>
    </row>
    <row r="157" spans="1:103" x14ac:dyDescent="0.2">
      <c r="A157" s="36" t="s">
        <v>112</v>
      </c>
      <c r="B157" s="58" t="s">
        <v>24</v>
      </c>
      <c r="C157" s="25" t="s">
        <v>20</v>
      </c>
      <c r="D157" s="25" t="s">
        <v>125</v>
      </c>
      <c r="G157" s="28">
        <v>41517</v>
      </c>
      <c r="H157" s="16">
        <v>2013</v>
      </c>
      <c r="I157" s="135" t="s">
        <v>33</v>
      </c>
      <c r="J157" s="135">
        <v>10</v>
      </c>
      <c r="K157" s="136">
        <v>0.72346398877015194</v>
      </c>
      <c r="L157" s="5" t="s">
        <v>158</v>
      </c>
      <c r="M157" s="5" t="s">
        <v>158</v>
      </c>
      <c r="N157" s="5" t="s">
        <v>158</v>
      </c>
      <c r="O157" s="5" t="s">
        <v>158</v>
      </c>
      <c r="P157" s="5" t="s">
        <v>158</v>
      </c>
      <c r="Q157" s="5" t="s">
        <v>158</v>
      </c>
      <c r="R157" s="5" t="s">
        <v>158</v>
      </c>
      <c r="S157" s="5" t="s">
        <v>158</v>
      </c>
      <c r="T157" s="5" t="s">
        <v>158</v>
      </c>
      <c r="U157" s="17" t="s">
        <v>158</v>
      </c>
      <c r="V157" s="5" t="s">
        <v>158</v>
      </c>
      <c r="W157" s="5" t="s">
        <v>158</v>
      </c>
      <c r="X157" s="5" t="s">
        <v>158</v>
      </c>
      <c r="Y157" s="5" t="s">
        <v>158</v>
      </c>
      <c r="Z157" s="5" t="s">
        <v>158</v>
      </c>
      <c r="AA157" s="5" t="s">
        <v>158</v>
      </c>
      <c r="AB157" s="5" t="s">
        <v>158</v>
      </c>
      <c r="AC157" s="5" t="s">
        <v>158</v>
      </c>
      <c r="AD157" s="5" t="s">
        <v>158</v>
      </c>
      <c r="AE157" s="17" t="s">
        <v>158</v>
      </c>
      <c r="AF157" s="5" t="s">
        <v>158</v>
      </c>
      <c r="AG157" s="18" t="s">
        <v>158</v>
      </c>
      <c r="AH157" s="31">
        <f t="shared" si="121"/>
        <v>16.648936170212764</v>
      </c>
      <c r="AI157" s="30" t="s">
        <v>158</v>
      </c>
      <c r="AJ157" s="30" t="s">
        <v>158</v>
      </c>
      <c r="AK157" s="30">
        <f t="shared" si="119"/>
        <v>4.6755319148936166E-2</v>
      </c>
      <c r="AL157" s="30" t="s">
        <v>158</v>
      </c>
      <c r="AM157" s="30" t="s">
        <v>158</v>
      </c>
      <c r="AN157" s="30" t="s">
        <v>158</v>
      </c>
      <c r="AO157" s="30" t="s">
        <v>158</v>
      </c>
      <c r="AP157" s="30" t="s">
        <v>158</v>
      </c>
      <c r="AQ157" s="30" t="s">
        <v>158</v>
      </c>
      <c r="AR157" s="30" t="s">
        <v>158</v>
      </c>
      <c r="AS157" s="5" t="s">
        <v>158</v>
      </c>
      <c r="AT157" s="5" t="s">
        <v>158</v>
      </c>
      <c r="AU157" s="5" t="s">
        <v>158</v>
      </c>
      <c r="AV157" s="5" t="s">
        <v>158</v>
      </c>
      <c r="AW157" s="5" t="s">
        <v>158</v>
      </c>
      <c r="BC157" s="30">
        <v>313</v>
      </c>
      <c r="BD157" s="30" t="s">
        <v>160</v>
      </c>
      <c r="BE157" s="30" t="s">
        <v>160</v>
      </c>
      <c r="BF157" s="30">
        <v>0.879</v>
      </c>
      <c r="BG157" s="17" t="s">
        <v>158</v>
      </c>
      <c r="BH157" s="17" t="s">
        <v>158</v>
      </c>
      <c r="BI157" s="17" t="s">
        <v>158</v>
      </c>
      <c r="BJ157" s="17" t="s">
        <v>158</v>
      </c>
      <c r="BK157" s="17" t="s">
        <v>158</v>
      </c>
      <c r="BL157" s="17" t="s">
        <v>158</v>
      </c>
      <c r="BM157" s="17" t="s">
        <v>158</v>
      </c>
      <c r="BN157" s="5" t="s">
        <v>158</v>
      </c>
      <c r="BO157" s="5" t="s">
        <v>158</v>
      </c>
      <c r="BP157" s="5" t="s">
        <v>158</v>
      </c>
      <c r="BQ157" s="5" t="s">
        <v>158</v>
      </c>
      <c r="BR157" s="5" t="s">
        <v>158</v>
      </c>
      <c r="BS157" s="5" t="s">
        <v>158</v>
      </c>
      <c r="BT157" s="5" t="s">
        <v>158</v>
      </c>
      <c r="BU157" s="5" t="s">
        <v>158</v>
      </c>
      <c r="BV157" s="5" t="s">
        <v>158</v>
      </c>
      <c r="BW157" s="5" t="s">
        <v>158</v>
      </c>
      <c r="BX157" s="5" t="s">
        <v>158</v>
      </c>
      <c r="BY157" s="5" t="s">
        <v>158</v>
      </c>
      <c r="BZ157" s="5" t="s">
        <v>158</v>
      </c>
      <c r="CA157" s="5" t="s">
        <v>158</v>
      </c>
      <c r="CB157" s="5" t="s">
        <v>158</v>
      </c>
      <c r="CC157" s="5" t="s">
        <v>158</v>
      </c>
      <c r="CD157" s="5" t="s">
        <v>158</v>
      </c>
      <c r="CE157" s="5" t="s">
        <v>158</v>
      </c>
      <c r="CF157" s="5" t="s">
        <v>158</v>
      </c>
      <c r="CG157" s="5" t="s">
        <v>158</v>
      </c>
      <c r="CH157" s="5" t="s">
        <v>158</v>
      </c>
      <c r="CI157" s="61">
        <v>93.000274130019179</v>
      </c>
      <c r="CJ157" s="61">
        <v>250</v>
      </c>
      <c r="CK157" s="61">
        <v>790</v>
      </c>
      <c r="CL157" s="61">
        <v>650</v>
      </c>
      <c r="CM157" s="61">
        <v>1300</v>
      </c>
      <c r="CN157" s="61">
        <v>1200</v>
      </c>
      <c r="CO157" s="61">
        <v>400</v>
      </c>
      <c r="CP157" s="61">
        <v>4700</v>
      </c>
      <c r="CQ157" s="62">
        <v>35.633283657609191</v>
      </c>
      <c r="CR157" s="63">
        <v>9.6430277939406324</v>
      </c>
      <c r="CS157" s="62">
        <v>10.989990406427578</v>
      </c>
      <c r="CT157" s="63">
        <f>0.5*2.9</f>
        <v>1.45</v>
      </c>
      <c r="CU157" s="63">
        <v>3.5957958992964181</v>
      </c>
      <c r="CV157" s="63">
        <v>7.1021665022038949</v>
      </c>
      <c r="CW157" s="63">
        <f>0.5*72</f>
        <v>36</v>
      </c>
      <c r="CX157" s="62">
        <v>67</v>
      </c>
      <c r="CY157" s="68">
        <f>0.5*43</f>
        <v>21.5</v>
      </c>
    </row>
    <row r="158" spans="1:103" x14ac:dyDescent="0.2">
      <c r="A158" s="36" t="s">
        <v>22</v>
      </c>
      <c r="B158" s="58" t="s">
        <v>22</v>
      </c>
      <c r="C158" s="25" t="s">
        <v>20</v>
      </c>
      <c r="D158" s="25" t="s">
        <v>125</v>
      </c>
      <c r="G158" s="28">
        <v>41514</v>
      </c>
      <c r="H158" s="16">
        <v>2013</v>
      </c>
      <c r="I158" s="135" t="s">
        <v>33</v>
      </c>
      <c r="J158" s="135">
        <v>10</v>
      </c>
      <c r="K158" s="136">
        <v>0.6</v>
      </c>
      <c r="L158" s="5" t="s">
        <v>158</v>
      </c>
      <c r="M158" s="5" t="s">
        <v>158</v>
      </c>
      <c r="N158" s="5" t="s">
        <v>158</v>
      </c>
      <c r="O158" s="5" t="s">
        <v>158</v>
      </c>
      <c r="P158" s="5" t="s">
        <v>158</v>
      </c>
      <c r="Q158" s="5" t="s">
        <v>158</v>
      </c>
      <c r="R158" s="5" t="s">
        <v>158</v>
      </c>
      <c r="S158" s="5" t="s">
        <v>158</v>
      </c>
      <c r="T158" s="5" t="s">
        <v>158</v>
      </c>
      <c r="U158" s="17" t="s">
        <v>158</v>
      </c>
      <c r="V158" s="5" t="s">
        <v>158</v>
      </c>
      <c r="W158" s="5" t="s">
        <v>158</v>
      </c>
      <c r="X158" s="5" t="s">
        <v>158</v>
      </c>
      <c r="Y158" s="5" t="s">
        <v>158</v>
      </c>
      <c r="Z158" s="5" t="s">
        <v>158</v>
      </c>
      <c r="AA158" s="5" t="s">
        <v>158</v>
      </c>
      <c r="AB158" s="5" t="s">
        <v>158</v>
      </c>
      <c r="AC158" s="5" t="s">
        <v>158</v>
      </c>
      <c r="AD158" s="5" t="s">
        <v>158</v>
      </c>
      <c r="AE158" s="17" t="s">
        <v>158</v>
      </c>
      <c r="AF158" s="5" t="s">
        <v>158</v>
      </c>
      <c r="AG158" s="18" t="s">
        <v>158</v>
      </c>
      <c r="AH158" s="31">
        <f t="shared" si="121"/>
        <v>9.8936170212765955</v>
      </c>
      <c r="AI158" s="30" t="s">
        <v>158</v>
      </c>
      <c r="AJ158" s="30" t="s">
        <v>158</v>
      </c>
      <c r="AK158" s="30">
        <f t="shared" si="119"/>
        <v>4.1382978723404254E-2</v>
      </c>
      <c r="AL158" s="30" t="s">
        <v>158</v>
      </c>
      <c r="AM158" s="30" t="s">
        <v>158</v>
      </c>
      <c r="AN158" s="30" t="s">
        <v>158</v>
      </c>
      <c r="AO158" s="30" t="s">
        <v>158</v>
      </c>
      <c r="AP158" s="30" t="s">
        <v>158</v>
      </c>
      <c r="AQ158" s="30" t="s">
        <v>158</v>
      </c>
      <c r="AR158" s="30" t="s">
        <v>158</v>
      </c>
      <c r="AS158" s="5" t="s">
        <v>158</v>
      </c>
      <c r="AT158" s="5" t="s">
        <v>158</v>
      </c>
      <c r="AU158" s="5" t="s">
        <v>158</v>
      </c>
      <c r="AV158" s="5" t="s">
        <v>158</v>
      </c>
      <c r="AW158" s="5" t="s">
        <v>158</v>
      </c>
      <c r="BC158" s="30">
        <v>186</v>
      </c>
      <c r="BD158" s="30" t="s">
        <v>160</v>
      </c>
      <c r="BE158" s="30" t="s">
        <v>160</v>
      </c>
      <c r="BF158" s="30">
        <v>0.77800000000000002</v>
      </c>
      <c r="BG158" s="17" t="s">
        <v>158</v>
      </c>
      <c r="BH158" s="17" t="s">
        <v>158</v>
      </c>
      <c r="BI158" s="17" t="s">
        <v>158</v>
      </c>
      <c r="BJ158" s="17" t="s">
        <v>158</v>
      </c>
      <c r="BK158" s="17" t="s">
        <v>158</v>
      </c>
      <c r="BL158" s="17" t="s">
        <v>158</v>
      </c>
      <c r="BM158" s="17" t="s">
        <v>158</v>
      </c>
      <c r="BN158" s="5" t="s">
        <v>158</v>
      </c>
      <c r="BO158" s="5" t="s">
        <v>158</v>
      </c>
      <c r="BP158" s="5" t="s">
        <v>158</v>
      </c>
      <c r="BQ158" s="5" t="s">
        <v>158</v>
      </c>
      <c r="BR158" s="5" t="s">
        <v>158</v>
      </c>
      <c r="BS158" s="5" t="s">
        <v>158</v>
      </c>
      <c r="BT158" s="5" t="s">
        <v>158</v>
      </c>
      <c r="BU158" s="5" t="s">
        <v>158</v>
      </c>
      <c r="BV158" s="5" t="s">
        <v>158</v>
      </c>
      <c r="BW158" s="5" t="s">
        <v>158</v>
      </c>
      <c r="BX158" s="5" t="s">
        <v>158</v>
      </c>
      <c r="BY158" s="5" t="s">
        <v>158</v>
      </c>
      <c r="BZ158" s="5" t="s">
        <v>158</v>
      </c>
      <c r="CA158" s="5" t="s">
        <v>158</v>
      </c>
      <c r="CB158" s="5" t="s">
        <v>158</v>
      </c>
      <c r="CC158" s="5" t="s">
        <v>158</v>
      </c>
      <c r="CD158" s="5" t="s">
        <v>158</v>
      </c>
      <c r="CE158" s="5" t="s">
        <v>158</v>
      </c>
      <c r="CF158" s="5" t="s">
        <v>158</v>
      </c>
      <c r="CG158" s="5" t="s">
        <v>158</v>
      </c>
      <c r="CH158" s="5" t="s">
        <v>158</v>
      </c>
      <c r="CI158" s="61">
        <v>120</v>
      </c>
      <c r="CJ158" s="61">
        <v>340</v>
      </c>
      <c r="CK158" s="61">
        <v>1200</v>
      </c>
      <c r="CL158" s="61">
        <v>1100</v>
      </c>
      <c r="CM158" s="61">
        <v>2500</v>
      </c>
      <c r="CN158" s="61">
        <v>2100</v>
      </c>
      <c r="CO158" s="61">
        <v>790</v>
      </c>
      <c r="CP158" s="61">
        <v>8200</v>
      </c>
      <c r="CQ158" s="62">
        <v>46.584094456111437</v>
      </c>
      <c r="CR158" s="62">
        <v>20.559460681747506</v>
      </c>
      <c r="CS158" s="62">
        <v>51.305706583746037</v>
      </c>
      <c r="CT158" s="62">
        <v>37.744316203102883</v>
      </c>
      <c r="CU158" s="62">
        <v>12.747875808291212</v>
      </c>
      <c r="CV158" s="62">
        <v>18.068531449058387</v>
      </c>
      <c r="CW158" s="64">
        <f>0.5*86</f>
        <v>43</v>
      </c>
      <c r="CX158" s="64">
        <v>190</v>
      </c>
      <c r="CY158" s="69">
        <f>0.5*52</f>
        <v>26</v>
      </c>
    </row>
    <row r="159" spans="1:103" x14ac:dyDescent="0.2">
      <c r="A159" s="36" t="s">
        <v>21</v>
      </c>
      <c r="B159" s="58" t="s">
        <v>21</v>
      </c>
      <c r="C159" s="25" t="s">
        <v>20</v>
      </c>
      <c r="D159" s="25" t="s">
        <v>125</v>
      </c>
      <c r="G159" s="28">
        <v>41530</v>
      </c>
      <c r="H159" s="16">
        <v>2013</v>
      </c>
      <c r="I159" s="135" t="s">
        <v>33</v>
      </c>
      <c r="J159" s="135">
        <v>10</v>
      </c>
      <c r="K159" s="136">
        <v>0.6</v>
      </c>
      <c r="L159" s="5" t="s">
        <v>158</v>
      </c>
      <c r="M159" s="5" t="s">
        <v>158</v>
      </c>
      <c r="N159" s="5" t="s">
        <v>158</v>
      </c>
      <c r="O159" s="5" t="s">
        <v>158</v>
      </c>
      <c r="P159" s="5" t="s">
        <v>158</v>
      </c>
      <c r="Q159" s="5" t="s">
        <v>158</v>
      </c>
      <c r="R159" s="5" t="s">
        <v>158</v>
      </c>
      <c r="S159" s="5" t="s">
        <v>158</v>
      </c>
      <c r="T159" s="5" t="s">
        <v>158</v>
      </c>
      <c r="U159" s="17" t="s">
        <v>158</v>
      </c>
      <c r="V159" s="5" t="s">
        <v>158</v>
      </c>
      <c r="W159" s="5" t="s">
        <v>158</v>
      </c>
      <c r="X159" s="5" t="s">
        <v>158</v>
      </c>
      <c r="Y159" s="5" t="s">
        <v>158</v>
      </c>
      <c r="Z159" s="5" t="s">
        <v>158</v>
      </c>
      <c r="AA159" s="5" t="s">
        <v>158</v>
      </c>
      <c r="AB159" s="5" t="s">
        <v>158</v>
      </c>
      <c r="AC159" s="5" t="s">
        <v>158</v>
      </c>
      <c r="AD159" s="5" t="s">
        <v>158</v>
      </c>
      <c r="AE159" s="17" t="s">
        <v>158</v>
      </c>
      <c r="AF159" s="5" t="s">
        <v>158</v>
      </c>
      <c r="AG159" s="18" t="s">
        <v>158</v>
      </c>
      <c r="AH159" s="31">
        <f t="shared" si="121"/>
        <v>29.680851063829785</v>
      </c>
      <c r="AI159" s="30">
        <f>BD159/18.8</f>
        <v>6.5957446808510636E-3</v>
      </c>
      <c r="AJ159" s="30" t="s">
        <v>158</v>
      </c>
      <c r="AK159" s="30">
        <f t="shared" si="119"/>
        <v>6.1170212765957438E-2</v>
      </c>
      <c r="AL159" s="30" t="s">
        <v>158</v>
      </c>
      <c r="AM159" s="30" t="s">
        <v>158</v>
      </c>
      <c r="AN159" s="30" t="s">
        <v>158</v>
      </c>
      <c r="AO159" s="30" t="s">
        <v>158</v>
      </c>
      <c r="AP159" s="30" t="s">
        <v>158</v>
      </c>
      <c r="AQ159" s="30" t="s">
        <v>158</v>
      </c>
      <c r="AR159" s="30" t="s">
        <v>158</v>
      </c>
      <c r="AS159" s="5" t="s">
        <v>158</v>
      </c>
      <c r="AT159" s="5" t="s">
        <v>158</v>
      </c>
      <c r="AU159" s="5" t="s">
        <v>158</v>
      </c>
      <c r="AV159" s="5" t="s">
        <v>158</v>
      </c>
      <c r="AW159" s="5" t="s">
        <v>158</v>
      </c>
      <c r="BC159" s="30">
        <v>558</v>
      </c>
      <c r="BD159" s="30">
        <v>0.124</v>
      </c>
      <c r="BE159" s="30" t="s">
        <v>160</v>
      </c>
      <c r="BF159" s="30">
        <v>1.1499999999999999</v>
      </c>
      <c r="BG159" s="17" t="s">
        <v>158</v>
      </c>
      <c r="BH159" s="17" t="s">
        <v>158</v>
      </c>
      <c r="BI159" s="17" t="s">
        <v>158</v>
      </c>
      <c r="BJ159" s="17" t="s">
        <v>158</v>
      </c>
      <c r="BK159" s="17" t="s">
        <v>158</v>
      </c>
      <c r="BL159" s="17" t="s">
        <v>158</v>
      </c>
      <c r="BM159" s="17" t="s">
        <v>158</v>
      </c>
      <c r="BN159" s="5" t="s">
        <v>158</v>
      </c>
      <c r="BO159" s="5" t="s">
        <v>158</v>
      </c>
      <c r="BP159" s="5" t="s">
        <v>158</v>
      </c>
      <c r="BQ159" s="5" t="s">
        <v>158</v>
      </c>
      <c r="BR159" s="5" t="s">
        <v>158</v>
      </c>
      <c r="BS159" s="5" t="s">
        <v>158</v>
      </c>
      <c r="BT159" s="5" t="s">
        <v>158</v>
      </c>
      <c r="BU159" s="5" t="s">
        <v>158</v>
      </c>
      <c r="BV159" s="5" t="s">
        <v>158</v>
      </c>
      <c r="BW159" s="5" t="s">
        <v>158</v>
      </c>
      <c r="BX159" s="5" t="s">
        <v>158</v>
      </c>
      <c r="BY159" s="5" t="s">
        <v>158</v>
      </c>
      <c r="BZ159" s="5" t="s">
        <v>158</v>
      </c>
      <c r="CA159" s="5" t="s">
        <v>158</v>
      </c>
      <c r="CB159" s="5" t="s">
        <v>158</v>
      </c>
      <c r="CC159" s="5" t="s">
        <v>158</v>
      </c>
      <c r="CD159" s="5" t="s">
        <v>158</v>
      </c>
      <c r="CE159" s="5" t="s">
        <v>158</v>
      </c>
      <c r="CF159" s="5" t="s">
        <v>158</v>
      </c>
      <c r="CG159" s="5" t="s">
        <v>158</v>
      </c>
      <c r="CH159" s="5" t="s">
        <v>158</v>
      </c>
      <c r="CI159" s="65">
        <v>8.0183398882219432</v>
      </c>
      <c r="CJ159" s="61">
        <v>30.650191001298598</v>
      </c>
      <c r="CK159" s="61">
        <v>370</v>
      </c>
      <c r="CL159" s="61">
        <v>320</v>
      </c>
      <c r="CM159" s="61">
        <v>1600</v>
      </c>
      <c r="CN159" s="61">
        <v>1400</v>
      </c>
      <c r="CO159" s="61">
        <v>550</v>
      </c>
      <c r="CP159" s="61">
        <v>4300</v>
      </c>
      <c r="CQ159" s="62">
        <v>57.933770906985842</v>
      </c>
      <c r="CR159" s="62">
        <v>18.98599518174079</v>
      </c>
      <c r="CS159" s="62">
        <v>30.639660359373163</v>
      </c>
      <c r="CT159" s="63">
        <f>0.5*3.7</f>
        <v>1.85</v>
      </c>
      <c r="CU159" s="63">
        <v>8.2103429222489535</v>
      </c>
      <c r="CV159" s="63">
        <v>6.5517017146976286</v>
      </c>
      <c r="CW159" s="63">
        <f>0.5*87</f>
        <v>43.5</v>
      </c>
      <c r="CX159" s="62">
        <v>120</v>
      </c>
      <c r="CY159" s="68">
        <f>0.5*52</f>
        <v>26</v>
      </c>
    </row>
    <row r="160" spans="1:103" x14ac:dyDescent="0.2">
      <c r="A160" s="36" t="s">
        <v>23</v>
      </c>
      <c r="B160" s="58" t="s">
        <v>23</v>
      </c>
      <c r="C160" s="25" t="s">
        <v>20</v>
      </c>
      <c r="D160" s="25" t="s">
        <v>125</v>
      </c>
      <c r="G160" s="28">
        <v>41513</v>
      </c>
      <c r="H160" s="16">
        <v>2013</v>
      </c>
      <c r="I160" s="135" t="s">
        <v>33</v>
      </c>
      <c r="J160" s="135">
        <v>10</v>
      </c>
      <c r="K160" s="136">
        <v>0.73</v>
      </c>
      <c r="L160" s="5" t="s">
        <v>158</v>
      </c>
      <c r="M160" s="5" t="s">
        <v>158</v>
      </c>
      <c r="N160" s="5" t="s">
        <v>158</v>
      </c>
      <c r="O160" s="5" t="s">
        <v>158</v>
      </c>
      <c r="P160" s="5" t="s">
        <v>158</v>
      </c>
      <c r="Q160" s="5" t="s">
        <v>158</v>
      </c>
      <c r="R160" s="5" t="s">
        <v>158</v>
      </c>
      <c r="S160" s="5" t="s">
        <v>158</v>
      </c>
      <c r="T160" s="5" t="s">
        <v>158</v>
      </c>
      <c r="U160" s="17" t="s">
        <v>158</v>
      </c>
      <c r="V160" s="5" t="s">
        <v>158</v>
      </c>
      <c r="W160" s="5" t="s">
        <v>158</v>
      </c>
      <c r="X160" s="5" t="s">
        <v>158</v>
      </c>
      <c r="Y160" s="5" t="s">
        <v>158</v>
      </c>
      <c r="Z160" s="5" t="s">
        <v>158</v>
      </c>
      <c r="AA160" s="5" t="s">
        <v>158</v>
      </c>
      <c r="AB160" s="5" t="s">
        <v>158</v>
      </c>
      <c r="AC160" s="5" t="s">
        <v>158</v>
      </c>
      <c r="AD160" s="5" t="s">
        <v>158</v>
      </c>
      <c r="AE160" s="17" t="s">
        <v>158</v>
      </c>
      <c r="AF160" s="5" t="s">
        <v>158</v>
      </c>
      <c r="AG160" s="18" t="s">
        <v>158</v>
      </c>
      <c r="AH160" s="31">
        <f t="shared" si="121"/>
        <v>19.148936170212764</v>
      </c>
      <c r="AI160" s="30" t="s">
        <v>158</v>
      </c>
      <c r="AJ160" s="30" t="s">
        <v>158</v>
      </c>
      <c r="AK160" s="30" t="s">
        <v>158</v>
      </c>
      <c r="AL160" s="30" t="s">
        <v>158</v>
      </c>
      <c r="AM160" s="30" t="s">
        <v>158</v>
      </c>
      <c r="AN160" s="30" t="s">
        <v>158</v>
      </c>
      <c r="AO160" s="30" t="s">
        <v>158</v>
      </c>
      <c r="AP160" s="30" t="s">
        <v>158</v>
      </c>
      <c r="AQ160" s="30" t="s">
        <v>158</v>
      </c>
      <c r="AR160" s="30" t="s">
        <v>158</v>
      </c>
      <c r="AS160" s="5" t="s">
        <v>158</v>
      </c>
      <c r="AT160" s="5" t="s">
        <v>158</v>
      </c>
      <c r="AU160" s="5" t="s">
        <v>158</v>
      </c>
      <c r="AV160" s="5" t="s">
        <v>158</v>
      </c>
      <c r="AW160" s="5" t="s">
        <v>158</v>
      </c>
      <c r="BC160" s="30">
        <v>360</v>
      </c>
      <c r="BD160" s="30" t="s">
        <v>160</v>
      </c>
      <c r="BE160" s="30" t="s">
        <v>160</v>
      </c>
      <c r="BF160" s="30" t="s">
        <v>160</v>
      </c>
      <c r="BG160" s="17" t="s">
        <v>158</v>
      </c>
      <c r="BH160" s="17" t="s">
        <v>158</v>
      </c>
      <c r="BI160" s="17" t="s">
        <v>158</v>
      </c>
      <c r="BJ160" s="17" t="s">
        <v>158</v>
      </c>
      <c r="BK160" s="17" t="s">
        <v>158</v>
      </c>
      <c r="BL160" s="17" t="s">
        <v>158</v>
      </c>
      <c r="BM160" s="17" t="s">
        <v>158</v>
      </c>
      <c r="BN160" s="5" t="s">
        <v>158</v>
      </c>
      <c r="BO160" s="5" t="s">
        <v>158</v>
      </c>
      <c r="BP160" s="5" t="s">
        <v>158</v>
      </c>
      <c r="BQ160" s="5" t="s">
        <v>158</v>
      </c>
      <c r="BR160" s="5" t="s">
        <v>158</v>
      </c>
      <c r="BS160" s="5" t="s">
        <v>158</v>
      </c>
      <c r="BT160" s="5" t="s">
        <v>158</v>
      </c>
      <c r="BU160" s="5" t="s">
        <v>158</v>
      </c>
      <c r="BV160" s="5" t="s">
        <v>158</v>
      </c>
      <c r="BW160" s="5" t="s">
        <v>158</v>
      </c>
      <c r="BX160" s="5" t="s">
        <v>158</v>
      </c>
      <c r="BY160" s="5" t="s">
        <v>158</v>
      </c>
      <c r="BZ160" s="5" t="s">
        <v>158</v>
      </c>
      <c r="CA160" s="5" t="s">
        <v>158</v>
      </c>
      <c r="CB160" s="5" t="s">
        <v>158</v>
      </c>
      <c r="CC160" s="5" t="s">
        <v>158</v>
      </c>
      <c r="CD160" s="5" t="s">
        <v>158</v>
      </c>
      <c r="CE160" s="5" t="s">
        <v>158</v>
      </c>
      <c r="CF160" s="5" t="s">
        <v>158</v>
      </c>
      <c r="CG160" s="5" t="s">
        <v>158</v>
      </c>
      <c r="CH160" s="5" t="s">
        <v>158</v>
      </c>
      <c r="CI160" s="61">
        <v>61.560161717595648</v>
      </c>
      <c r="CJ160" s="61">
        <v>340</v>
      </c>
      <c r="CK160" s="61">
        <v>1400</v>
      </c>
      <c r="CL160" s="61">
        <v>940</v>
      </c>
      <c r="CM160" s="61">
        <v>2100</v>
      </c>
      <c r="CN160" s="61">
        <v>1900</v>
      </c>
      <c r="CO160" s="61">
        <v>630</v>
      </c>
      <c r="CP160" s="61">
        <v>7400</v>
      </c>
      <c r="CQ160" s="62">
        <v>18.704234802340103</v>
      </c>
      <c r="CR160" s="63">
        <v>6.8320857661242291</v>
      </c>
      <c r="CS160" s="63">
        <v>5.3088666444965327</v>
      </c>
      <c r="CT160" s="63">
        <v>5.4840794016211065</v>
      </c>
      <c r="CU160" s="63">
        <v>3.0185331016054282</v>
      </c>
      <c r="CV160" s="63">
        <v>7.1232894217295248</v>
      </c>
      <c r="CW160" s="62">
        <f>0.5*64</f>
        <v>32</v>
      </c>
      <c r="CX160" s="62">
        <v>46</v>
      </c>
      <c r="CY160" s="68">
        <f>0.5*38</f>
        <v>19</v>
      </c>
    </row>
    <row r="161" spans="1:103" x14ac:dyDescent="0.2">
      <c r="A161" s="37" t="s">
        <v>112</v>
      </c>
      <c r="B161" s="59" t="s">
        <v>24</v>
      </c>
      <c r="C161" s="25" t="s">
        <v>20</v>
      </c>
      <c r="D161" s="25" t="s">
        <v>125</v>
      </c>
      <c r="G161" s="28">
        <v>41146</v>
      </c>
      <c r="H161" s="16">
        <v>2012</v>
      </c>
      <c r="I161" s="135" t="s">
        <v>33</v>
      </c>
      <c r="J161" s="135">
        <v>10</v>
      </c>
      <c r="K161" s="136">
        <v>3.3</v>
      </c>
      <c r="L161" s="5" t="s">
        <v>158</v>
      </c>
      <c r="M161" s="38">
        <f>0.5*0.22</f>
        <v>0.11</v>
      </c>
      <c r="N161" s="38">
        <v>0.25</v>
      </c>
      <c r="O161" s="38">
        <v>0.51</v>
      </c>
      <c r="P161" s="38">
        <v>0.44</v>
      </c>
      <c r="Q161" s="38">
        <v>0.71</v>
      </c>
      <c r="R161" s="38">
        <v>0.56999999999999995</v>
      </c>
      <c r="S161" s="39">
        <v>0.27</v>
      </c>
      <c r="T161" s="30">
        <f t="shared" ref="T161:T167" si="122">SUM(M161:S161)</f>
        <v>2.86</v>
      </c>
      <c r="U161" s="17">
        <f t="shared" si="78"/>
        <v>3.6666666666666665</v>
      </c>
      <c r="V161" s="39">
        <f>0.5*0.0014</f>
        <v>6.9999999999999999E-4</v>
      </c>
      <c r="W161" s="39">
        <f>0.5*0.012</f>
        <v>6.0000000000000001E-3</v>
      </c>
      <c r="X161" s="39">
        <f>0.5*0.0034</f>
        <v>1.6999999999999999E-3</v>
      </c>
      <c r="Y161" s="39">
        <f>0.5*0.0044</f>
        <v>2.2000000000000001E-3</v>
      </c>
      <c r="Z161" s="30" t="s">
        <v>158</v>
      </c>
      <c r="AA161" s="39">
        <f>0.5*0.0016</f>
        <v>8.0000000000000004E-4</v>
      </c>
      <c r="AB161" s="39">
        <f>0.5*0.0054</f>
        <v>2.7000000000000001E-3</v>
      </c>
      <c r="AC161" s="39">
        <f>0.5*0.044</f>
        <v>2.1999999999999999E-2</v>
      </c>
      <c r="AD161" s="5" t="s">
        <v>158</v>
      </c>
      <c r="AE161" s="17">
        <f>SUM(V161,W161,Y161,X161,AB161,AA161)</f>
        <v>1.41E-2</v>
      </c>
      <c r="AF161" s="38">
        <f>0.5*0.5</f>
        <v>0.25</v>
      </c>
      <c r="AG161" s="18" t="s">
        <v>158</v>
      </c>
      <c r="AH161" s="31">
        <f t="shared" si="121"/>
        <v>7.4468085106382977</v>
      </c>
      <c r="AI161" s="31" t="s">
        <v>158</v>
      </c>
      <c r="AJ161" s="31" t="s">
        <v>158</v>
      </c>
      <c r="AK161" s="31" t="s">
        <v>158</v>
      </c>
      <c r="AL161" s="31" t="s">
        <v>158</v>
      </c>
      <c r="AM161" s="31" t="s">
        <v>158</v>
      </c>
      <c r="AN161" s="31">
        <f>BI161/18.8</f>
        <v>0.36170212765957444</v>
      </c>
      <c r="AO161" s="31">
        <f>BJ161/18.8</f>
        <v>7.4468085106382975E-2</v>
      </c>
      <c r="AP161" s="31" t="s">
        <v>158</v>
      </c>
      <c r="AQ161" s="31">
        <f>BL161/18.8</f>
        <v>0.63829787234042545</v>
      </c>
      <c r="AR161" s="31">
        <f>BM161/18.8</f>
        <v>0.53191489361702127</v>
      </c>
      <c r="AS161" s="5" t="s">
        <v>158</v>
      </c>
      <c r="AT161" s="5" t="s">
        <v>158</v>
      </c>
      <c r="AU161" s="5" t="s">
        <v>158</v>
      </c>
      <c r="AV161" s="5" t="s">
        <v>158</v>
      </c>
      <c r="AW161" s="5" t="s">
        <v>158</v>
      </c>
      <c r="BC161" s="38">
        <v>140</v>
      </c>
      <c r="BD161" s="38">
        <f>0.5*10</f>
        <v>5</v>
      </c>
      <c r="BE161" s="38">
        <f>0.5*2</f>
        <v>1</v>
      </c>
      <c r="BF161" s="38">
        <f t="shared" ref="BF161:BF167" si="123">0.5*1</f>
        <v>0.5</v>
      </c>
      <c r="BG161" s="38">
        <f>0.5*35</f>
        <v>17.5</v>
      </c>
      <c r="BH161" s="38">
        <f>0.5*10</f>
        <v>5</v>
      </c>
      <c r="BI161" s="38">
        <v>6.8</v>
      </c>
      <c r="BJ161" s="38">
        <v>1.4</v>
      </c>
      <c r="BK161" s="38">
        <f t="shared" ref="BK161:BK167" si="124">0.5*10</f>
        <v>5</v>
      </c>
      <c r="BL161" s="38">
        <v>12</v>
      </c>
      <c r="BM161" s="38">
        <v>10</v>
      </c>
      <c r="BN161" s="5" t="s">
        <v>158</v>
      </c>
      <c r="BO161" s="5" t="s">
        <v>158</v>
      </c>
      <c r="BP161" s="5" t="s">
        <v>158</v>
      </c>
      <c r="BQ161" s="5" t="s">
        <v>158</v>
      </c>
      <c r="BR161" s="5" t="s">
        <v>158</v>
      </c>
      <c r="BS161" s="5" t="s">
        <v>158</v>
      </c>
      <c r="BT161" s="5" t="s">
        <v>158</v>
      </c>
      <c r="BU161" s="5" t="s">
        <v>158</v>
      </c>
      <c r="BV161" s="5" t="s">
        <v>158</v>
      </c>
      <c r="BW161" s="5" t="s">
        <v>158</v>
      </c>
      <c r="BX161" s="5" t="s">
        <v>158</v>
      </c>
      <c r="BY161" s="5" t="s">
        <v>158</v>
      </c>
      <c r="BZ161" s="5" t="s">
        <v>158</v>
      </c>
      <c r="CA161" s="5" t="s">
        <v>158</v>
      </c>
      <c r="CB161" s="5" t="s">
        <v>158</v>
      </c>
      <c r="CC161" s="5" t="s">
        <v>158</v>
      </c>
      <c r="CD161" s="5" t="s">
        <v>158</v>
      </c>
      <c r="CE161" s="5" t="s">
        <v>158</v>
      </c>
      <c r="CF161" s="5" t="s">
        <v>158</v>
      </c>
      <c r="CG161" s="5" t="s">
        <v>158</v>
      </c>
      <c r="CH161" s="5" t="s">
        <v>158</v>
      </c>
      <c r="CI161" s="17" t="s">
        <v>158</v>
      </c>
      <c r="CJ161" s="17" t="s">
        <v>158</v>
      </c>
      <c r="CK161" s="17" t="s">
        <v>158</v>
      </c>
      <c r="CL161" s="17" t="s">
        <v>158</v>
      </c>
      <c r="CM161" s="17" t="s">
        <v>158</v>
      </c>
      <c r="CN161" s="17" t="s">
        <v>158</v>
      </c>
      <c r="CO161" s="17" t="s">
        <v>158</v>
      </c>
      <c r="CP161" s="17" t="s">
        <v>158</v>
      </c>
      <c r="CQ161" s="17" t="s">
        <v>158</v>
      </c>
      <c r="CR161" s="17" t="s">
        <v>158</v>
      </c>
      <c r="CS161" s="17" t="s">
        <v>158</v>
      </c>
      <c r="CT161" s="17" t="s">
        <v>158</v>
      </c>
      <c r="CU161" s="17" t="s">
        <v>158</v>
      </c>
      <c r="CV161" s="17" t="s">
        <v>158</v>
      </c>
      <c r="CW161" s="17" t="s">
        <v>158</v>
      </c>
      <c r="CX161" s="17" t="s">
        <v>158</v>
      </c>
      <c r="CY161" s="67" t="s">
        <v>158</v>
      </c>
    </row>
    <row r="162" spans="1:103" x14ac:dyDescent="0.2">
      <c r="A162" s="37" t="s">
        <v>26</v>
      </c>
      <c r="B162" s="59" t="s">
        <v>26</v>
      </c>
      <c r="C162" s="25" t="s">
        <v>20</v>
      </c>
      <c r="D162" s="25" t="s">
        <v>125</v>
      </c>
      <c r="G162" s="28">
        <v>41155</v>
      </c>
      <c r="H162" s="16">
        <v>2012</v>
      </c>
      <c r="I162" s="135" t="s">
        <v>33</v>
      </c>
      <c r="J162" s="135">
        <v>5</v>
      </c>
      <c r="K162" s="136">
        <v>1.1000000000000001</v>
      </c>
      <c r="L162" s="5" t="s">
        <v>158</v>
      </c>
      <c r="M162" s="38">
        <f>0.5*0.029</f>
        <v>1.4500000000000001E-2</v>
      </c>
      <c r="N162" s="38">
        <f>0.5*0.032</f>
        <v>1.6E-2</v>
      </c>
      <c r="O162" s="38">
        <f>0.5*0.06</f>
        <v>0.03</v>
      </c>
      <c r="P162" s="38">
        <f>0.5*0.055</f>
        <v>2.75E-2</v>
      </c>
      <c r="Q162" s="38">
        <f>0.5*0.16</f>
        <v>0.08</v>
      </c>
      <c r="R162" s="38">
        <f>0.5*0.1</f>
        <v>0.05</v>
      </c>
      <c r="S162" s="39">
        <f>0.5*0.079</f>
        <v>3.95E-2</v>
      </c>
      <c r="T162" s="30">
        <f t="shared" si="122"/>
        <v>0.25749999999999995</v>
      </c>
      <c r="U162" s="17">
        <f t="shared" si="78"/>
        <v>1.0454545454545454</v>
      </c>
      <c r="V162" s="39">
        <f>0.5*0.0003</f>
        <v>1.4999999999999999E-4</v>
      </c>
      <c r="W162" s="39">
        <f>0.5*0.0026</f>
        <v>1.2999999999999999E-3</v>
      </c>
      <c r="X162" s="39">
        <f>0.5*0.00069</f>
        <v>3.4499999999999998E-4</v>
      </c>
      <c r="Y162" s="39">
        <f>0.5*0.0024</f>
        <v>1.1999999999999999E-3</v>
      </c>
      <c r="Z162" s="30" t="s">
        <v>158</v>
      </c>
      <c r="AA162" s="39">
        <f>0.5*0.0006</f>
        <v>2.9999999999999997E-4</v>
      </c>
      <c r="AB162" s="39">
        <f>0.5*0.0021</f>
        <v>1.0499999999999999E-3</v>
      </c>
      <c r="AC162" s="39">
        <f>0.5*0.033</f>
        <v>1.6500000000000001E-2</v>
      </c>
      <c r="AD162" s="5" t="s">
        <v>158</v>
      </c>
      <c r="AE162" s="17">
        <f t="shared" ref="AE162:AE192" si="125">SUM(V162,W162,Y162,X162,AB162,AA162)</f>
        <v>4.344999999999999E-3</v>
      </c>
      <c r="AF162" s="5" t="s">
        <v>158</v>
      </c>
      <c r="AG162" s="18" t="s">
        <v>158</v>
      </c>
      <c r="AH162" s="31">
        <f t="shared" si="121"/>
        <v>5.3191489361702127</v>
      </c>
      <c r="AI162" s="31" t="s">
        <v>158</v>
      </c>
      <c r="AJ162" s="31" t="s">
        <v>158</v>
      </c>
      <c r="AK162" s="31" t="s">
        <v>158</v>
      </c>
      <c r="AL162" s="31" t="s">
        <v>158</v>
      </c>
      <c r="AM162" s="31" t="s">
        <v>158</v>
      </c>
      <c r="AN162" s="31">
        <f t="shared" ref="AN162:AN167" si="126">BI162/18.8</f>
        <v>0.24468085106382975</v>
      </c>
      <c r="AO162" s="31" t="s">
        <v>158</v>
      </c>
      <c r="AP162" s="31" t="s">
        <v>158</v>
      </c>
      <c r="AQ162" s="31">
        <f t="shared" ref="AQ162:AQ167" si="127">BL162/18.8</f>
        <v>0.14893617021276595</v>
      </c>
      <c r="AR162" s="31" t="s">
        <v>158</v>
      </c>
      <c r="AS162" s="5" t="s">
        <v>158</v>
      </c>
      <c r="AT162" s="5" t="s">
        <v>158</v>
      </c>
      <c r="AU162" s="5" t="s">
        <v>158</v>
      </c>
      <c r="AV162" s="5" t="s">
        <v>158</v>
      </c>
      <c r="AW162" s="5" t="s">
        <v>158</v>
      </c>
      <c r="BC162" s="38">
        <v>100</v>
      </c>
      <c r="BD162" s="38">
        <f>0.5*2</f>
        <v>1</v>
      </c>
      <c r="BE162" s="38">
        <f>0.5*5</f>
        <v>2.5</v>
      </c>
      <c r="BF162" s="38">
        <f t="shared" si="123"/>
        <v>0.5</v>
      </c>
      <c r="BG162" s="38">
        <f t="shared" ref="BG162:BG167" si="128">0.5*5</f>
        <v>2.5</v>
      </c>
      <c r="BH162" s="38">
        <f>0.5*1</f>
        <v>0.5</v>
      </c>
      <c r="BI162" s="38">
        <v>4.5999999999999996</v>
      </c>
      <c r="BJ162" s="38">
        <f>0.5*1</f>
        <v>0.5</v>
      </c>
      <c r="BK162" s="38">
        <f t="shared" si="124"/>
        <v>5</v>
      </c>
      <c r="BL162" s="38">
        <v>2.8</v>
      </c>
      <c r="BM162" s="38">
        <f>0.5*2</f>
        <v>1</v>
      </c>
      <c r="BN162" s="5" t="s">
        <v>158</v>
      </c>
      <c r="BO162" s="5" t="s">
        <v>158</v>
      </c>
      <c r="BP162" s="5" t="s">
        <v>158</v>
      </c>
      <c r="BQ162" s="5" t="s">
        <v>158</v>
      </c>
      <c r="BR162" s="5" t="s">
        <v>158</v>
      </c>
      <c r="BS162" s="5" t="s">
        <v>158</v>
      </c>
      <c r="BT162" s="5" t="s">
        <v>158</v>
      </c>
      <c r="BU162" s="5" t="s">
        <v>158</v>
      </c>
      <c r="BV162" s="5" t="s">
        <v>158</v>
      </c>
      <c r="BW162" s="5" t="s">
        <v>158</v>
      </c>
      <c r="BX162" s="5" t="s">
        <v>158</v>
      </c>
      <c r="BY162" s="5" t="s">
        <v>158</v>
      </c>
      <c r="BZ162" s="5" t="s">
        <v>158</v>
      </c>
      <c r="CA162" s="5" t="s">
        <v>158</v>
      </c>
      <c r="CB162" s="5" t="s">
        <v>158</v>
      </c>
      <c r="CC162" s="5" t="s">
        <v>158</v>
      </c>
      <c r="CD162" s="5" t="s">
        <v>158</v>
      </c>
      <c r="CE162" s="5" t="s">
        <v>158</v>
      </c>
      <c r="CF162" s="5" t="s">
        <v>158</v>
      </c>
      <c r="CG162" s="5" t="s">
        <v>158</v>
      </c>
      <c r="CH162" s="5" t="s">
        <v>158</v>
      </c>
      <c r="CI162" s="17" t="s">
        <v>158</v>
      </c>
      <c r="CJ162" s="17" t="s">
        <v>158</v>
      </c>
      <c r="CK162" s="17" t="s">
        <v>158</v>
      </c>
      <c r="CL162" s="17" t="s">
        <v>158</v>
      </c>
      <c r="CM162" s="17" t="s">
        <v>158</v>
      </c>
      <c r="CN162" s="17" t="s">
        <v>158</v>
      </c>
      <c r="CO162" s="17" t="s">
        <v>158</v>
      </c>
      <c r="CP162" s="17" t="s">
        <v>158</v>
      </c>
      <c r="CQ162" s="17" t="s">
        <v>158</v>
      </c>
      <c r="CR162" s="17" t="s">
        <v>158</v>
      </c>
      <c r="CS162" s="17" t="s">
        <v>158</v>
      </c>
      <c r="CT162" s="17" t="s">
        <v>158</v>
      </c>
      <c r="CU162" s="17" t="s">
        <v>158</v>
      </c>
      <c r="CV162" s="17" t="s">
        <v>158</v>
      </c>
      <c r="CW162" s="17" t="s">
        <v>158</v>
      </c>
      <c r="CX162" s="17" t="s">
        <v>158</v>
      </c>
      <c r="CY162" s="67" t="s">
        <v>158</v>
      </c>
    </row>
    <row r="163" spans="1:103" x14ac:dyDescent="0.2">
      <c r="A163" s="37" t="s">
        <v>7</v>
      </c>
      <c r="B163" s="59" t="s">
        <v>7</v>
      </c>
      <c r="C163" s="25" t="s">
        <v>20</v>
      </c>
      <c r="D163" s="25" t="s">
        <v>125</v>
      </c>
      <c r="G163" s="28">
        <v>41128</v>
      </c>
      <c r="H163" s="16">
        <v>2012</v>
      </c>
      <c r="I163" s="135" t="s">
        <v>33</v>
      </c>
      <c r="J163" s="135">
        <v>6</v>
      </c>
      <c r="K163" s="136">
        <v>1.4</v>
      </c>
      <c r="L163" s="5" t="s">
        <v>158</v>
      </c>
      <c r="M163" s="38">
        <f>0.5*0.035</f>
        <v>1.7500000000000002E-2</v>
      </c>
      <c r="N163" s="38">
        <f>0.5*0.056</f>
        <v>2.8000000000000001E-2</v>
      </c>
      <c r="O163" s="38">
        <f>0.5*0.12</f>
        <v>0.06</v>
      </c>
      <c r="P163" s="38">
        <f>0.5*0.1</f>
        <v>0.05</v>
      </c>
      <c r="Q163" s="38">
        <f>0.5*0.29</f>
        <v>0.14499999999999999</v>
      </c>
      <c r="R163" s="38">
        <f>0.5*0.2</f>
        <v>0.1</v>
      </c>
      <c r="S163" s="39">
        <f>0.5*0.12</f>
        <v>0.06</v>
      </c>
      <c r="T163" s="30">
        <f t="shared" si="122"/>
        <v>0.46049999999999996</v>
      </c>
      <c r="U163" s="17">
        <f t="shared" si="78"/>
        <v>1.4660714285714287</v>
      </c>
      <c r="V163" s="39">
        <f>0.5*0.00043</f>
        <v>2.1499999999999999E-4</v>
      </c>
      <c r="W163" s="39">
        <f>0.5*0.0046</f>
        <v>2.3E-3</v>
      </c>
      <c r="X163" s="39">
        <f>0.5*0.0023</f>
        <v>1.15E-3</v>
      </c>
      <c r="Y163" s="39">
        <f>0.5*0.0029</f>
        <v>1.4499999999999999E-3</v>
      </c>
      <c r="Z163" s="30" t="s">
        <v>158</v>
      </c>
      <c r="AA163" s="39">
        <f>0.5*0.0015</f>
        <v>7.5000000000000002E-4</v>
      </c>
      <c r="AB163" s="39">
        <f>0.5*0.0034</f>
        <v>1.6999999999999999E-3</v>
      </c>
      <c r="AC163" s="39">
        <f>0.5*0.042</f>
        <v>2.1000000000000001E-2</v>
      </c>
      <c r="AD163" s="5" t="s">
        <v>158</v>
      </c>
      <c r="AE163" s="17">
        <f t="shared" si="125"/>
        <v>7.5649999999999997E-3</v>
      </c>
      <c r="AF163" s="5" t="s">
        <v>158</v>
      </c>
      <c r="AG163" s="18" t="s">
        <v>158</v>
      </c>
      <c r="AH163" s="31">
        <f t="shared" si="121"/>
        <v>8.5106382978723403</v>
      </c>
      <c r="AI163" s="31" t="s">
        <v>158</v>
      </c>
      <c r="AJ163" s="31" t="s">
        <v>158</v>
      </c>
      <c r="AK163" s="31" t="s">
        <v>158</v>
      </c>
      <c r="AL163" s="31" t="s">
        <v>158</v>
      </c>
      <c r="AM163" s="31" t="s">
        <v>158</v>
      </c>
      <c r="AN163" s="31">
        <f t="shared" si="126"/>
        <v>1.0638297872340425</v>
      </c>
      <c r="AO163" s="31">
        <f>BJ163/18.8</f>
        <v>0.53191489361702127</v>
      </c>
      <c r="AP163" s="31" t="s">
        <v>158</v>
      </c>
      <c r="AQ163" s="31">
        <f t="shared" si="127"/>
        <v>0.63829787234042545</v>
      </c>
      <c r="AR163" s="31">
        <f>BM163/18.8</f>
        <v>0.85106382978723405</v>
      </c>
      <c r="AS163" s="5" t="s">
        <v>158</v>
      </c>
      <c r="AT163" s="5" t="s">
        <v>158</v>
      </c>
      <c r="AU163" s="5" t="s">
        <v>158</v>
      </c>
      <c r="AV163" s="5" t="s">
        <v>158</v>
      </c>
      <c r="AW163" s="5" t="s">
        <v>158</v>
      </c>
      <c r="BC163" s="38">
        <v>160</v>
      </c>
      <c r="BD163" s="38">
        <f>0.5*1</f>
        <v>0.5</v>
      </c>
      <c r="BE163" s="38">
        <f>0.5*2</f>
        <v>1</v>
      </c>
      <c r="BF163" s="38">
        <f t="shared" si="123"/>
        <v>0.5</v>
      </c>
      <c r="BG163" s="38">
        <f t="shared" si="128"/>
        <v>2.5</v>
      </c>
      <c r="BH163" s="38">
        <f>0.5*1</f>
        <v>0.5</v>
      </c>
      <c r="BI163" s="38">
        <v>20</v>
      </c>
      <c r="BJ163" s="38">
        <v>10</v>
      </c>
      <c r="BK163" s="38">
        <f t="shared" si="124"/>
        <v>5</v>
      </c>
      <c r="BL163" s="38">
        <v>12</v>
      </c>
      <c r="BM163" s="38">
        <v>16</v>
      </c>
      <c r="BN163" s="5" t="s">
        <v>158</v>
      </c>
      <c r="BO163" s="5" t="s">
        <v>158</v>
      </c>
      <c r="BP163" s="5" t="s">
        <v>158</v>
      </c>
      <c r="BQ163" s="5" t="s">
        <v>158</v>
      </c>
      <c r="BR163" s="5" t="s">
        <v>158</v>
      </c>
      <c r="BS163" s="5" t="s">
        <v>158</v>
      </c>
      <c r="BT163" s="5" t="s">
        <v>158</v>
      </c>
      <c r="BU163" s="5" t="s">
        <v>158</v>
      </c>
      <c r="BV163" s="5" t="s">
        <v>158</v>
      </c>
      <c r="BW163" s="5" t="s">
        <v>158</v>
      </c>
      <c r="BX163" s="5" t="s">
        <v>158</v>
      </c>
      <c r="BY163" s="5" t="s">
        <v>158</v>
      </c>
      <c r="BZ163" s="5" t="s">
        <v>158</v>
      </c>
      <c r="CA163" s="5" t="s">
        <v>158</v>
      </c>
      <c r="CB163" s="5" t="s">
        <v>158</v>
      </c>
      <c r="CC163" s="5" t="s">
        <v>158</v>
      </c>
      <c r="CD163" s="5" t="s">
        <v>158</v>
      </c>
      <c r="CE163" s="5" t="s">
        <v>158</v>
      </c>
      <c r="CF163" s="5" t="s">
        <v>158</v>
      </c>
      <c r="CG163" s="5" t="s">
        <v>158</v>
      </c>
      <c r="CH163" s="5" t="s">
        <v>158</v>
      </c>
      <c r="CI163" s="17" t="s">
        <v>158</v>
      </c>
      <c r="CJ163" s="17" t="s">
        <v>158</v>
      </c>
      <c r="CK163" s="17" t="s">
        <v>158</v>
      </c>
      <c r="CL163" s="17" t="s">
        <v>158</v>
      </c>
      <c r="CM163" s="17" t="s">
        <v>158</v>
      </c>
      <c r="CN163" s="17" t="s">
        <v>158</v>
      </c>
      <c r="CO163" s="17" t="s">
        <v>158</v>
      </c>
      <c r="CP163" s="17" t="s">
        <v>158</v>
      </c>
      <c r="CQ163" s="17" t="s">
        <v>158</v>
      </c>
      <c r="CR163" s="17" t="s">
        <v>158</v>
      </c>
      <c r="CS163" s="17" t="s">
        <v>158</v>
      </c>
      <c r="CT163" s="17" t="s">
        <v>158</v>
      </c>
      <c r="CU163" s="17" t="s">
        <v>158</v>
      </c>
      <c r="CV163" s="17" t="s">
        <v>158</v>
      </c>
      <c r="CW163" s="17" t="s">
        <v>158</v>
      </c>
      <c r="CX163" s="17" t="s">
        <v>158</v>
      </c>
      <c r="CY163" s="67" t="s">
        <v>158</v>
      </c>
    </row>
    <row r="164" spans="1:103" x14ac:dyDescent="0.2">
      <c r="A164" s="37" t="s">
        <v>22</v>
      </c>
      <c r="B164" s="59" t="s">
        <v>22</v>
      </c>
      <c r="C164" s="25" t="s">
        <v>20</v>
      </c>
      <c r="D164" s="25" t="s">
        <v>125</v>
      </c>
      <c r="G164" s="28">
        <v>41127</v>
      </c>
      <c r="H164" s="16">
        <v>2012</v>
      </c>
      <c r="I164" s="135" t="s">
        <v>33</v>
      </c>
      <c r="J164" s="135">
        <v>6</v>
      </c>
      <c r="K164" s="136">
        <v>1.2</v>
      </c>
      <c r="L164" s="5" t="s">
        <v>158</v>
      </c>
      <c r="M164" s="38">
        <f>0.5*0.46</f>
        <v>0.23</v>
      </c>
      <c r="N164" s="38">
        <v>0.74</v>
      </c>
      <c r="O164" s="38">
        <v>1.2</v>
      </c>
      <c r="P164" s="38">
        <v>0.83</v>
      </c>
      <c r="Q164" s="38">
        <v>1.7</v>
      </c>
      <c r="R164" s="38">
        <v>1.1000000000000001</v>
      </c>
      <c r="S164" s="39">
        <v>0.62</v>
      </c>
      <c r="T164" s="30">
        <f t="shared" si="122"/>
        <v>6.4200000000000008</v>
      </c>
      <c r="U164" s="17">
        <f t="shared" si="78"/>
        <v>23.291666666666671</v>
      </c>
      <c r="V164" s="39">
        <f>0.5*0.00073</f>
        <v>3.6499999999999998E-4</v>
      </c>
      <c r="W164" s="39">
        <v>3.1E-2</v>
      </c>
      <c r="X164" s="39">
        <v>9.4000000000000004E-3</v>
      </c>
      <c r="Y164" s="39">
        <v>0.03</v>
      </c>
      <c r="Z164" s="30" t="s">
        <v>158</v>
      </c>
      <c r="AA164" s="39">
        <v>4.1000000000000003E-3</v>
      </c>
      <c r="AB164" s="39">
        <f>0.5*0.004</f>
        <v>2E-3</v>
      </c>
      <c r="AC164" s="39">
        <f>0.5*0.026</f>
        <v>1.2999999999999999E-2</v>
      </c>
      <c r="AD164" s="5" t="s">
        <v>158</v>
      </c>
      <c r="AE164" s="17">
        <f t="shared" si="125"/>
        <v>7.6865000000000003E-2</v>
      </c>
      <c r="AF164" s="5" t="s">
        <v>158</v>
      </c>
      <c r="AG164" s="18" t="s">
        <v>158</v>
      </c>
      <c r="AH164" s="31">
        <f t="shared" si="121"/>
        <v>19.148936170212764</v>
      </c>
      <c r="AI164" s="31" t="s">
        <v>158</v>
      </c>
      <c r="AJ164" s="31" t="s">
        <v>158</v>
      </c>
      <c r="AK164" s="31" t="s">
        <v>158</v>
      </c>
      <c r="AL164" s="31" t="s">
        <v>158</v>
      </c>
      <c r="AM164" s="31" t="s">
        <v>158</v>
      </c>
      <c r="AN164" s="31">
        <f t="shared" si="126"/>
        <v>0.30319148936170215</v>
      </c>
      <c r="AO164" s="31">
        <f>BJ164/18.8</f>
        <v>0.12234042553191488</v>
      </c>
      <c r="AP164" s="31" t="s">
        <v>158</v>
      </c>
      <c r="AQ164" s="31">
        <f t="shared" si="127"/>
        <v>0.30851063829787234</v>
      </c>
      <c r="AR164" s="31">
        <f>BM164/18.8</f>
        <v>0.63829787234042545</v>
      </c>
      <c r="AS164" s="5" t="s">
        <v>158</v>
      </c>
      <c r="AT164" s="5" t="s">
        <v>158</v>
      </c>
      <c r="AU164" s="5" t="s">
        <v>158</v>
      </c>
      <c r="AV164" s="5" t="s">
        <v>158</v>
      </c>
      <c r="AW164" s="5" t="s">
        <v>158</v>
      </c>
      <c r="BC164" s="38">
        <v>360</v>
      </c>
      <c r="BD164" s="38">
        <f>0.5*4</f>
        <v>2</v>
      </c>
      <c r="BE164" s="38">
        <f>0.5*2</f>
        <v>1</v>
      </c>
      <c r="BF164" s="38">
        <f t="shared" si="123"/>
        <v>0.5</v>
      </c>
      <c r="BG164" s="38">
        <f t="shared" si="128"/>
        <v>2.5</v>
      </c>
      <c r="BH164" s="38">
        <f>0.5*1</f>
        <v>0.5</v>
      </c>
      <c r="BI164" s="38">
        <v>5.7</v>
      </c>
      <c r="BJ164" s="38">
        <v>2.2999999999999998</v>
      </c>
      <c r="BK164" s="38">
        <f t="shared" si="124"/>
        <v>5</v>
      </c>
      <c r="BL164" s="38">
        <v>5.8</v>
      </c>
      <c r="BM164" s="38">
        <v>12</v>
      </c>
      <c r="BN164" s="5" t="s">
        <v>158</v>
      </c>
      <c r="BO164" s="5" t="s">
        <v>158</v>
      </c>
      <c r="BP164" s="5" t="s">
        <v>158</v>
      </c>
      <c r="BQ164" s="5" t="s">
        <v>158</v>
      </c>
      <c r="BR164" s="5" t="s">
        <v>158</v>
      </c>
      <c r="BS164" s="5" t="s">
        <v>158</v>
      </c>
      <c r="BT164" s="5" t="s">
        <v>158</v>
      </c>
      <c r="BU164" s="5" t="s">
        <v>158</v>
      </c>
      <c r="BV164" s="5" t="s">
        <v>158</v>
      </c>
      <c r="BW164" s="5" t="s">
        <v>158</v>
      </c>
      <c r="BX164" s="5" t="s">
        <v>158</v>
      </c>
      <c r="BY164" s="5" t="s">
        <v>158</v>
      </c>
      <c r="BZ164" s="5" t="s">
        <v>158</v>
      </c>
      <c r="CA164" s="5" t="s">
        <v>158</v>
      </c>
      <c r="CB164" s="5" t="s">
        <v>158</v>
      </c>
      <c r="CC164" s="5" t="s">
        <v>158</v>
      </c>
      <c r="CD164" s="5" t="s">
        <v>158</v>
      </c>
      <c r="CE164" s="5" t="s">
        <v>158</v>
      </c>
      <c r="CF164" s="5" t="s">
        <v>158</v>
      </c>
      <c r="CG164" s="5" t="s">
        <v>158</v>
      </c>
      <c r="CH164" s="5" t="s">
        <v>158</v>
      </c>
      <c r="CI164" s="17" t="s">
        <v>158</v>
      </c>
      <c r="CJ164" s="17" t="s">
        <v>158</v>
      </c>
      <c r="CK164" s="17" t="s">
        <v>158</v>
      </c>
      <c r="CL164" s="17" t="s">
        <v>158</v>
      </c>
      <c r="CM164" s="17" t="s">
        <v>158</v>
      </c>
      <c r="CN164" s="17" t="s">
        <v>158</v>
      </c>
      <c r="CO164" s="17" t="s">
        <v>158</v>
      </c>
      <c r="CP164" s="17" t="s">
        <v>158</v>
      </c>
      <c r="CQ164" s="17" t="s">
        <v>158</v>
      </c>
      <c r="CR164" s="17" t="s">
        <v>158</v>
      </c>
      <c r="CS164" s="17" t="s">
        <v>158</v>
      </c>
      <c r="CT164" s="17" t="s">
        <v>158</v>
      </c>
      <c r="CU164" s="17" t="s">
        <v>158</v>
      </c>
      <c r="CV164" s="17" t="s">
        <v>158</v>
      </c>
      <c r="CW164" s="17" t="s">
        <v>158</v>
      </c>
      <c r="CX164" s="17" t="s">
        <v>158</v>
      </c>
      <c r="CY164" s="67" t="s">
        <v>158</v>
      </c>
    </row>
    <row r="165" spans="1:103" x14ac:dyDescent="0.2">
      <c r="A165" s="37" t="s">
        <v>22</v>
      </c>
      <c r="B165" s="59" t="s">
        <v>22</v>
      </c>
      <c r="C165" s="25" t="s">
        <v>20</v>
      </c>
      <c r="D165" s="25" t="s">
        <v>125</v>
      </c>
      <c r="G165" s="28">
        <v>40839</v>
      </c>
      <c r="H165" s="16">
        <v>2011</v>
      </c>
      <c r="I165" s="135" t="s">
        <v>33</v>
      </c>
      <c r="J165" s="135">
        <v>10</v>
      </c>
      <c r="K165" s="136">
        <v>1.2</v>
      </c>
      <c r="L165" s="5" t="s">
        <v>158</v>
      </c>
      <c r="M165" s="38">
        <f>0.5*0.39</f>
        <v>0.19500000000000001</v>
      </c>
      <c r="N165" s="38">
        <v>0.81</v>
      </c>
      <c r="O165" s="38">
        <v>1.7</v>
      </c>
      <c r="P165" s="38">
        <v>1.3</v>
      </c>
      <c r="Q165" s="38">
        <v>2.7</v>
      </c>
      <c r="R165" s="38">
        <v>1.7</v>
      </c>
      <c r="S165" s="39">
        <v>0.96</v>
      </c>
      <c r="T165" s="30">
        <f t="shared" si="122"/>
        <v>9.3649999999999984</v>
      </c>
      <c r="U165" s="17">
        <f t="shared" si="78"/>
        <v>33.604166666666671</v>
      </c>
      <c r="V165" s="39">
        <v>1.5E-3</v>
      </c>
      <c r="W165" s="39">
        <v>6.6000000000000003E-2</v>
      </c>
      <c r="X165" s="39">
        <v>1.7000000000000001E-2</v>
      </c>
      <c r="Y165" s="39">
        <v>2.3E-2</v>
      </c>
      <c r="Z165" s="30" t="s">
        <v>158</v>
      </c>
      <c r="AA165" s="39">
        <v>7.0000000000000001E-3</v>
      </c>
      <c r="AB165" s="39">
        <f>0.5*0.0027</f>
        <v>1.3500000000000001E-3</v>
      </c>
      <c r="AC165" s="39">
        <f>0.5*0.042</f>
        <v>2.1000000000000001E-2</v>
      </c>
      <c r="AD165" s="5" t="s">
        <v>158</v>
      </c>
      <c r="AE165" s="17">
        <f t="shared" si="125"/>
        <v>0.11585000000000001</v>
      </c>
      <c r="AF165" s="38">
        <f>0.5*0.5</f>
        <v>0.25</v>
      </c>
      <c r="AG165" s="18" t="s">
        <v>158</v>
      </c>
      <c r="AH165" s="31">
        <f t="shared" si="121"/>
        <v>12.76595744680851</v>
      </c>
      <c r="AI165" s="31" t="s">
        <v>158</v>
      </c>
      <c r="AJ165" s="31" t="s">
        <v>158</v>
      </c>
      <c r="AK165" s="31" t="s">
        <v>158</v>
      </c>
      <c r="AL165" s="31" t="s">
        <v>158</v>
      </c>
      <c r="AM165" s="31">
        <f>BH165/18.8</f>
        <v>0.14361702127659576</v>
      </c>
      <c r="AN165" s="31">
        <f t="shared" si="126"/>
        <v>0.52659574468085102</v>
      </c>
      <c r="AO165" s="31">
        <f>BJ165/18.8</f>
        <v>0.13297872340425532</v>
      </c>
      <c r="AP165" s="31" t="s">
        <v>158</v>
      </c>
      <c r="AQ165" s="31">
        <f t="shared" si="127"/>
        <v>0.53191489361702127</v>
      </c>
      <c r="AR165" s="31">
        <f>BM165/18.8</f>
        <v>0.45744680851063824</v>
      </c>
      <c r="AS165" s="5" t="s">
        <v>158</v>
      </c>
      <c r="AT165" s="5" t="s">
        <v>158</v>
      </c>
      <c r="AU165" s="5" t="s">
        <v>158</v>
      </c>
      <c r="AV165" s="5" t="s">
        <v>158</v>
      </c>
      <c r="AW165" s="5" t="s">
        <v>158</v>
      </c>
      <c r="BC165" s="38">
        <v>240</v>
      </c>
      <c r="BD165" s="38">
        <f>0.5*1</f>
        <v>0.5</v>
      </c>
      <c r="BE165" s="38">
        <f>0.5*2</f>
        <v>1</v>
      </c>
      <c r="BF165" s="38">
        <f t="shared" si="123"/>
        <v>0.5</v>
      </c>
      <c r="BG165" s="38">
        <f t="shared" si="128"/>
        <v>2.5</v>
      </c>
      <c r="BH165" s="38">
        <v>2.7</v>
      </c>
      <c r="BI165" s="38">
        <v>9.9</v>
      </c>
      <c r="BJ165" s="38">
        <v>2.5</v>
      </c>
      <c r="BK165" s="38">
        <f t="shared" si="124"/>
        <v>5</v>
      </c>
      <c r="BL165" s="38">
        <v>10</v>
      </c>
      <c r="BM165" s="38">
        <v>8.6</v>
      </c>
      <c r="BN165" s="5" t="s">
        <v>158</v>
      </c>
      <c r="BO165" s="5" t="s">
        <v>158</v>
      </c>
      <c r="BP165" s="5" t="s">
        <v>158</v>
      </c>
      <c r="BQ165" s="5" t="s">
        <v>158</v>
      </c>
      <c r="BR165" s="5" t="s">
        <v>158</v>
      </c>
      <c r="BS165" s="5" t="s">
        <v>158</v>
      </c>
      <c r="BT165" s="5" t="s">
        <v>158</v>
      </c>
      <c r="BU165" s="5" t="s">
        <v>158</v>
      </c>
      <c r="BV165" s="5" t="s">
        <v>158</v>
      </c>
      <c r="BW165" s="5" t="s">
        <v>158</v>
      </c>
      <c r="BX165" s="5" t="s">
        <v>158</v>
      </c>
      <c r="BY165" s="5" t="s">
        <v>158</v>
      </c>
      <c r="BZ165" s="5" t="s">
        <v>158</v>
      </c>
      <c r="CA165" s="5" t="s">
        <v>158</v>
      </c>
      <c r="CB165" s="5" t="s">
        <v>158</v>
      </c>
      <c r="CC165" s="5" t="s">
        <v>158</v>
      </c>
      <c r="CD165" s="5" t="s">
        <v>158</v>
      </c>
      <c r="CE165" s="5" t="s">
        <v>158</v>
      </c>
      <c r="CF165" s="5" t="s">
        <v>158</v>
      </c>
      <c r="CG165" s="5" t="s">
        <v>158</v>
      </c>
      <c r="CH165" s="5" t="s">
        <v>158</v>
      </c>
      <c r="CI165" s="17" t="s">
        <v>158</v>
      </c>
      <c r="CJ165" s="17" t="s">
        <v>158</v>
      </c>
      <c r="CK165" s="17" t="s">
        <v>158</v>
      </c>
      <c r="CL165" s="17" t="s">
        <v>158</v>
      </c>
      <c r="CM165" s="17" t="s">
        <v>158</v>
      </c>
      <c r="CN165" s="17" t="s">
        <v>158</v>
      </c>
      <c r="CO165" s="17" t="s">
        <v>158</v>
      </c>
      <c r="CP165" s="17" t="s">
        <v>158</v>
      </c>
      <c r="CQ165" s="17" t="s">
        <v>158</v>
      </c>
      <c r="CR165" s="17" t="s">
        <v>158</v>
      </c>
      <c r="CS165" s="17" t="s">
        <v>158</v>
      </c>
      <c r="CT165" s="17" t="s">
        <v>158</v>
      </c>
      <c r="CU165" s="17" t="s">
        <v>158</v>
      </c>
      <c r="CV165" s="17" t="s">
        <v>158</v>
      </c>
      <c r="CW165" s="17" t="s">
        <v>158</v>
      </c>
      <c r="CX165" s="17" t="s">
        <v>158</v>
      </c>
      <c r="CY165" s="67" t="s">
        <v>158</v>
      </c>
    </row>
    <row r="166" spans="1:103" x14ac:dyDescent="0.2">
      <c r="A166" s="37" t="s">
        <v>21</v>
      </c>
      <c r="B166" s="59" t="s">
        <v>21</v>
      </c>
      <c r="C166" s="25" t="s">
        <v>20</v>
      </c>
      <c r="D166" s="25" t="s">
        <v>125</v>
      </c>
      <c r="G166" s="28">
        <v>40782</v>
      </c>
      <c r="H166" s="16">
        <v>2011</v>
      </c>
      <c r="I166" s="135" t="s">
        <v>33</v>
      </c>
      <c r="J166" s="135">
        <v>10</v>
      </c>
      <c r="K166" s="136">
        <v>2.2999999999999998</v>
      </c>
      <c r="L166" s="5" t="s">
        <v>158</v>
      </c>
      <c r="M166" s="38">
        <f>0.5*0.035</f>
        <v>1.7500000000000002E-2</v>
      </c>
      <c r="N166" s="38">
        <f>0.5*0.059</f>
        <v>2.9499999999999998E-2</v>
      </c>
      <c r="O166" s="38">
        <f>0.5*0.17</f>
        <v>8.5000000000000006E-2</v>
      </c>
      <c r="P166" s="38">
        <f>0.5*0.11</f>
        <v>5.5E-2</v>
      </c>
      <c r="Q166" s="38">
        <f>0.5*0.32</f>
        <v>0.16</v>
      </c>
      <c r="R166" s="38">
        <f>0.5*0.22</f>
        <v>0.11</v>
      </c>
      <c r="S166" s="39">
        <f>0.5*0.13</f>
        <v>6.5000000000000002E-2</v>
      </c>
      <c r="T166" s="30">
        <f t="shared" si="122"/>
        <v>0.52200000000000002</v>
      </c>
      <c r="U166" s="17">
        <f t="shared" si="78"/>
        <v>1.0152173913043481</v>
      </c>
      <c r="V166" s="39">
        <f>0.5*0.00092</f>
        <v>4.6000000000000001E-4</v>
      </c>
      <c r="W166" s="39">
        <f>0.5*0.0086</f>
        <v>4.3E-3</v>
      </c>
      <c r="X166" s="39">
        <f>0.5*0.0021</f>
        <v>1.0499999999999999E-3</v>
      </c>
      <c r="Y166" s="39">
        <f>0.5*0.0027</f>
        <v>1.3500000000000001E-3</v>
      </c>
      <c r="Z166" s="30" t="s">
        <v>158</v>
      </c>
      <c r="AA166" s="39">
        <f>0.5*0.0013</f>
        <v>6.4999999999999997E-4</v>
      </c>
      <c r="AB166" s="39">
        <f>0.5*0.0037</f>
        <v>1.8500000000000001E-3</v>
      </c>
      <c r="AC166" s="39">
        <f>0.5*0.037</f>
        <v>1.8499999999999999E-2</v>
      </c>
      <c r="AD166" s="5" t="s">
        <v>158</v>
      </c>
      <c r="AE166" s="17">
        <f t="shared" si="125"/>
        <v>9.6600000000000002E-3</v>
      </c>
      <c r="AF166" s="38">
        <f>0.5*0.5</f>
        <v>0.25</v>
      </c>
      <c r="AG166" s="18" t="s">
        <v>158</v>
      </c>
      <c r="AH166" s="31">
        <f t="shared" si="121"/>
        <v>22.340425531914892</v>
      </c>
      <c r="AI166" s="31" t="s">
        <v>158</v>
      </c>
      <c r="AJ166" s="31" t="s">
        <v>158</v>
      </c>
      <c r="AK166" s="31" t="s">
        <v>158</v>
      </c>
      <c r="AL166" s="31" t="s">
        <v>158</v>
      </c>
      <c r="AM166" s="31" t="s">
        <v>158</v>
      </c>
      <c r="AN166" s="31">
        <f t="shared" si="126"/>
        <v>0.58510638297872342</v>
      </c>
      <c r="AO166" s="31">
        <f>BJ166/18.8</f>
        <v>0.5</v>
      </c>
      <c r="AP166" s="31" t="s">
        <v>158</v>
      </c>
      <c r="AQ166" s="31">
        <f t="shared" si="127"/>
        <v>0.38829787234042551</v>
      </c>
      <c r="AR166" s="31">
        <f>BM166/18.8</f>
        <v>0.21808510638297871</v>
      </c>
      <c r="AS166" s="5" t="s">
        <v>158</v>
      </c>
      <c r="AT166" s="5" t="s">
        <v>158</v>
      </c>
      <c r="AU166" s="5" t="s">
        <v>158</v>
      </c>
      <c r="AV166" s="5" t="s">
        <v>158</v>
      </c>
      <c r="AW166" s="5" t="s">
        <v>158</v>
      </c>
      <c r="BC166" s="38">
        <v>420</v>
      </c>
      <c r="BD166" s="38">
        <f>0.5*2</f>
        <v>1</v>
      </c>
      <c r="BE166" s="38">
        <f>0.5*10</f>
        <v>5</v>
      </c>
      <c r="BF166" s="38">
        <f t="shared" si="123"/>
        <v>0.5</v>
      </c>
      <c r="BG166" s="38">
        <f t="shared" si="128"/>
        <v>2.5</v>
      </c>
      <c r="BH166" s="38">
        <f>0.5*10</f>
        <v>5</v>
      </c>
      <c r="BI166" s="38">
        <v>11</v>
      </c>
      <c r="BJ166" s="38">
        <v>9.4</v>
      </c>
      <c r="BK166" s="38">
        <f t="shared" si="124"/>
        <v>5</v>
      </c>
      <c r="BL166" s="38">
        <v>7.3</v>
      </c>
      <c r="BM166" s="38">
        <v>4.0999999999999996</v>
      </c>
      <c r="BN166" s="5" t="s">
        <v>158</v>
      </c>
      <c r="BO166" s="5" t="s">
        <v>158</v>
      </c>
      <c r="BP166" s="5" t="s">
        <v>158</v>
      </c>
      <c r="BQ166" s="5" t="s">
        <v>158</v>
      </c>
      <c r="BR166" s="5" t="s">
        <v>158</v>
      </c>
      <c r="BS166" s="5" t="s">
        <v>158</v>
      </c>
      <c r="BT166" s="5" t="s">
        <v>158</v>
      </c>
      <c r="BU166" s="5" t="s">
        <v>158</v>
      </c>
      <c r="BV166" s="5" t="s">
        <v>158</v>
      </c>
      <c r="BW166" s="5" t="s">
        <v>158</v>
      </c>
      <c r="BX166" s="5" t="s">
        <v>158</v>
      </c>
      <c r="BY166" s="5" t="s">
        <v>158</v>
      </c>
      <c r="BZ166" s="5" t="s">
        <v>158</v>
      </c>
      <c r="CA166" s="5" t="s">
        <v>158</v>
      </c>
      <c r="CB166" s="5" t="s">
        <v>158</v>
      </c>
      <c r="CC166" s="5" t="s">
        <v>158</v>
      </c>
      <c r="CD166" s="5" t="s">
        <v>158</v>
      </c>
      <c r="CE166" s="5" t="s">
        <v>158</v>
      </c>
      <c r="CF166" s="5" t="s">
        <v>158</v>
      </c>
      <c r="CG166" s="5" t="s">
        <v>158</v>
      </c>
      <c r="CH166" s="5" t="s">
        <v>158</v>
      </c>
      <c r="CI166" s="17" t="s">
        <v>158</v>
      </c>
      <c r="CJ166" s="17" t="s">
        <v>158</v>
      </c>
      <c r="CK166" s="17" t="s">
        <v>158</v>
      </c>
      <c r="CL166" s="17" t="s">
        <v>158</v>
      </c>
      <c r="CM166" s="17" t="s">
        <v>158</v>
      </c>
      <c r="CN166" s="17" t="s">
        <v>158</v>
      </c>
      <c r="CO166" s="17" t="s">
        <v>158</v>
      </c>
      <c r="CP166" s="17" t="s">
        <v>158</v>
      </c>
      <c r="CQ166" s="17" t="s">
        <v>158</v>
      </c>
      <c r="CR166" s="17" t="s">
        <v>158</v>
      </c>
      <c r="CS166" s="17" t="s">
        <v>158</v>
      </c>
      <c r="CT166" s="17" t="s">
        <v>158</v>
      </c>
      <c r="CU166" s="17" t="s">
        <v>158</v>
      </c>
      <c r="CV166" s="17" t="s">
        <v>158</v>
      </c>
      <c r="CW166" s="17" t="s">
        <v>158</v>
      </c>
      <c r="CX166" s="17" t="s">
        <v>158</v>
      </c>
      <c r="CY166" s="67" t="s">
        <v>158</v>
      </c>
    </row>
    <row r="167" spans="1:103" x14ac:dyDescent="0.2">
      <c r="A167" s="37" t="s">
        <v>112</v>
      </c>
      <c r="B167" s="59" t="s">
        <v>24</v>
      </c>
      <c r="C167" s="25" t="s">
        <v>20</v>
      </c>
      <c r="D167" s="25" t="s">
        <v>125</v>
      </c>
      <c r="G167" s="28">
        <v>40796</v>
      </c>
      <c r="H167" s="16">
        <v>2011</v>
      </c>
      <c r="I167" s="135" t="s">
        <v>33</v>
      </c>
      <c r="J167" s="135">
        <v>10</v>
      </c>
      <c r="K167" s="136">
        <v>1.1000000000000001</v>
      </c>
      <c r="L167" s="5" t="s">
        <v>158</v>
      </c>
      <c r="M167" s="38">
        <f>0.5*0.31</f>
        <v>0.155</v>
      </c>
      <c r="N167" s="38">
        <v>0.65</v>
      </c>
      <c r="O167" s="38">
        <v>1.5</v>
      </c>
      <c r="P167" s="38">
        <v>1.4</v>
      </c>
      <c r="Q167" s="38">
        <v>2.7</v>
      </c>
      <c r="R167" s="38">
        <v>1.9</v>
      </c>
      <c r="S167" s="39">
        <v>0.83</v>
      </c>
      <c r="T167" s="30">
        <f t="shared" si="122"/>
        <v>9.1349999999999998</v>
      </c>
      <c r="U167" s="17">
        <f t="shared" si="78"/>
        <v>35.159090909090914</v>
      </c>
      <c r="V167" s="39">
        <v>1.9E-3</v>
      </c>
      <c r="W167" s="39">
        <v>6.2E-2</v>
      </c>
      <c r="X167" s="39">
        <v>1.0999999999999999E-2</v>
      </c>
      <c r="Y167" s="39">
        <v>1.4999999999999999E-2</v>
      </c>
      <c r="Z167" s="30" t="s">
        <v>158</v>
      </c>
      <c r="AA167" s="39">
        <v>2.8E-3</v>
      </c>
      <c r="AB167" s="39">
        <f>0.5*0.0023</f>
        <v>1.15E-3</v>
      </c>
      <c r="AC167" s="39">
        <f>0.5*0.036</f>
        <v>1.7999999999999999E-2</v>
      </c>
      <c r="AD167" s="5" t="s">
        <v>158</v>
      </c>
      <c r="AE167" s="17">
        <f t="shared" si="125"/>
        <v>9.3849999999999989E-2</v>
      </c>
      <c r="AF167" s="38">
        <f>0.5*0.5</f>
        <v>0.25</v>
      </c>
      <c r="AG167" s="18" t="s">
        <v>158</v>
      </c>
      <c r="AH167" s="31">
        <f t="shared" si="121"/>
        <v>9.0425531914893611</v>
      </c>
      <c r="AI167" s="31" t="s">
        <v>158</v>
      </c>
      <c r="AJ167" s="31" t="s">
        <v>158</v>
      </c>
      <c r="AK167" s="31" t="s">
        <v>158</v>
      </c>
      <c r="AL167" s="31" t="s">
        <v>158</v>
      </c>
      <c r="AM167" s="31" t="s">
        <v>158</v>
      </c>
      <c r="AN167" s="31">
        <f t="shared" si="126"/>
        <v>0.30851063829787234</v>
      </c>
      <c r="AO167" s="31">
        <f>BJ167/18.8</f>
        <v>6.3829787234042548E-2</v>
      </c>
      <c r="AP167" s="31" t="s">
        <v>158</v>
      </c>
      <c r="AQ167" s="31">
        <f t="shared" si="127"/>
        <v>0.29255319148936171</v>
      </c>
      <c r="AR167" s="31">
        <f>BM167/18.8</f>
        <v>0.4893617021276595</v>
      </c>
      <c r="AS167" s="5" t="s">
        <v>158</v>
      </c>
      <c r="AT167" s="5" t="s">
        <v>158</v>
      </c>
      <c r="AU167" s="5" t="s">
        <v>158</v>
      </c>
      <c r="AV167" s="5" t="s">
        <v>158</v>
      </c>
      <c r="AW167" s="5" t="s">
        <v>158</v>
      </c>
      <c r="BC167" s="38">
        <v>170</v>
      </c>
      <c r="BD167" s="38">
        <f>0.5*1</f>
        <v>0.5</v>
      </c>
      <c r="BE167" s="38">
        <f>0.5*2</f>
        <v>1</v>
      </c>
      <c r="BF167" s="38">
        <f t="shared" si="123"/>
        <v>0.5</v>
      </c>
      <c r="BG167" s="38">
        <f t="shared" si="128"/>
        <v>2.5</v>
      </c>
      <c r="BH167" s="38">
        <f>0.5*1</f>
        <v>0.5</v>
      </c>
      <c r="BI167" s="38">
        <v>5.8</v>
      </c>
      <c r="BJ167" s="38">
        <v>1.2</v>
      </c>
      <c r="BK167" s="38">
        <f t="shared" si="124"/>
        <v>5</v>
      </c>
      <c r="BL167" s="38">
        <v>5.5</v>
      </c>
      <c r="BM167" s="38">
        <v>9.1999999999999993</v>
      </c>
      <c r="BN167" s="5" t="s">
        <v>158</v>
      </c>
      <c r="BO167" s="5" t="s">
        <v>158</v>
      </c>
      <c r="BP167" s="5" t="s">
        <v>158</v>
      </c>
      <c r="BQ167" s="5" t="s">
        <v>158</v>
      </c>
      <c r="BR167" s="5" t="s">
        <v>158</v>
      </c>
      <c r="BS167" s="5" t="s">
        <v>158</v>
      </c>
      <c r="BT167" s="5" t="s">
        <v>158</v>
      </c>
      <c r="BU167" s="5" t="s">
        <v>158</v>
      </c>
      <c r="BV167" s="5" t="s">
        <v>158</v>
      </c>
      <c r="BW167" s="5" t="s">
        <v>158</v>
      </c>
      <c r="BX167" s="5" t="s">
        <v>158</v>
      </c>
      <c r="BY167" s="5" t="s">
        <v>158</v>
      </c>
      <c r="BZ167" s="5" t="s">
        <v>158</v>
      </c>
      <c r="CA167" s="5" t="s">
        <v>158</v>
      </c>
      <c r="CB167" s="5" t="s">
        <v>158</v>
      </c>
      <c r="CC167" s="5" t="s">
        <v>158</v>
      </c>
      <c r="CD167" s="5" t="s">
        <v>158</v>
      </c>
      <c r="CE167" s="5" t="s">
        <v>158</v>
      </c>
      <c r="CF167" s="5" t="s">
        <v>158</v>
      </c>
      <c r="CG167" s="5" t="s">
        <v>158</v>
      </c>
      <c r="CH167" s="5" t="s">
        <v>158</v>
      </c>
      <c r="CI167" s="17" t="s">
        <v>158</v>
      </c>
      <c r="CJ167" s="17" t="s">
        <v>158</v>
      </c>
      <c r="CK167" s="17" t="s">
        <v>158</v>
      </c>
      <c r="CL167" s="17" t="s">
        <v>158</v>
      </c>
      <c r="CM167" s="17" t="s">
        <v>158</v>
      </c>
      <c r="CN167" s="17" t="s">
        <v>158</v>
      </c>
      <c r="CO167" s="17" t="s">
        <v>158</v>
      </c>
      <c r="CP167" s="17" t="s">
        <v>158</v>
      </c>
      <c r="CQ167" s="17" t="s">
        <v>158</v>
      </c>
      <c r="CR167" s="17" t="s">
        <v>158</v>
      </c>
      <c r="CS167" s="17" t="s">
        <v>158</v>
      </c>
      <c r="CT167" s="17" t="s">
        <v>158</v>
      </c>
      <c r="CU167" s="17" t="s">
        <v>158</v>
      </c>
      <c r="CV167" s="17" t="s">
        <v>158</v>
      </c>
      <c r="CW167" s="17" t="s">
        <v>158</v>
      </c>
      <c r="CX167" s="17" t="s">
        <v>158</v>
      </c>
      <c r="CY167" s="67" t="s">
        <v>158</v>
      </c>
    </row>
    <row r="168" spans="1:103" x14ac:dyDescent="0.2">
      <c r="A168" s="37" t="s">
        <v>22</v>
      </c>
      <c r="B168" s="59" t="s">
        <v>22</v>
      </c>
      <c r="C168" s="25" t="s">
        <v>20</v>
      </c>
      <c r="D168" s="25" t="s">
        <v>125</v>
      </c>
      <c r="F168" s="40"/>
      <c r="G168" s="87">
        <v>40496</v>
      </c>
      <c r="H168" s="41">
        <v>2010</v>
      </c>
      <c r="I168" s="143" t="s">
        <v>3</v>
      </c>
      <c r="J168" s="143" t="s">
        <v>114</v>
      </c>
      <c r="K168" s="136">
        <v>0.76</v>
      </c>
      <c r="L168" s="5" t="s">
        <v>158</v>
      </c>
      <c r="M168" s="42">
        <v>1.5</v>
      </c>
      <c r="N168" s="42">
        <v>4.8</v>
      </c>
      <c r="O168" s="42">
        <v>6.8</v>
      </c>
      <c r="P168" s="42">
        <v>4.9000000000000004</v>
      </c>
      <c r="Q168" s="42">
        <v>8.4</v>
      </c>
      <c r="R168" s="42">
        <v>6.6</v>
      </c>
      <c r="S168" s="42">
        <v>1.7</v>
      </c>
      <c r="T168" s="5">
        <f t="shared" ref="T168:T192" si="129">SUM(M168:S168)</f>
        <v>34.700000000000003</v>
      </c>
      <c r="U168" s="17">
        <f t="shared" si="78"/>
        <v>196.05263157894737</v>
      </c>
      <c r="V168" s="42">
        <f>0.5*0.02</f>
        <v>0.01</v>
      </c>
      <c r="W168" s="42">
        <v>0.41</v>
      </c>
      <c r="X168" s="42">
        <v>9.7000000000000003E-2</v>
      </c>
      <c r="Y168" s="42">
        <v>0.14000000000000001</v>
      </c>
      <c r="Z168" s="5" t="s">
        <v>158</v>
      </c>
      <c r="AA168" s="42">
        <v>2.5999999999999999E-2</v>
      </c>
      <c r="AB168" s="42">
        <f>0.5*0.009</f>
        <v>4.4999999999999997E-3</v>
      </c>
      <c r="AC168" s="30" t="s">
        <v>158</v>
      </c>
      <c r="AD168" s="5" t="s">
        <v>158</v>
      </c>
      <c r="AE168" s="17">
        <f t="shared" si="125"/>
        <v>0.6875</v>
      </c>
      <c r="AF168" s="42">
        <f>0.5*1</f>
        <v>0.5</v>
      </c>
      <c r="AG168" s="18" t="s">
        <v>158</v>
      </c>
      <c r="AH168" s="31">
        <f>BC168/18.8</f>
        <v>13.617021276595745</v>
      </c>
      <c r="AI168" s="17" t="s">
        <v>158</v>
      </c>
      <c r="AJ168" s="17" t="s">
        <v>158</v>
      </c>
      <c r="AK168" s="17" t="s">
        <v>158</v>
      </c>
      <c r="AL168" s="17" t="s">
        <v>158</v>
      </c>
      <c r="AM168" s="17" t="s">
        <v>158</v>
      </c>
      <c r="AN168" s="17" t="s">
        <v>158</v>
      </c>
      <c r="AO168" s="17" t="s">
        <v>158</v>
      </c>
      <c r="AP168" s="17" t="s">
        <v>158</v>
      </c>
      <c r="AQ168" s="17" t="s">
        <v>158</v>
      </c>
      <c r="AR168" s="17" t="s">
        <v>158</v>
      </c>
      <c r="AS168" s="5" t="s">
        <v>158</v>
      </c>
      <c r="AT168" s="5" t="s">
        <v>158</v>
      </c>
      <c r="AU168" s="5" t="s">
        <v>158</v>
      </c>
      <c r="AV168" s="5" t="s">
        <v>158</v>
      </c>
      <c r="AW168" s="5" t="s">
        <v>158</v>
      </c>
      <c r="BC168" s="107">
        <v>256</v>
      </c>
      <c r="BD168" s="17" t="s">
        <v>158</v>
      </c>
      <c r="BE168" s="17" t="s">
        <v>158</v>
      </c>
      <c r="BF168" s="17" t="s">
        <v>158</v>
      </c>
      <c r="BG168" s="17" t="s">
        <v>158</v>
      </c>
      <c r="BH168" s="17" t="s">
        <v>158</v>
      </c>
      <c r="BI168" s="17" t="s">
        <v>158</v>
      </c>
      <c r="BJ168" s="17" t="s">
        <v>158</v>
      </c>
      <c r="BK168" s="17" t="s">
        <v>158</v>
      </c>
      <c r="BL168" s="17" t="s">
        <v>158</v>
      </c>
      <c r="BM168" s="17" t="s">
        <v>158</v>
      </c>
      <c r="BN168" s="5" t="s">
        <v>158</v>
      </c>
      <c r="BO168" s="5" t="s">
        <v>158</v>
      </c>
      <c r="BP168" s="5" t="s">
        <v>158</v>
      </c>
      <c r="BQ168" s="5" t="s">
        <v>158</v>
      </c>
      <c r="BR168" s="5" t="s">
        <v>158</v>
      </c>
      <c r="BS168" s="5" t="s">
        <v>158</v>
      </c>
      <c r="BT168" s="5" t="s">
        <v>158</v>
      </c>
      <c r="BU168" s="5" t="s">
        <v>158</v>
      </c>
      <c r="BV168" s="5" t="s">
        <v>158</v>
      </c>
      <c r="BW168" s="5" t="s">
        <v>158</v>
      </c>
      <c r="BX168" s="5" t="s">
        <v>158</v>
      </c>
      <c r="BY168" s="5" t="s">
        <v>158</v>
      </c>
      <c r="BZ168" s="5" t="s">
        <v>158</v>
      </c>
      <c r="CA168" s="5" t="s">
        <v>158</v>
      </c>
      <c r="CB168" s="5" t="s">
        <v>158</v>
      </c>
      <c r="CC168" s="5" t="s">
        <v>158</v>
      </c>
      <c r="CD168" s="5" t="s">
        <v>158</v>
      </c>
      <c r="CE168" s="5" t="s">
        <v>158</v>
      </c>
      <c r="CF168" s="5" t="s">
        <v>158</v>
      </c>
      <c r="CG168" s="5" t="s">
        <v>158</v>
      </c>
      <c r="CH168" s="5" t="s">
        <v>158</v>
      </c>
      <c r="CI168" s="17" t="s">
        <v>158</v>
      </c>
      <c r="CJ168" s="17" t="s">
        <v>158</v>
      </c>
      <c r="CK168" s="17" t="s">
        <v>158</v>
      </c>
      <c r="CL168" s="17" t="s">
        <v>158</v>
      </c>
      <c r="CM168" s="17" t="s">
        <v>158</v>
      </c>
      <c r="CN168" s="17" t="s">
        <v>158</v>
      </c>
      <c r="CO168" s="17" t="s">
        <v>158</v>
      </c>
      <c r="CP168" s="17" t="s">
        <v>158</v>
      </c>
      <c r="CQ168" s="17" t="s">
        <v>158</v>
      </c>
      <c r="CR168" s="17" t="s">
        <v>158</v>
      </c>
      <c r="CS168" s="17" t="s">
        <v>158</v>
      </c>
      <c r="CT168" s="17" t="s">
        <v>158</v>
      </c>
      <c r="CU168" s="17" t="s">
        <v>158</v>
      </c>
      <c r="CV168" s="17" t="s">
        <v>158</v>
      </c>
      <c r="CW168" s="17" t="s">
        <v>158</v>
      </c>
      <c r="CX168" s="17" t="s">
        <v>158</v>
      </c>
      <c r="CY168" s="67" t="s">
        <v>158</v>
      </c>
    </row>
    <row r="169" spans="1:103" x14ac:dyDescent="0.2">
      <c r="A169" s="37" t="s">
        <v>22</v>
      </c>
      <c r="B169" s="59" t="s">
        <v>22</v>
      </c>
      <c r="C169" s="25" t="s">
        <v>20</v>
      </c>
      <c r="D169" s="25" t="s">
        <v>125</v>
      </c>
      <c r="F169" s="44"/>
      <c r="G169" s="87">
        <v>40496</v>
      </c>
      <c r="H169" s="41">
        <v>2010</v>
      </c>
      <c r="I169" s="143" t="s">
        <v>3</v>
      </c>
      <c r="J169" s="143" t="s">
        <v>114</v>
      </c>
      <c r="K169" s="136">
        <v>0.69</v>
      </c>
      <c r="L169" s="5" t="s">
        <v>158</v>
      </c>
      <c r="M169" s="42">
        <v>1.9</v>
      </c>
      <c r="N169" s="42">
        <v>4.7</v>
      </c>
      <c r="O169" s="42">
        <v>4.9000000000000004</v>
      </c>
      <c r="P169" s="42">
        <v>3.9</v>
      </c>
      <c r="Q169" s="42">
        <v>7.2</v>
      </c>
      <c r="R169" s="42">
        <v>5.5</v>
      </c>
      <c r="S169" s="42">
        <v>1.6</v>
      </c>
      <c r="T169" s="5">
        <f t="shared" si="129"/>
        <v>29.700000000000003</v>
      </c>
      <c r="U169" s="17">
        <f t="shared" si="78"/>
        <v>186.95652173913044</v>
      </c>
      <c r="V169" s="42">
        <v>2.1999999999999999E-2</v>
      </c>
      <c r="W169" s="42">
        <v>0.36</v>
      </c>
      <c r="X169" s="42">
        <v>9.2999999999999999E-2</v>
      </c>
      <c r="Y169" s="42">
        <v>8.3000000000000004E-2</v>
      </c>
      <c r="Z169" s="5" t="s">
        <v>158</v>
      </c>
      <c r="AA169" s="42">
        <v>2.3E-2</v>
      </c>
      <c r="AB169" s="42">
        <v>2.1999999999999999E-2</v>
      </c>
      <c r="AC169" s="30" t="s">
        <v>158</v>
      </c>
      <c r="AD169" s="5" t="s">
        <v>158</v>
      </c>
      <c r="AE169" s="17">
        <f t="shared" si="125"/>
        <v>0.60300000000000009</v>
      </c>
      <c r="AF169" s="42">
        <f t="shared" ref="AF169:AF175" si="130">0.5*0.5</f>
        <v>0.25</v>
      </c>
      <c r="AG169" s="18" t="s">
        <v>158</v>
      </c>
      <c r="AH169" s="31">
        <f t="shared" si="121"/>
        <v>22.127659574468083</v>
      </c>
      <c r="AI169" s="17" t="s">
        <v>158</v>
      </c>
      <c r="AJ169" s="17" t="s">
        <v>158</v>
      </c>
      <c r="AK169" s="17" t="s">
        <v>158</v>
      </c>
      <c r="AL169" s="17" t="s">
        <v>158</v>
      </c>
      <c r="AM169" s="17" t="s">
        <v>158</v>
      </c>
      <c r="AN169" s="17" t="s">
        <v>158</v>
      </c>
      <c r="AO169" s="17" t="s">
        <v>158</v>
      </c>
      <c r="AP169" s="17" t="s">
        <v>158</v>
      </c>
      <c r="AQ169" s="17" t="s">
        <v>158</v>
      </c>
      <c r="AR169" s="17" t="s">
        <v>158</v>
      </c>
      <c r="AS169" s="5" t="s">
        <v>158</v>
      </c>
      <c r="AT169" s="5" t="s">
        <v>158</v>
      </c>
      <c r="AU169" s="5" t="s">
        <v>158</v>
      </c>
      <c r="AV169" s="5" t="s">
        <v>158</v>
      </c>
      <c r="AW169" s="5" t="s">
        <v>158</v>
      </c>
      <c r="BC169" s="107">
        <v>416</v>
      </c>
      <c r="BD169" s="17" t="s">
        <v>158</v>
      </c>
      <c r="BE169" s="17" t="s">
        <v>158</v>
      </c>
      <c r="BF169" s="17" t="s">
        <v>158</v>
      </c>
      <c r="BG169" s="17" t="s">
        <v>158</v>
      </c>
      <c r="BH169" s="17" t="s">
        <v>158</v>
      </c>
      <c r="BI169" s="17" t="s">
        <v>158</v>
      </c>
      <c r="BJ169" s="17" t="s">
        <v>158</v>
      </c>
      <c r="BK169" s="17" t="s">
        <v>158</v>
      </c>
      <c r="BL169" s="17" t="s">
        <v>158</v>
      </c>
      <c r="BM169" s="17" t="s">
        <v>158</v>
      </c>
      <c r="BN169" s="5" t="s">
        <v>158</v>
      </c>
      <c r="BO169" s="5" t="s">
        <v>158</v>
      </c>
      <c r="BP169" s="5" t="s">
        <v>158</v>
      </c>
      <c r="BQ169" s="5" t="s">
        <v>158</v>
      </c>
      <c r="BR169" s="5" t="s">
        <v>158</v>
      </c>
      <c r="BS169" s="5" t="s">
        <v>158</v>
      </c>
      <c r="BT169" s="5" t="s">
        <v>158</v>
      </c>
      <c r="BU169" s="5" t="s">
        <v>158</v>
      </c>
      <c r="BV169" s="5" t="s">
        <v>158</v>
      </c>
      <c r="BW169" s="5" t="s">
        <v>158</v>
      </c>
      <c r="BX169" s="5" t="s">
        <v>158</v>
      </c>
      <c r="BY169" s="5" t="s">
        <v>158</v>
      </c>
      <c r="BZ169" s="5" t="s">
        <v>158</v>
      </c>
      <c r="CA169" s="5" t="s">
        <v>158</v>
      </c>
      <c r="CB169" s="5" t="s">
        <v>158</v>
      </c>
      <c r="CC169" s="5" t="s">
        <v>158</v>
      </c>
      <c r="CD169" s="5" t="s">
        <v>158</v>
      </c>
      <c r="CE169" s="5" t="s">
        <v>158</v>
      </c>
      <c r="CF169" s="5" t="s">
        <v>158</v>
      </c>
      <c r="CG169" s="5" t="s">
        <v>158</v>
      </c>
      <c r="CH169" s="5" t="s">
        <v>158</v>
      </c>
      <c r="CI169" s="17" t="s">
        <v>158</v>
      </c>
      <c r="CJ169" s="17" t="s">
        <v>158</v>
      </c>
      <c r="CK169" s="17" t="s">
        <v>158</v>
      </c>
      <c r="CL169" s="17" t="s">
        <v>158</v>
      </c>
      <c r="CM169" s="17" t="s">
        <v>158</v>
      </c>
      <c r="CN169" s="17" t="s">
        <v>158</v>
      </c>
      <c r="CO169" s="17" t="s">
        <v>158</v>
      </c>
      <c r="CP169" s="17" t="s">
        <v>158</v>
      </c>
      <c r="CQ169" s="17" t="s">
        <v>158</v>
      </c>
      <c r="CR169" s="17" t="s">
        <v>158</v>
      </c>
      <c r="CS169" s="17" t="s">
        <v>158</v>
      </c>
      <c r="CT169" s="17" t="s">
        <v>158</v>
      </c>
      <c r="CU169" s="17" t="s">
        <v>158</v>
      </c>
      <c r="CV169" s="17" t="s">
        <v>158</v>
      </c>
      <c r="CW169" s="17" t="s">
        <v>158</v>
      </c>
      <c r="CX169" s="17" t="s">
        <v>158</v>
      </c>
      <c r="CY169" s="67" t="s">
        <v>158</v>
      </c>
    </row>
    <row r="170" spans="1:103" x14ac:dyDescent="0.2">
      <c r="A170" s="37" t="s">
        <v>22</v>
      </c>
      <c r="B170" s="59" t="s">
        <v>22</v>
      </c>
      <c r="C170" s="25" t="s">
        <v>20</v>
      </c>
      <c r="D170" s="25" t="s">
        <v>125</v>
      </c>
      <c r="F170" s="40"/>
      <c r="G170" s="87">
        <v>40496</v>
      </c>
      <c r="H170" s="41">
        <v>2010</v>
      </c>
      <c r="I170" s="143" t="s">
        <v>3</v>
      </c>
      <c r="J170" s="143" t="s">
        <v>114</v>
      </c>
      <c r="K170" s="136">
        <v>0.71</v>
      </c>
      <c r="L170" s="5" t="s">
        <v>158</v>
      </c>
      <c r="M170" s="42">
        <v>2.2000000000000002</v>
      </c>
      <c r="N170" s="42">
        <v>4.3</v>
      </c>
      <c r="O170" s="42">
        <v>7.7</v>
      </c>
      <c r="P170" s="42">
        <v>7.8</v>
      </c>
      <c r="Q170" s="42">
        <v>8.6999999999999993</v>
      </c>
      <c r="R170" s="42">
        <v>8.5</v>
      </c>
      <c r="S170" s="42">
        <v>1.9</v>
      </c>
      <c r="T170" s="5">
        <f t="shared" si="129"/>
        <v>41.1</v>
      </c>
      <c r="U170" s="17">
        <f t="shared" si="78"/>
        <v>234.50704225352112</v>
      </c>
      <c r="V170" s="42">
        <f>0.5*0.017</f>
        <v>8.5000000000000006E-3</v>
      </c>
      <c r="W170" s="42">
        <v>0.43</v>
      </c>
      <c r="X170" s="42">
        <v>0.11</v>
      </c>
      <c r="Y170" s="42">
        <v>0.13</v>
      </c>
      <c r="Z170" s="5" t="s">
        <v>158</v>
      </c>
      <c r="AA170" s="42">
        <v>2.7E-2</v>
      </c>
      <c r="AB170" s="42">
        <v>1.7999999999999999E-2</v>
      </c>
      <c r="AC170" s="30" t="s">
        <v>158</v>
      </c>
      <c r="AD170" s="5" t="s">
        <v>158</v>
      </c>
      <c r="AE170" s="17">
        <f t="shared" si="125"/>
        <v>0.72350000000000003</v>
      </c>
      <c r="AF170" s="42">
        <f t="shared" si="130"/>
        <v>0.25</v>
      </c>
      <c r="AG170" s="18" t="s">
        <v>158</v>
      </c>
      <c r="AH170" s="31">
        <f t="shared" si="121"/>
        <v>11.117021276595745</v>
      </c>
      <c r="AI170" s="17" t="s">
        <v>158</v>
      </c>
      <c r="AJ170" s="17" t="s">
        <v>158</v>
      </c>
      <c r="AK170" s="17" t="s">
        <v>158</v>
      </c>
      <c r="AL170" s="17" t="s">
        <v>158</v>
      </c>
      <c r="AM170" s="17" t="s">
        <v>158</v>
      </c>
      <c r="AN170" s="17" t="s">
        <v>158</v>
      </c>
      <c r="AO170" s="17" t="s">
        <v>158</v>
      </c>
      <c r="AP170" s="17" t="s">
        <v>158</v>
      </c>
      <c r="AQ170" s="17" t="s">
        <v>158</v>
      </c>
      <c r="AR170" s="17" t="s">
        <v>158</v>
      </c>
      <c r="AS170" s="5" t="s">
        <v>158</v>
      </c>
      <c r="AT170" s="5" t="s">
        <v>158</v>
      </c>
      <c r="AU170" s="5" t="s">
        <v>158</v>
      </c>
      <c r="AV170" s="5" t="s">
        <v>158</v>
      </c>
      <c r="AW170" s="5" t="s">
        <v>158</v>
      </c>
      <c r="BC170" s="107">
        <v>209</v>
      </c>
      <c r="BD170" s="17" t="s">
        <v>158</v>
      </c>
      <c r="BE170" s="17" t="s">
        <v>158</v>
      </c>
      <c r="BF170" s="17" t="s">
        <v>158</v>
      </c>
      <c r="BG170" s="17" t="s">
        <v>158</v>
      </c>
      <c r="BH170" s="17" t="s">
        <v>158</v>
      </c>
      <c r="BI170" s="17" t="s">
        <v>158</v>
      </c>
      <c r="BJ170" s="17" t="s">
        <v>158</v>
      </c>
      <c r="BK170" s="17" t="s">
        <v>158</v>
      </c>
      <c r="BL170" s="17" t="s">
        <v>158</v>
      </c>
      <c r="BM170" s="17" t="s">
        <v>158</v>
      </c>
      <c r="BN170" s="5" t="s">
        <v>158</v>
      </c>
      <c r="BO170" s="5" t="s">
        <v>158</v>
      </c>
      <c r="BP170" s="5" t="s">
        <v>158</v>
      </c>
      <c r="BQ170" s="5" t="s">
        <v>158</v>
      </c>
      <c r="BR170" s="5" t="s">
        <v>158</v>
      </c>
      <c r="BS170" s="5" t="s">
        <v>158</v>
      </c>
      <c r="BT170" s="5" t="s">
        <v>158</v>
      </c>
      <c r="BU170" s="5" t="s">
        <v>158</v>
      </c>
      <c r="BV170" s="5" t="s">
        <v>158</v>
      </c>
      <c r="BW170" s="5" t="s">
        <v>158</v>
      </c>
      <c r="BX170" s="5" t="s">
        <v>158</v>
      </c>
      <c r="BY170" s="5" t="s">
        <v>158</v>
      </c>
      <c r="BZ170" s="5" t="s">
        <v>158</v>
      </c>
      <c r="CA170" s="5" t="s">
        <v>158</v>
      </c>
      <c r="CB170" s="5" t="s">
        <v>158</v>
      </c>
      <c r="CC170" s="5" t="s">
        <v>158</v>
      </c>
      <c r="CD170" s="5" t="s">
        <v>158</v>
      </c>
      <c r="CE170" s="5" t="s">
        <v>158</v>
      </c>
      <c r="CF170" s="5" t="s">
        <v>158</v>
      </c>
      <c r="CG170" s="5" t="s">
        <v>158</v>
      </c>
      <c r="CH170" s="5" t="s">
        <v>158</v>
      </c>
      <c r="CI170" s="17" t="s">
        <v>158</v>
      </c>
      <c r="CJ170" s="17" t="s">
        <v>158</v>
      </c>
      <c r="CK170" s="17" t="s">
        <v>158</v>
      </c>
      <c r="CL170" s="17" t="s">
        <v>158</v>
      </c>
      <c r="CM170" s="17" t="s">
        <v>158</v>
      </c>
      <c r="CN170" s="17" t="s">
        <v>158</v>
      </c>
      <c r="CO170" s="17" t="s">
        <v>158</v>
      </c>
      <c r="CP170" s="17" t="s">
        <v>158</v>
      </c>
      <c r="CQ170" s="17" t="s">
        <v>158</v>
      </c>
      <c r="CR170" s="17" t="s">
        <v>158</v>
      </c>
      <c r="CS170" s="17" t="s">
        <v>158</v>
      </c>
      <c r="CT170" s="17" t="s">
        <v>158</v>
      </c>
      <c r="CU170" s="17" t="s">
        <v>158</v>
      </c>
      <c r="CV170" s="17" t="s">
        <v>158</v>
      </c>
      <c r="CW170" s="17" t="s">
        <v>158</v>
      </c>
      <c r="CX170" s="17" t="s">
        <v>158</v>
      </c>
      <c r="CY170" s="67" t="s">
        <v>158</v>
      </c>
    </row>
    <row r="171" spans="1:103" x14ac:dyDescent="0.2">
      <c r="A171" s="37" t="s">
        <v>22</v>
      </c>
      <c r="B171" s="59" t="s">
        <v>22</v>
      </c>
      <c r="C171" s="25" t="s">
        <v>20</v>
      </c>
      <c r="D171" s="25" t="s">
        <v>125</v>
      </c>
      <c r="F171" s="40"/>
      <c r="G171" s="87">
        <v>40496</v>
      </c>
      <c r="H171" s="41">
        <v>2010</v>
      </c>
      <c r="I171" s="143" t="s">
        <v>3</v>
      </c>
      <c r="J171" s="143" t="s">
        <v>114</v>
      </c>
      <c r="K171" s="136">
        <v>0.72</v>
      </c>
      <c r="L171" s="5" t="s">
        <v>158</v>
      </c>
      <c r="M171" s="42">
        <v>2.2999999999999998</v>
      </c>
      <c r="N171" s="42">
        <v>4</v>
      </c>
      <c r="O171" s="42">
        <v>5.5</v>
      </c>
      <c r="P171" s="42">
        <v>4.4000000000000004</v>
      </c>
      <c r="Q171" s="42">
        <v>6.9</v>
      </c>
      <c r="R171" s="42">
        <v>5.3</v>
      </c>
      <c r="S171" s="42">
        <v>1.7</v>
      </c>
      <c r="T171" s="5">
        <f t="shared" si="129"/>
        <v>30.1</v>
      </c>
      <c r="U171" s="17">
        <f t="shared" si="78"/>
        <v>178.47222222222226</v>
      </c>
      <c r="V171" s="42">
        <v>1.2E-2</v>
      </c>
      <c r="W171" s="42">
        <v>1.5</v>
      </c>
      <c r="X171" s="42">
        <v>0.51</v>
      </c>
      <c r="Y171" s="42">
        <v>0.28999999999999998</v>
      </c>
      <c r="Z171" s="5" t="s">
        <v>158</v>
      </c>
      <c r="AA171" s="42">
        <v>6.6000000000000003E-2</v>
      </c>
      <c r="AB171" s="42">
        <v>3.2000000000000001E-2</v>
      </c>
      <c r="AC171" s="30" t="s">
        <v>158</v>
      </c>
      <c r="AD171" s="5" t="s">
        <v>158</v>
      </c>
      <c r="AE171" s="17">
        <f t="shared" si="125"/>
        <v>2.41</v>
      </c>
      <c r="AF171" s="42">
        <f t="shared" si="130"/>
        <v>0.25</v>
      </c>
      <c r="AG171" s="18" t="s">
        <v>158</v>
      </c>
      <c r="AH171" s="31">
        <f t="shared" si="121"/>
        <v>13.617021276595745</v>
      </c>
      <c r="AI171" s="17" t="s">
        <v>158</v>
      </c>
      <c r="AJ171" s="17" t="s">
        <v>158</v>
      </c>
      <c r="AK171" s="17" t="s">
        <v>158</v>
      </c>
      <c r="AL171" s="17" t="s">
        <v>158</v>
      </c>
      <c r="AM171" s="17" t="s">
        <v>158</v>
      </c>
      <c r="AN171" s="17" t="s">
        <v>158</v>
      </c>
      <c r="AO171" s="17" t="s">
        <v>158</v>
      </c>
      <c r="AP171" s="17" t="s">
        <v>158</v>
      </c>
      <c r="AQ171" s="17" t="s">
        <v>158</v>
      </c>
      <c r="AR171" s="17" t="s">
        <v>158</v>
      </c>
      <c r="AS171" s="5" t="s">
        <v>158</v>
      </c>
      <c r="AT171" s="5" t="s">
        <v>158</v>
      </c>
      <c r="AU171" s="5" t="s">
        <v>158</v>
      </c>
      <c r="AV171" s="5" t="s">
        <v>158</v>
      </c>
      <c r="AW171" s="5" t="s">
        <v>158</v>
      </c>
      <c r="BC171" s="107">
        <v>256</v>
      </c>
      <c r="BD171" s="17" t="s">
        <v>158</v>
      </c>
      <c r="BE171" s="17" t="s">
        <v>158</v>
      </c>
      <c r="BF171" s="17" t="s">
        <v>158</v>
      </c>
      <c r="BG171" s="17" t="s">
        <v>158</v>
      </c>
      <c r="BH171" s="17" t="s">
        <v>158</v>
      </c>
      <c r="BI171" s="17" t="s">
        <v>158</v>
      </c>
      <c r="BJ171" s="17" t="s">
        <v>158</v>
      </c>
      <c r="BK171" s="17" t="s">
        <v>158</v>
      </c>
      <c r="BL171" s="17" t="s">
        <v>158</v>
      </c>
      <c r="BM171" s="17" t="s">
        <v>158</v>
      </c>
      <c r="BN171" s="5" t="s">
        <v>158</v>
      </c>
      <c r="BO171" s="5" t="s">
        <v>158</v>
      </c>
      <c r="BP171" s="5" t="s">
        <v>158</v>
      </c>
      <c r="BQ171" s="5" t="s">
        <v>158</v>
      </c>
      <c r="BR171" s="5" t="s">
        <v>158</v>
      </c>
      <c r="BS171" s="5" t="s">
        <v>158</v>
      </c>
      <c r="BT171" s="5" t="s">
        <v>158</v>
      </c>
      <c r="BU171" s="5" t="s">
        <v>158</v>
      </c>
      <c r="BV171" s="5" t="s">
        <v>158</v>
      </c>
      <c r="BW171" s="5" t="s">
        <v>158</v>
      </c>
      <c r="BX171" s="5" t="s">
        <v>158</v>
      </c>
      <c r="BY171" s="5" t="s">
        <v>158</v>
      </c>
      <c r="BZ171" s="5" t="s">
        <v>158</v>
      </c>
      <c r="CA171" s="5" t="s">
        <v>158</v>
      </c>
      <c r="CB171" s="5" t="s">
        <v>158</v>
      </c>
      <c r="CC171" s="5" t="s">
        <v>158</v>
      </c>
      <c r="CD171" s="5" t="s">
        <v>158</v>
      </c>
      <c r="CE171" s="5" t="s">
        <v>158</v>
      </c>
      <c r="CF171" s="5" t="s">
        <v>158</v>
      </c>
      <c r="CG171" s="5" t="s">
        <v>158</v>
      </c>
      <c r="CH171" s="5" t="s">
        <v>158</v>
      </c>
      <c r="CI171" s="17" t="s">
        <v>158</v>
      </c>
      <c r="CJ171" s="17" t="s">
        <v>158</v>
      </c>
      <c r="CK171" s="17" t="s">
        <v>158</v>
      </c>
      <c r="CL171" s="17" t="s">
        <v>158</v>
      </c>
      <c r="CM171" s="17" t="s">
        <v>158</v>
      </c>
      <c r="CN171" s="17" t="s">
        <v>158</v>
      </c>
      <c r="CO171" s="17" t="s">
        <v>158</v>
      </c>
      <c r="CP171" s="17" t="s">
        <v>158</v>
      </c>
      <c r="CQ171" s="17" t="s">
        <v>158</v>
      </c>
      <c r="CR171" s="17" t="s">
        <v>158</v>
      </c>
      <c r="CS171" s="17" t="s">
        <v>158</v>
      </c>
      <c r="CT171" s="17" t="s">
        <v>158</v>
      </c>
      <c r="CU171" s="17" t="s">
        <v>158</v>
      </c>
      <c r="CV171" s="17" t="s">
        <v>158</v>
      </c>
      <c r="CW171" s="17" t="s">
        <v>158</v>
      </c>
      <c r="CX171" s="17" t="s">
        <v>158</v>
      </c>
      <c r="CY171" s="67" t="s">
        <v>158</v>
      </c>
    </row>
    <row r="172" spans="1:103" x14ac:dyDescent="0.2">
      <c r="A172" s="37" t="s">
        <v>22</v>
      </c>
      <c r="B172" s="59" t="s">
        <v>22</v>
      </c>
      <c r="C172" s="25" t="s">
        <v>20</v>
      </c>
      <c r="D172" s="25" t="s">
        <v>125</v>
      </c>
      <c r="F172" s="40"/>
      <c r="G172" s="87">
        <v>40496</v>
      </c>
      <c r="H172" s="41">
        <v>2010</v>
      </c>
      <c r="I172" s="143" t="s">
        <v>3</v>
      </c>
      <c r="J172" s="143" t="s">
        <v>114</v>
      </c>
      <c r="K172" s="136">
        <v>0.72</v>
      </c>
      <c r="L172" s="5" t="s">
        <v>158</v>
      </c>
      <c r="M172" s="42">
        <v>2.9</v>
      </c>
      <c r="N172" s="42">
        <v>7.8</v>
      </c>
      <c r="O172" s="42">
        <v>13</v>
      </c>
      <c r="P172" s="42">
        <v>9.9</v>
      </c>
      <c r="Q172" s="42">
        <v>18</v>
      </c>
      <c r="R172" s="42">
        <v>11</v>
      </c>
      <c r="S172" s="42">
        <v>3.7</v>
      </c>
      <c r="T172" s="5">
        <f t="shared" si="129"/>
        <v>66.3</v>
      </c>
      <c r="U172" s="17">
        <f t="shared" si="78"/>
        <v>391.66666666666674</v>
      </c>
      <c r="V172" s="42">
        <v>9.1000000000000004E-3</v>
      </c>
      <c r="W172" s="42">
        <v>0.61</v>
      </c>
      <c r="X172" s="42">
        <v>0.18</v>
      </c>
      <c r="Y172" s="42">
        <v>0.18</v>
      </c>
      <c r="Z172" s="5" t="s">
        <v>158</v>
      </c>
      <c r="AA172" s="42">
        <v>5.7000000000000002E-2</v>
      </c>
      <c r="AB172" s="42">
        <v>2.8000000000000001E-2</v>
      </c>
      <c r="AC172" s="30" t="s">
        <v>158</v>
      </c>
      <c r="AD172" s="5" t="s">
        <v>158</v>
      </c>
      <c r="AE172" s="17">
        <f t="shared" si="125"/>
        <v>1.0640999999999998</v>
      </c>
      <c r="AF172" s="42">
        <f t="shared" si="130"/>
        <v>0.25</v>
      </c>
      <c r="AG172" s="18" t="s">
        <v>158</v>
      </c>
      <c r="AH172" s="31">
        <f t="shared" si="121"/>
        <v>13.617021276595745</v>
      </c>
      <c r="AI172" s="17" t="s">
        <v>158</v>
      </c>
      <c r="AJ172" s="17" t="s">
        <v>158</v>
      </c>
      <c r="AK172" s="17" t="s">
        <v>158</v>
      </c>
      <c r="AL172" s="17" t="s">
        <v>158</v>
      </c>
      <c r="AM172" s="17" t="s">
        <v>158</v>
      </c>
      <c r="AN172" s="17" t="s">
        <v>158</v>
      </c>
      <c r="AO172" s="17" t="s">
        <v>158</v>
      </c>
      <c r="AP172" s="17" t="s">
        <v>158</v>
      </c>
      <c r="AQ172" s="17" t="s">
        <v>158</v>
      </c>
      <c r="AR172" s="17" t="s">
        <v>158</v>
      </c>
      <c r="AS172" s="5" t="s">
        <v>158</v>
      </c>
      <c r="AT172" s="5" t="s">
        <v>158</v>
      </c>
      <c r="AU172" s="5" t="s">
        <v>158</v>
      </c>
      <c r="AV172" s="5" t="s">
        <v>158</v>
      </c>
      <c r="AW172" s="5" t="s">
        <v>158</v>
      </c>
      <c r="BC172" s="107">
        <v>256</v>
      </c>
      <c r="BD172" s="17" t="s">
        <v>158</v>
      </c>
      <c r="BE172" s="17" t="s">
        <v>158</v>
      </c>
      <c r="BF172" s="17" t="s">
        <v>158</v>
      </c>
      <c r="BG172" s="17" t="s">
        <v>158</v>
      </c>
      <c r="BH172" s="17" t="s">
        <v>158</v>
      </c>
      <c r="BI172" s="17" t="s">
        <v>158</v>
      </c>
      <c r="BJ172" s="17" t="s">
        <v>158</v>
      </c>
      <c r="BK172" s="17" t="s">
        <v>158</v>
      </c>
      <c r="BL172" s="17" t="s">
        <v>158</v>
      </c>
      <c r="BM172" s="17" t="s">
        <v>158</v>
      </c>
      <c r="BN172" s="5" t="s">
        <v>158</v>
      </c>
      <c r="BO172" s="5" t="s">
        <v>158</v>
      </c>
      <c r="BP172" s="5" t="s">
        <v>158</v>
      </c>
      <c r="BQ172" s="5" t="s">
        <v>158</v>
      </c>
      <c r="BR172" s="5" t="s">
        <v>158</v>
      </c>
      <c r="BS172" s="5" t="s">
        <v>158</v>
      </c>
      <c r="BT172" s="5" t="s">
        <v>158</v>
      </c>
      <c r="BU172" s="5" t="s">
        <v>158</v>
      </c>
      <c r="BV172" s="5" t="s">
        <v>158</v>
      </c>
      <c r="BW172" s="5" t="s">
        <v>158</v>
      </c>
      <c r="BX172" s="5" t="s">
        <v>158</v>
      </c>
      <c r="BY172" s="5" t="s">
        <v>158</v>
      </c>
      <c r="BZ172" s="5" t="s">
        <v>158</v>
      </c>
      <c r="CA172" s="5" t="s">
        <v>158</v>
      </c>
      <c r="CB172" s="5" t="s">
        <v>158</v>
      </c>
      <c r="CC172" s="5" t="s">
        <v>158</v>
      </c>
      <c r="CD172" s="5" t="s">
        <v>158</v>
      </c>
      <c r="CE172" s="5" t="s">
        <v>158</v>
      </c>
      <c r="CF172" s="5" t="s">
        <v>158</v>
      </c>
      <c r="CG172" s="5" t="s">
        <v>158</v>
      </c>
      <c r="CH172" s="5" t="s">
        <v>158</v>
      </c>
      <c r="CI172" s="17" t="s">
        <v>158</v>
      </c>
      <c r="CJ172" s="17" t="s">
        <v>158</v>
      </c>
      <c r="CK172" s="17" t="s">
        <v>158</v>
      </c>
      <c r="CL172" s="17" t="s">
        <v>158</v>
      </c>
      <c r="CM172" s="17" t="s">
        <v>158</v>
      </c>
      <c r="CN172" s="17" t="s">
        <v>158</v>
      </c>
      <c r="CO172" s="17" t="s">
        <v>158</v>
      </c>
      <c r="CP172" s="17" t="s">
        <v>158</v>
      </c>
      <c r="CQ172" s="17" t="s">
        <v>158</v>
      </c>
      <c r="CR172" s="17" t="s">
        <v>158</v>
      </c>
      <c r="CS172" s="17" t="s">
        <v>158</v>
      </c>
      <c r="CT172" s="17" t="s">
        <v>158</v>
      </c>
      <c r="CU172" s="17" t="s">
        <v>158</v>
      </c>
      <c r="CV172" s="17" t="s">
        <v>158</v>
      </c>
      <c r="CW172" s="17" t="s">
        <v>158</v>
      </c>
      <c r="CX172" s="17" t="s">
        <v>158</v>
      </c>
      <c r="CY172" s="67" t="s">
        <v>158</v>
      </c>
    </row>
    <row r="173" spans="1:103" x14ac:dyDescent="0.2">
      <c r="A173" s="37" t="s">
        <v>22</v>
      </c>
      <c r="B173" s="59" t="s">
        <v>22</v>
      </c>
      <c r="C173" s="25" t="s">
        <v>20</v>
      </c>
      <c r="D173" s="25" t="s">
        <v>125</v>
      </c>
      <c r="F173" s="40"/>
      <c r="G173" s="87">
        <v>40496</v>
      </c>
      <c r="H173" s="41">
        <v>2010</v>
      </c>
      <c r="I173" s="143" t="s">
        <v>3</v>
      </c>
      <c r="J173" s="143" t="s">
        <v>114</v>
      </c>
      <c r="K173" s="136">
        <v>0.74</v>
      </c>
      <c r="L173" s="5" t="s">
        <v>158</v>
      </c>
      <c r="M173" s="42">
        <v>5.0999999999999996</v>
      </c>
      <c r="N173" s="42">
        <v>8.6</v>
      </c>
      <c r="O173" s="42">
        <v>16</v>
      </c>
      <c r="P173" s="42">
        <v>13</v>
      </c>
      <c r="Q173" s="42">
        <v>35</v>
      </c>
      <c r="R173" s="42">
        <v>20</v>
      </c>
      <c r="S173" s="42">
        <v>7.7</v>
      </c>
      <c r="T173" s="5">
        <f t="shared" si="129"/>
        <v>105.4</v>
      </c>
      <c r="U173" s="17">
        <f t="shared" ref="U173:U192" si="131">SUM(M173,N173,O173,Q173,R173,S173)*(5/K173)</f>
        <v>624.32432432432438</v>
      </c>
      <c r="V173" s="42">
        <v>9.4000000000000004E-3</v>
      </c>
      <c r="W173" s="42">
        <v>0.85</v>
      </c>
      <c r="X173" s="42">
        <v>0.21</v>
      </c>
      <c r="Y173" s="42">
        <v>0.19</v>
      </c>
      <c r="Z173" s="5" t="s">
        <v>158</v>
      </c>
      <c r="AA173" s="42">
        <v>5.7000000000000002E-2</v>
      </c>
      <c r="AB173" s="42">
        <v>2.9000000000000001E-2</v>
      </c>
      <c r="AC173" s="30" t="s">
        <v>158</v>
      </c>
      <c r="AD173" s="5" t="s">
        <v>158</v>
      </c>
      <c r="AE173" s="17">
        <f t="shared" si="125"/>
        <v>1.3453999999999997</v>
      </c>
      <c r="AF173" s="42">
        <f t="shared" si="130"/>
        <v>0.25</v>
      </c>
      <c r="AG173" s="18" t="s">
        <v>158</v>
      </c>
      <c r="AH173" s="31">
        <f t="shared" si="121"/>
        <v>25.691489361702125</v>
      </c>
      <c r="AI173" s="17" t="s">
        <v>158</v>
      </c>
      <c r="AJ173" s="17" t="s">
        <v>158</v>
      </c>
      <c r="AK173" s="17" t="s">
        <v>158</v>
      </c>
      <c r="AL173" s="17" t="s">
        <v>158</v>
      </c>
      <c r="AM173" s="17" t="s">
        <v>158</v>
      </c>
      <c r="AN173" s="17" t="s">
        <v>158</v>
      </c>
      <c r="AO173" s="17" t="s">
        <v>158</v>
      </c>
      <c r="AP173" s="17" t="s">
        <v>158</v>
      </c>
      <c r="AQ173" s="17" t="s">
        <v>158</v>
      </c>
      <c r="AR173" s="17" t="s">
        <v>158</v>
      </c>
      <c r="AS173" s="5" t="s">
        <v>158</v>
      </c>
      <c r="AT173" s="5" t="s">
        <v>158</v>
      </c>
      <c r="AU173" s="5" t="s">
        <v>158</v>
      </c>
      <c r="AV173" s="5" t="s">
        <v>158</v>
      </c>
      <c r="AW173" s="5" t="s">
        <v>158</v>
      </c>
      <c r="BC173" s="107">
        <v>483</v>
      </c>
      <c r="BD173" s="17" t="s">
        <v>158</v>
      </c>
      <c r="BE173" s="17" t="s">
        <v>158</v>
      </c>
      <c r="BF173" s="17" t="s">
        <v>158</v>
      </c>
      <c r="BG173" s="17" t="s">
        <v>158</v>
      </c>
      <c r="BH173" s="17" t="s">
        <v>158</v>
      </c>
      <c r="BI173" s="17" t="s">
        <v>158</v>
      </c>
      <c r="BJ173" s="17" t="s">
        <v>158</v>
      </c>
      <c r="BK173" s="17" t="s">
        <v>158</v>
      </c>
      <c r="BL173" s="17" t="s">
        <v>158</v>
      </c>
      <c r="BM173" s="17" t="s">
        <v>158</v>
      </c>
      <c r="BN173" s="5" t="s">
        <v>158</v>
      </c>
      <c r="BO173" s="5" t="s">
        <v>158</v>
      </c>
      <c r="BP173" s="5" t="s">
        <v>158</v>
      </c>
      <c r="BQ173" s="5" t="s">
        <v>158</v>
      </c>
      <c r="BR173" s="5" t="s">
        <v>158</v>
      </c>
      <c r="BS173" s="5" t="s">
        <v>158</v>
      </c>
      <c r="BT173" s="5" t="s">
        <v>158</v>
      </c>
      <c r="BU173" s="5" t="s">
        <v>158</v>
      </c>
      <c r="BV173" s="5" t="s">
        <v>158</v>
      </c>
      <c r="BW173" s="5" t="s">
        <v>158</v>
      </c>
      <c r="BX173" s="5" t="s">
        <v>158</v>
      </c>
      <c r="BY173" s="5" t="s">
        <v>158</v>
      </c>
      <c r="BZ173" s="5" t="s">
        <v>158</v>
      </c>
      <c r="CA173" s="5" t="s">
        <v>158</v>
      </c>
      <c r="CB173" s="5" t="s">
        <v>158</v>
      </c>
      <c r="CC173" s="5" t="s">
        <v>158</v>
      </c>
      <c r="CD173" s="5" t="s">
        <v>158</v>
      </c>
      <c r="CE173" s="5" t="s">
        <v>158</v>
      </c>
      <c r="CF173" s="5" t="s">
        <v>158</v>
      </c>
      <c r="CG173" s="5" t="s">
        <v>158</v>
      </c>
      <c r="CH173" s="5" t="s">
        <v>158</v>
      </c>
      <c r="CI173" s="17" t="s">
        <v>158</v>
      </c>
      <c r="CJ173" s="17" t="s">
        <v>158</v>
      </c>
      <c r="CK173" s="17" t="s">
        <v>158</v>
      </c>
      <c r="CL173" s="17" t="s">
        <v>158</v>
      </c>
      <c r="CM173" s="17" t="s">
        <v>158</v>
      </c>
      <c r="CN173" s="17" t="s">
        <v>158</v>
      </c>
      <c r="CO173" s="17" t="s">
        <v>158</v>
      </c>
      <c r="CP173" s="17" t="s">
        <v>158</v>
      </c>
      <c r="CQ173" s="17" t="s">
        <v>158</v>
      </c>
      <c r="CR173" s="17" t="s">
        <v>158</v>
      </c>
      <c r="CS173" s="17" t="s">
        <v>158</v>
      </c>
      <c r="CT173" s="17" t="s">
        <v>158</v>
      </c>
      <c r="CU173" s="17" t="s">
        <v>158</v>
      </c>
      <c r="CV173" s="17" t="s">
        <v>158</v>
      </c>
      <c r="CW173" s="17" t="s">
        <v>158</v>
      </c>
      <c r="CX173" s="17" t="s">
        <v>158</v>
      </c>
      <c r="CY173" s="67" t="s">
        <v>158</v>
      </c>
    </row>
    <row r="174" spans="1:103" x14ac:dyDescent="0.2">
      <c r="A174" s="37" t="s">
        <v>22</v>
      </c>
      <c r="B174" s="59" t="s">
        <v>22</v>
      </c>
      <c r="C174" s="25" t="s">
        <v>20</v>
      </c>
      <c r="D174" s="25" t="s">
        <v>125</v>
      </c>
      <c r="F174" s="40"/>
      <c r="G174" s="87">
        <v>40496</v>
      </c>
      <c r="H174" s="41">
        <v>2010</v>
      </c>
      <c r="I174" s="143" t="s">
        <v>3</v>
      </c>
      <c r="J174" s="143" t="s">
        <v>114</v>
      </c>
      <c r="K174" s="136">
        <v>0.61</v>
      </c>
      <c r="L174" s="5" t="s">
        <v>158</v>
      </c>
      <c r="M174" s="42">
        <v>2.1</v>
      </c>
      <c r="N174" s="42">
        <v>5.2</v>
      </c>
      <c r="O174" s="42">
        <v>5</v>
      </c>
      <c r="P174" s="42">
        <v>4.8</v>
      </c>
      <c r="Q174" s="42">
        <v>8.4</v>
      </c>
      <c r="R174" s="42">
        <v>6</v>
      </c>
      <c r="S174" s="42">
        <v>2.2000000000000002</v>
      </c>
      <c r="T174" s="5">
        <f t="shared" si="129"/>
        <v>33.700000000000003</v>
      </c>
      <c r="U174" s="17">
        <f t="shared" si="131"/>
        <v>236.88524590163934</v>
      </c>
      <c r="V174" s="42">
        <v>6.9000000000000008E-3</v>
      </c>
      <c r="W174" s="42">
        <v>0.3</v>
      </c>
      <c r="X174" s="42">
        <v>0.11</v>
      </c>
      <c r="Y174" s="42">
        <v>0.13</v>
      </c>
      <c r="Z174" s="5" t="s">
        <v>158</v>
      </c>
      <c r="AA174" s="42">
        <v>2.3E-2</v>
      </c>
      <c r="AB174" s="42">
        <v>8.199999999999999E-3</v>
      </c>
      <c r="AC174" s="30" t="s">
        <v>158</v>
      </c>
      <c r="AD174" s="5" t="s">
        <v>158</v>
      </c>
      <c r="AE174" s="17">
        <f t="shared" si="125"/>
        <v>0.57810000000000006</v>
      </c>
      <c r="AF174" s="42">
        <f t="shared" si="130"/>
        <v>0.25</v>
      </c>
      <c r="AG174" s="18" t="s">
        <v>158</v>
      </c>
      <c r="AH174" s="31">
        <f t="shared" si="121"/>
        <v>14.627659574468085</v>
      </c>
      <c r="AI174" s="17" t="s">
        <v>158</v>
      </c>
      <c r="AJ174" s="17" t="s">
        <v>158</v>
      </c>
      <c r="AK174" s="17" t="s">
        <v>158</v>
      </c>
      <c r="AL174" s="17" t="s">
        <v>158</v>
      </c>
      <c r="AM174" s="17" t="s">
        <v>158</v>
      </c>
      <c r="AN174" s="17" t="s">
        <v>158</v>
      </c>
      <c r="AO174" s="17" t="s">
        <v>158</v>
      </c>
      <c r="AP174" s="17" t="s">
        <v>158</v>
      </c>
      <c r="AQ174" s="17" t="s">
        <v>158</v>
      </c>
      <c r="AR174" s="17" t="s">
        <v>158</v>
      </c>
      <c r="AS174" s="5" t="s">
        <v>158</v>
      </c>
      <c r="AT174" s="5" t="s">
        <v>158</v>
      </c>
      <c r="AU174" s="5" t="s">
        <v>158</v>
      </c>
      <c r="AV174" s="5" t="s">
        <v>158</v>
      </c>
      <c r="AW174" s="5" t="s">
        <v>158</v>
      </c>
      <c r="BC174" s="107">
        <v>275</v>
      </c>
      <c r="BD174" s="17" t="s">
        <v>158</v>
      </c>
      <c r="BE174" s="17" t="s">
        <v>158</v>
      </c>
      <c r="BF174" s="17" t="s">
        <v>158</v>
      </c>
      <c r="BG174" s="17" t="s">
        <v>158</v>
      </c>
      <c r="BH174" s="17" t="s">
        <v>158</v>
      </c>
      <c r="BI174" s="17" t="s">
        <v>158</v>
      </c>
      <c r="BJ174" s="17" t="s">
        <v>158</v>
      </c>
      <c r="BK174" s="17" t="s">
        <v>158</v>
      </c>
      <c r="BL174" s="17" t="s">
        <v>158</v>
      </c>
      <c r="BM174" s="17" t="s">
        <v>158</v>
      </c>
      <c r="BN174" s="5" t="s">
        <v>158</v>
      </c>
      <c r="BO174" s="5" t="s">
        <v>158</v>
      </c>
      <c r="BP174" s="5" t="s">
        <v>158</v>
      </c>
      <c r="BQ174" s="5" t="s">
        <v>158</v>
      </c>
      <c r="BR174" s="5" t="s">
        <v>158</v>
      </c>
      <c r="BS174" s="5" t="s">
        <v>158</v>
      </c>
      <c r="BT174" s="5" t="s">
        <v>158</v>
      </c>
      <c r="BU174" s="5" t="s">
        <v>158</v>
      </c>
      <c r="BV174" s="5" t="s">
        <v>158</v>
      </c>
      <c r="BW174" s="5" t="s">
        <v>158</v>
      </c>
      <c r="BX174" s="5" t="s">
        <v>158</v>
      </c>
      <c r="BY174" s="5" t="s">
        <v>158</v>
      </c>
      <c r="BZ174" s="5" t="s">
        <v>158</v>
      </c>
      <c r="CA174" s="5" t="s">
        <v>158</v>
      </c>
      <c r="CB174" s="5" t="s">
        <v>158</v>
      </c>
      <c r="CC174" s="5" t="s">
        <v>158</v>
      </c>
      <c r="CD174" s="5" t="s">
        <v>158</v>
      </c>
      <c r="CE174" s="5" t="s">
        <v>158</v>
      </c>
      <c r="CF174" s="5" t="s">
        <v>158</v>
      </c>
      <c r="CG174" s="5" t="s">
        <v>158</v>
      </c>
      <c r="CH174" s="5" t="s">
        <v>158</v>
      </c>
      <c r="CI174" s="17" t="s">
        <v>158</v>
      </c>
      <c r="CJ174" s="17" t="s">
        <v>158</v>
      </c>
      <c r="CK174" s="17" t="s">
        <v>158</v>
      </c>
      <c r="CL174" s="17" t="s">
        <v>158</v>
      </c>
      <c r="CM174" s="17" t="s">
        <v>158</v>
      </c>
      <c r="CN174" s="17" t="s">
        <v>158</v>
      </c>
      <c r="CO174" s="17" t="s">
        <v>158</v>
      </c>
      <c r="CP174" s="17" t="s">
        <v>158</v>
      </c>
      <c r="CQ174" s="17" t="s">
        <v>158</v>
      </c>
      <c r="CR174" s="17" t="s">
        <v>158</v>
      </c>
      <c r="CS174" s="17" t="s">
        <v>158</v>
      </c>
      <c r="CT174" s="17" t="s">
        <v>158</v>
      </c>
      <c r="CU174" s="17" t="s">
        <v>158</v>
      </c>
      <c r="CV174" s="17" t="s">
        <v>158</v>
      </c>
      <c r="CW174" s="17" t="s">
        <v>158</v>
      </c>
      <c r="CX174" s="17" t="s">
        <v>158</v>
      </c>
      <c r="CY174" s="67" t="s">
        <v>158</v>
      </c>
    </row>
    <row r="175" spans="1:103" x14ac:dyDescent="0.2">
      <c r="A175" s="37" t="s">
        <v>22</v>
      </c>
      <c r="B175" s="59" t="s">
        <v>22</v>
      </c>
      <c r="C175" s="25" t="s">
        <v>20</v>
      </c>
      <c r="D175" s="25" t="s">
        <v>125</v>
      </c>
      <c r="F175" s="40"/>
      <c r="G175" s="87">
        <v>40496</v>
      </c>
      <c r="H175" s="41">
        <v>2010</v>
      </c>
      <c r="I175" s="143" t="s">
        <v>3</v>
      </c>
      <c r="J175" s="143" t="s">
        <v>114</v>
      </c>
      <c r="K175" s="136">
        <v>0.52</v>
      </c>
      <c r="L175" s="5" t="s">
        <v>158</v>
      </c>
      <c r="M175" s="42">
        <v>4.0999999999999996</v>
      </c>
      <c r="N175" s="42">
        <v>7.4</v>
      </c>
      <c r="O175" s="42">
        <v>9.5</v>
      </c>
      <c r="P175" s="42">
        <v>6.8</v>
      </c>
      <c r="Q175" s="42">
        <v>14</v>
      </c>
      <c r="R175" s="42">
        <v>10</v>
      </c>
      <c r="S175" s="42">
        <v>3.2</v>
      </c>
      <c r="T175" s="5">
        <f t="shared" si="129"/>
        <v>55</v>
      </c>
      <c r="U175" s="17">
        <f t="shared" si="131"/>
        <v>463.46153846153845</v>
      </c>
      <c r="V175" s="42">
        <v>0.01</v>
      </c>
      <c r="W175" s="42">
        <v>0.45</v>
      </c>
      <c r="X175" s="42">
        <v>0.15</v>
      </c>
      <c r="Y175" s="42">
        <v>0.21</v>
      </c>
      <c r="Z175" s="5" t="s">
        <v>158</v>
      </c>
      <c r="AA175" s="42">
        <v>3.6999999999999998E-2</v>
      </c>
      <c r="AB175" s="42">
        <v>2.4E-2</v>
      </c>
      <c r="AC175" s="30" t="s">
        <v>158</v>
      </c>
      <c r="AD175" s="5" t="s">
        <v>158</v>
      </c>
      <c r="AE175" s="17">
        <f t="shared" si="125"/>
        <v>0.88100000000000012</v>
      </c>
      <c r="AF175" s="42">
        <f t="shared" si="130"/>
        <v>0.25</v>
      </c>
      <c r="AG175" s="18" t="s">
        <v>158</v>
      </c>
      <c r="AH175" s="31">
        <f t="shared" si="121"/>
        <v>13.24468085106383</v>
      </c>
      <c r="AI175" s="17" t="s">
        <v>158</v>
      </c>
      <c r="AJ175" s="17" t="s">
        <v>158</v>
      </c>
      <c r="AK175" s="17" t="s">
        <v>158</v>
      </c>
      <c r="AL175" s="17" t="s">
        <v>158</v>
      </c>
      <c r="AM175" s="17" t="s">
        <v>158</v>
      </c>
      <c r="AN175" s="17" t="s">
        <v>158</v>
      </c>
      <c r="AO175" s="17" t="s">
        <v>158</v>
      </c>
      <c r="AP175" s="17" t="s">
        <v>158</v>
      </c>
      <c r="AQ175" s="17" t="s">
        <v>158</v>
      </c>
      <c r="AR175" s="17" t="s">
        <v>158</v>
      </c>
      <c r="AS175" s="5" t="s">
        <v>158</v>
      </c>
      <c r="AT175" s="5" t="s">
        <v>158</v>
      </c>
      <c r="AU175" s="5" t="s">
        <v>158</v>
      </c>
      <c r="AV175" s="5" t="s">
        <v>158</v>
      </c>
      <c r="AW175" s="5" t="s">
        <v>158</v>
      </c>
      <c r="BC175" s="107">
        <v>249</v>
      </c>
      <c r="BD175" s="17" t="s">
        <v>158</v>
      </c>
      <c r="BE175" s="17" t="s">
        <v>158</v>
      </c>
      <c r="BF175" s="17" t="s">
        <v>158</v>
      </c>
      <c r="BG175" s="17" t="s">
        <v>158</v>
      </c>
      <c r="BH175" s="17" t="s">
        <v>158</v>
      </c>
      <c r="BI175" s="17" t="s">
        <v>158</v>
      </c>
      <c r="BJ175" s="17" t="s">
        <v>158</v>
      </c>
      <c r="BK175" s="17" t="s">
        <v>158</v>
      </c>
      <c r="BL175" s="17" t="s">
        <v>158</v>
      </c>
      <c r="BM175" s="17" t="s">
        <v>158</v>
      </c>
      <c r="BN175" s="5" t="s">
        <v>158</v>
      </c>
      <c r="BO175" s="5" t="s">
        <v>158</v>
      </c>
      <c r="BP175" s="5" t="s">
        <v>158</v>
      </c>
      <c r="BQ175" s="5" t="s">
        <v>158</v>
      </c>
      <c r="BR175" s="5" t="s">
        <v>158</v>
      </c>
      <c r="BS175" s="5" t="s">
        <v>158</v>
      </c>
      <c r="BT175" s="5" t="s">
        <v>158</v>
      </c>
      <c r="BU175" s="5" t="s">
        <v>158</v>
      </c>
      <c r="BV175" s="5" t="s">
        <v>158</v>
      </c>
      <c r="BW175" s="5" t="s">
        <v>158</v>
      </c>
      <c r="BX175" s="5" t="s">
        <v>158</v>
      </c>
      <c r="BY175" s="5" t="s">
        <v>158</v>
      </c>
      <c r="BZ175" s="5" t="s">
        <v>158</v>
      </c>
      <c r="CA175" s="5" t="s">
        <v>158</v>
      </c>
      <c r="CB175" s="5" t="s">
        <v>158</v>
      </c>
      <c r="CC175" s="5" t="s">
        <v>158</v>
      </c>
      <c r="CD175" s="5" t="s">
        <v>158</v>
      </c>
      <c r="CE175" s="5" t="s">
        <v>158</v>
      </c>
      <c r="CF175" s="5" t="s">
        <v>158</v>
      </c>
      <c r="CG175" s="5" t="s">
        <v>158</v>
      </c>
      <c r="CH175" s="5" t="s">
        <v>158</v>
      </c>
      <c r="CI175" s="17" t="s">
        <v>158</v>
      </c>
      <c r="CJ175" s="17" t="s">
        <v>158</v>
      </c>
      <c r="CK175" s="17" t="s">
        <v>158</v>
      </c>
      <c r="CL175" s="17" t="s">
        <v>158</v>
      </c>
      <c r="CM175" s="17" t="s">
        <v>158</v>
      </c>
      <c r="CN175" s="17" t="s">
        <v>158</v>
      </c>
      <c r="CO175" s="17" t="s">
        <v>158</v>
      </c>
      <c r="CP175" s="17" t="s">
        <v>158</v>
      </c>
      <c r="CQ175" s="17" t="s">
        <v>158</v>
      </c>
      <c r="CR175" s="17" t="s">
        <v>158</v>
      </c>
      <c r="CS175" s="17" t="s">
        <v>158</v>
      </c>
      <c r="CT175" s="17" t="s">
        <v>158</v>
      </c>
      <c r="CU175" s="17" t="s">
        <v>158</v>
      </c>
      <c r="CV175" s="17" t="s">
        <v>158</v>
      </c>
      <c r="CW175" s="17" t="s">
        <v>158</v>
      </c>
      <c r="CX175" s="17" t="s">
        <v>158</v>
      </c>
      <c r="CY175" s="67" t="s">
        <v>158</v>
      </c>
    </row>
    <row r="176" spans="1:103" x14ac:dyDescent="0.2">
      <c r="A176" s="37" t="s">
        <v>22</v>
      </c>
      <c r="B176" s="59" t="s">
        <v>22</v>
      </c>
      <c r="C176" s="25" t="s">
        <v>20</v>
      </c>
      <c r="D176" s="25" t="s">
        <v>125</v>
      </c>
      <c r="F176" s="44"/>
      <c r="G176" s="87">
        <v>40496</v>
      </c>
      <c r="H176" s="41">
        <v>2010</v>
      </c>
      <c r="I176" s="143" t="s">
        <v>3</v>
      </c>
      <c r="J176" s="143" t="s">
        <v>114</v>
      </c>
      <c r="K176" s="136">
        <v>0.64</v>
      </c>
      <c r="L176" s="5" t="s">
        <v>158</v>
      </c>
      <c r="M176" s="42">
        <v>0.91</v>
      </c>
      <c r="N176" s="42">
        <v>1.6</v>
      </c>
      <c r="O176" s="42">
        <v>2.1</v>
      </c>
      <c r="P176" s="42">
        <v>2</v>
      </c>
      <c r="Q176" s="42">
        <v>4.7</v>
      </c>
      <c r="R176" s="42">
        <v>3.2</v>
      </c>
      <c r="S176" s="42">
        <v>1.1000000000000001</v>
      </c>
      <c r="T176" s="5">
        <f t="shared" si="129"/>
        <v>15.610000000000001</v>
      </c>
      <c r="U176" s="17">
        <f t="shared" si="131"/>
        <v>106.32812500000001</v>
      </c>
      <c r="V176" s="42">
        <v>3.2000000000000002E-3</v>
      </c>
      <c r="W176" s="42">
        <v>0.18</v>
      </c>
      <c r="X176" s="42">
        <v>6.8000000000000005E-2</v>
      </c>
      <c r="Y176" s="42">
        <v>6.7000000000000004E-2</v>
      </c>
      <c r="Z176" s="5" t="s">
        <v>158</v>
      </c>
      <c r="AA176" s="42">
        <v>2.7E-2</v>
      </c>
      <c r="AB176" s="42">
        <v>1.2E-2</v>
      </c>
      <c r="AC176" s="30" t="s">
        <v>158</v>
      </c>
      <c r="AD176" s="5" t="s">
        <v>158</v>
      </c>
      <c r="AE176" s="17">
        <f t="shared" si="125"/>
        <v>0.35720000000000002</v>
      </c>
      <c r="AF176" s="42">
        <f>0.5*2.5</f>
        <v>1.25</v>
      </c>
      <c r="AG176" s="18" t="s">
        <v>158</v>
      </c>
      <c r="AH176" s="31">
        <f t="shared" si="121"/>
        <v>0.70212765957446799</v>
      </c>
      <c r="AI176" s="17" t="s">
        <v>158</v>
      </c>
      <c r="AJ176" s="17" t="s">
        <v>158</v>
      </c>
      <c r="AK176" s="17" t="s">
        <v>158</v>
      </c>
      <c r="AL176" s="17" t="s">
        <v>158</v>
      </c>
      <c r="AM176" s="17" t="s">
        <v>158</v>
      </c>
      <c r="AN176" s="17" t="s">
        <v>158</v>
      </c>
      <c r="AO176" s="17" t="s">
        <v>158</v>
      </c>
      <c r="AP176" s="17" t="s">
        <v>158</v>
      </c>
      <c r="AQ176" s="17" t="s">
        <v>158</v>
      </c>
      <c r="AR176" s="17" t="s">
        <v>158</v>
      </c>
      <c r="AS176" s="5" t="s">
        <v>158</v>
      </c>
      <c r="AT176" s="5" t="s">
        <v>158</v>
      </c>
      <c r="AU176" s="5" t="s">
        <v>158</v>
      </c>
      <c r="AV176" s="5" t="s">
        <v>158</v>
      </c>
      <c r="AW176" s="5" t="s">
        <v>158</v>
      </c>
      <c r="BC176" s="107">
        <v>13.2</v>
      </c>
      <c r="BD176" s="17" t="s">
        <v>158</v>
      </c>
      <c r="BE176" s="17" t="s">
        <v>158</v>
      </c>
      <c r="BF176" s="17" t="s">
        <v>158</v>
      </c>
      <c r="BG176" s="17" t="s">
        <v>158</v>
      </c>
      <c r="BH176" s="17" t="s">
        <v>158</v>
      </c>
      <c r="BI176" s="17" t="s">
        <v>158</v>
      </c>
      <c r="BJ176" s="17" t="s">
        <v>158</v>
      </c>
      <c r="BK176" s="17" t="s">
        <v>158</v>
      </c>
      <c r="BL176" s="17" t="s">
        <v>158</v>
      </c>
      <c r="BM176" s="17" t="s">
        <v>158</v>
      </c>
      <c r="BN176" s="5" t="s">
        <v>158</v>
      </c>
      <c r="BO176" s="5" t="s">
        <v>158</v>
      </c>
      <c r="BP176" s="5" t="s">
        <v>158</v>
      </c>
      <c r="BQ176" s="5" t="s">
        <v>158</v>
      </c>
      <c r="BR176" s="5" t="s">
        <v>158</v>
      </c>
      <c r="BS176" s="5" t="s">
        <v>158</v>
      </c>
      <c r="BT176" s="5" t="s">
        <v>158</v>
      </c>
      <c r="BU176" s="5" t="s">
        <v>158</v>
      </c>
      <c r="BV176" s="5" t="s">
        <v>158</v>
      </c>
      <c r="BW176" s="5" t="s">
        <v>158</v>
      </c>
      <c r="BX176" s="5" t="s">
        <v>158</v>
      </c>
      <c r="BY176" s="5" t="s">
        <v>158</v>
      </c>
      <c r="BZ176" s="5" t="s">
        <v>158</v>
      </c>
      <c r="CA176" s="5" t="s">
        <v>158</v>
      </c>
      <c r="CB176" s="5" t="s">
        <v>158</v>
      </c>
      <c r="CC176" s="5" t="s">
        <v>158</v>
      </c>
      <c r="CD176" s="5" t="s">
        <v>158</v>
      </c>
      <c r="CE176" s="5" t="s">
        <v>158</v>
      </c>
      <c r="CF176" s="5" t="s">
        <v>158</v>
      </c>
      <c r="CG176" s="5" t="s">
        <v>158</v>
      </c>
      <c r="CH176" s="5" t="s">
        <v>158</v>
      </c>
      <c r="CI176" s="17" t="s">
        <v>158</v>
      </c>
      <c r="CJ176" s="17" t="s">
        <v>158</v>
      </c>
      <c r="CK176" s="17" t="s">
        <v>158</v>
      </c>
      <c r="CL176" s="17" t="s">
        <v>158</v>
      </c>
      <c r="CM176" s="17" t="s">
        <v>158</v>
      </c>
      <c r="CN176" s="17" t="s">
        <v>158</v>
      </c>
      <c r="CO176" s="17" t="s">
        <v>158</v>
      </c>
      <c r="CP176" s="17" t="s">
        <v>158</v>
      </c>
      <c r="CQ176" s="17" t="s">
        <v>158</v>
      </c>
      <c r="CR176" s="17" t="s">
        <v>158</v>
      </c>
      <c r="CS176" s="17" t="s">
        <v>158</v>
      </c>
      <c r="CT176" s="17" t="s">
        <v>158</v>
      </c>
      <c r="CU176" s="17" t="s">
        <v>158</v>
      </c>
      <c r="CV176" s="17" t="s">
        <v>158</v>
      </c>
      <c r="CW176" s="17" t="s">
        <v>158</v>
      </c>
      <c r="CX176" s="17" t="s">
        <v>158</v>
      </c>
      <c r="CY176" s="67" t="s">
        <v>158</v>
      </c>
    </row>
    <row r="177" spans="1:103" x14ac:dyDescent="0.2">
      <c r="A177" s="37" t="s">
        <v>22</v>
      </c>
      <c r="B177" s="59" t="s">
        <v>22</v>
      </c>
      <c r="C177" s="25" t="s">
        <v>20</v>
      </c>
      <c r="D177" s="25" t="s">
        <v>125</v>
      </c>
      <c r="F177" s="44"/>
      <c r="G177" s="87">
        <v>40496</v>
      </c>
      <c r="H177" s="41">
        <v>2010</v>
      </c>
      <c r="I177" s="143" t="s">
        <v>3</v>
      </c>
      <c r="J177" s="143" t="s">
        <v>114</v>
      </c>
      <c r="K177" s="136">
        <v>0.71</v>
      </c>
      <c r="L177" s="5" t="s">
        <v>158</v>
      </c>
      <c r="M177" s="42">
        <v>1.9</v>
      </c>
      <c r="N177" s="42">
        <v>5</v>
      </c>
      <c r="O177" s="42">
        <v>8.3000000000000007</v>
      </c>
      <c r="P177" s="42">
        <v>8.1</v>
      </c>
      <c r="Q177" s="42">
        <v>15</v>
      </c>
      <c r="R177" s="42">
        <v>12</v>
      </c>
      <c r="S177" s="42">
        <v>3.9</v>
      </c>
      <c r="T177" s="5">
        <f t="shared" si="129"/>
        <v>54.199999999999996</v>
      </c>
      <c r="U177" s="17">
        <f t="shared" si="131"/>
        <v>324.64788732394368</v>
      </c>
      <c r="V177" s="42">
        <v>6.3E-3</v>
      </c>
      <c r="W177" s="42">
        <v>0.63</v>
      </c>
      <c r="X177" s="42">
        <v>0.21</v>
      </c>
      <c r="Y177" s="42">
        <v>0.24</v>
      </c>
      <c r="Z177" s="5" t="s">
        <v>158</v>
      </c>
      <c r="AA177" s="42">
        <v>6.5000000000000002E-2</v>
      </c>
      <c r="AB177" s="42">
        <v>4.2999999999999997E-2</v>
      </c>
      <c r="AC177" s="30" t="s">
        <v>158</v>
      </c>
      <c r="AD177" s="5" t="s">
        <v>158</v>
      </c>
      <c r="AE177" s="17">
        <f t="shared" si="125"/>
        <v>1.1942999999999999</v>
      </c>
      <c r="AF177" s="42">
        <f t="shared" ref="AF177:AF183" si="132">0.5*0.5</f>
        <v>0.25</v>
      </c>
      <c r="AG177" s="18" t="s">
        <v>158</v>
      </c>
      <c r="AH177" s="31">
        <f t="shared" si="121"/>
        <v>15.212765957446807</v>
      </c>
      <c r="AI177" s="17" t="s">
        <v>158</v>
      </c>
      <c r="AJ177" s="17" t="s">
        <v>158</v>
      </c>
      <c r="AK177" s="17" t="s">
        <v>158</v>
      </c>
      <c r="AL177" s="17" t="s">
        <v>158</v>
      </c>
      <c r="AM177" s="17" t="s">
        <v>158</v>
      </c>
      <c r="AN177" s="17" t="s">
        <v>158</v>
      </c>
      <c r="AO177" s="17" t="s">
        <v>158</v>
      </c>
      <c r="AP177" s="17" t="s">
        <v>158</v>
      </c>
      <c r="AQ177" s="17" t="s">
        <v>158</v>
      </c>
      <c r="AR177" s="17" t="s">
        <v>158</v>
      </c>
      <c r="AS177" s="5" t="s">
        <v>158</v>
      </c>
      <c r="AT177" s="5" t="s">
        <v>158</v>
      </c>
      <c r="AU177" s="5" t="s">
        <v>158</v>
      </c>
      <c r="AV177" s="5" t="s">
        <v>158</v>
      </c>
      <c r="AW177" s="5" t="s">
        <v>158</v>
      </c>
      <c r="BC177" s="107">
        <v>286</v>
      </c>
      <c r="BD177" s="17" t="s">
        <v>158</v>
      </c>
      <c r="BE177" s="17" t="s">
        <v>158</v>
      </c>
      <c r="BF177" s="17" t="s">
        <v>158</v>
      </c>
      <c r="BG177" s="17" t="s">
        <v>158</v>
      </c>
      <c r="BH177" s="17" t="s">
        <v>158</v>
      </c>
      <c r="BI177" s="17" t="s">
        <v>158</v>
      </c>
      <c r="BJ177" s="17" t="s">
        <v>158</v>
      </c>
      <c r="BK177" s="17" t="s">
        <v>158</v>
      </c>
      <c r="BL177" s="17" t="s">
        <v>158</v>
      </c>
      <c r="BM177" s="17" t="s">
        <v>158</v>
      </c>
      <c r="BN177" s="5" t="s">
        <v>158</v>
      </c>
      <c r="BO177" s="5" t="s">
        <v>158</v>
      </c>
      <c r="BP177" s="5" t="s">
        <v>158</v>
      </c>
      <c r="BQ177" s="5" t="s">
        <v>158</v>
      </c>
      <c r="BR177" s="5" t="s">
        <v>158</v>
      </c>
      <c r="BS177" s="5" t="s">
        <v>158</v>
      </c>
      <c r="BT177" s="5" t="s">
        <v>158</v>
      </c>
      <c r="BU177" s="5" t="s">
        <v>158</v>
      </c>
      <c r="BV177" s="5" t="s">
        <v>158</v>
      </c>
      <c r="BW177" s="5" t="s">
        <v>158</v>
      </c>
      <c r="BX177" s="5" t="s">
        <v>158</v>
      </c>
      <c r="BY177" s="5" t="s">
        <v>158</v>
      </c>
      <c r="BZ177" s="5" t="s">
        <v>158</v>
      </c>
      <c r="CA177" s="5" t="s">
        <v>158</v>
      </c>
      <c r="CB177" s="5" t="s">
        <v>158</v>
      </c>
      <c r="CC177" s="5" t="s">
        <v>158</v>
      </c>
      <c r="CD177" s="5" t="s">
        <v>158</v>
      </c>
      <c r="CE177" s="5" t="s">
        <v>158</v>
      </c>
      <c r="CF177" s="5" t="s">
        <v>158</v>
      </c>
      <c r="CG177" s="5" t="s">
        <v>158</v>
      </c>
      <c r="CH177" s="5" t="s">
        <v>158</v>
      </c>
      <c r="CI177" s="17" t="s">
        <v>158</v>
      </c>
      <c r="CJ177" s="17" t="s">
        <v>158</v>
      </c>
      <c r="CK177" s="17" t="s">
        <v>158</v>
      </c>
      <c r="CL177" s="17" t="s">
        <v>158</v>
      </c>
      <c r="CM177" s="17" t="s">
        <v>158</v>
      </c>
      <c r="CN177" s="17" t="s">
        <v>158</v>
      </c>
      <c r="CO177" s="17" t="s">
        <v>158</v>
      </c>
      <c r="CP177" s="17" t="s">
        <v>158</v>
      </c>
      <c r="CQ177" s="17" t="s">
        <v>158</v>
      </c>
      <c r="CR177" s="17" t="s">
        <v>158</v>
      </c>
      <c r="CS177" s="17" t="s">
        <v>158</v>
      </c>
      <c r="CT177" s="17" t="s">
        <v>158</v>
      </c>
      <c r="CU177" s="17" t="s">
        <v>158</v>
      </c>
      <c r="CV177" s="17" t="s">
        <v>158</v>
      </c>
      <c r="CW177" s="17" t="s">
        <v>158</v>
      </c>
      <c r="CX177" s="17" t="s">
        <v>158</v>
      </c>
      <c r="CY177" s="67" t="s">
        <v>158</v>
      </c>
    </row>
    <row r="178" spans="1:103" x14ac:dyDescent="0.2">
      <c r="A178" s="37" t="s">
        <v>21</v>
      </c>
      <c r="B178" s="59" t="s">
        <v>21</v>
      </c>
      <c r="C178" s="25" t="s">
        <v>20</v>
      </c>
      <c r="D178" s="25" t="s">
        <v>125</v>
      </c>
      <c r="F178" s="44"/>
      <c r="G178" s="87">
        <v>40433</v>
      </c>
      <c r="H178" s="41">
        <v>2010</v>
      </c>
      <c r="I178" s="143" t="s">
        <v>3</v>
      </c>
      <c r="J178" s="143" t="s">
        <v>114</v>
      </c>
      <c r="K178" s="136">
        <v>0.48</v>
      </c>
      <c r="L178" s="5" t="s">
        <v>158</v>
      </c>
      <c r="M178" s="42">
        <v>0.23</v>
      </c>
      <c r="N178" s="42">
        <v>0.44</v>
      </c>
      <c r="O178" s="42">
        <v>2.5</v>
      </c>
      <c r="P178" s="42">
        <v>2</v>
      </c>
      <c r="Q178" s="42">
        <v>7</v>
      </c>
      <c r="R178" s="42">
        <v>4</v>
      </c>
      <c r="S178" s="42">
        <v>2</v>
      </c>
      <c r="T178" s="5">
        <f t="shared" si="129"/>
        <v>18.170000000000002</v>
      </c>
      <c r="U178" s="17">
        <f t="shared" si="131"/>
        <v>168.43750000000003</v>
      </c>
      <c r="V178" s="42">
        <v>1.7999999999999999E-2</v>
      </c>
      <c r="W178" s="42">
        <v>0.39</v>
      </c>
      <c r="X178" s="42">
        <v>9.8000000000000004E-2</v>
      </c>
      <c r="Y178" s="42">
        <v>7.9000000000000001E-2</v>
      </c>
      <c r="Z178" s="5" t="s">
        <v>158</v>
      </c>
      <c r="AA178" s="42">
        <v>2.7E-2</v>
      </c>
      <c r="AB178" s="42">
        <v>1.2999999999999999E-2</v>
      </c>
      <c r="AC178" s="30" t="s">
        <v>158</v>
      </c>
      <c r="AD178" s="5" t="s">
        <v>158</v>
      </c>
      <c r="AE178" s="17">
        <f t="shared" si="125"/>
        <v>0.62500000000000011</v>
      </c>
      <c r="AF178" s="42">
        <f t="shared" si="132"/>
        <v>0.25</v>
      </c>
      <c r="AG178" s="18" t="s">
        <v>158</v>
      </c>
      <c r="AH178" s="31">
        <f t="shared" si="121"/>
        <v>26.808510638297872</v>
      </c>
      <c r="AI178" s="17" t="s">
        <v>158</v>
      </c>
      <c r="AJ178" s="17" t="s">
        <v>158</v>
      </c>
      <c r="AK178" s="17" t="s">
        <v>158</v>
      </c>
      <c r="AL178" s="17" t="s">
        <v>158</v>
      </c>
      <c r="AM178" s="17" t="s">
        <v>158</v>
      </c>
      <c r="AN178" s="17" t="s">
        <v>158</v>
      </c>
      <c r="AO178" s="17" t="s">
        <v>158</v>
      </c>
      <c r="AP178" s="17" t="s">
        <v>158</v>
      </c>
      <c r="AQ178" s="17" t="s">
        <v>158</v>
      </c>
      <c r="AR178" s="17" t="s">
        <v>158</v>
      </c>
      <c r="AS178" s="5" t="s">
        <v>158</v>
      </c>
      <c r="AT178" s="5" t="s">
        <v>158</v>
      </c>
      <c r="AU178" s="5" t="s">
        <v>158</v>
      </c>
      <c r="AV178" s="5" t="s">
        <v>158</v>
      </c>
      <c r="AW178" s="5" t="s">
        <v>158</v>
      </c>
      <c r="BC178" s="107">
        <v>504</v>
      </c>
      <c r="BD178" s="17" t="s">
        <v>158</v>
      </c>
      <c r="BE178" s="17" t="s">
        <v>158</v>
      </c>
      <c r="BF178" s="17" t="s">
        <v>158</v>
      </c>
      <c r="BG178" s="17" t="s">
        <v>158</v>
      </c>
      <c r="BH178" s="17" t="s">
        <v>158</v>
      </c>
      <c r="BI178" s="17" t="s">
        <v>158</v>
      </c>
      <c r="BJ178" s="17" t="s">
        <v>158</v>
      </c>
      <c r="BK178" s="17" t="s">
        <v>158</v>
      </c>
      <c r="BL178" s="17" t="s">
        <v>158</v>
      </c>
      <c r="BM178" s="17" t="s">
        <v>158</v>
      </c>
      <c r="BN178" s="5" t="s">
        <v>158</v>
      </c>
      <c r="BO178" s="5" t="s">
        <v>158</v>
      </c>
      <c r="BP178" s="5" t="s">
        <v>158</v>
      </c>
      <c r="BQ178" s="5" t="s">
        <v>158</v>
      </c>
      <c r="BR178" s="5" t="s">
        <v>158</v>
      </c>
      <c r="BS178" s="5" t="s">
        <v>158</v>
      </c>
      <c r="BT178" s="5" t="s">
        <v>158</v>
      </c>
      <c r="BU178" s="5" t="s">
        <v>158</v>
      </c>
      <c r="BV178" s="5" t="s">
        <v>158</v>
      </c>
      <c r="BW178" s="5" t="s">
        <v>158</v>
      </c>
      <c r="BX178" s="5" t="s">
        <v>158</v>
      </c>
      <c r="BY178" s="5" t="s">
        <v>158</v>
      </c>
      <c r="BZ178" s="5" t="s">
        <v>158</v>
      </c>
      <c r="CA178" s="5" t="s">
        <v>158</v>
      </c>
      <c r="CB178" s="5" t="s">
        <v>158</v>
      </c>
      <c r="CC178" s="5" t="s">
        <v>158</v>
      </c>
      <c r="CD178" s="5" t="s">
        <v>158</v>
      </c>
      <c r="CE178" s="5" t="s">
        <v>158</v>
      </c>
      <c r="CF178" s="5" t="s">
        <v>158</v>
      </c>
      <c r="CG178" s="5" t="s">
        <v>158</v>
      </c>
      <c r="CH178" s="5" t="s">
        <v>158</v>
      </c>
      <c r="CI178" s="17" t="s">
        <v>158</v>
      </c>
      <c r="CJ178" s="17" t="s">
        <v>158</v>
      </c>
      <c r="CK178" s="17" t="s">
        <v>158</v>
      </c>
      <c r="CL178" s="17" t="s">
        <v>158</v>
      </c>
      <c r="CM178" s="17" t="s">
        <v>158</v>
      </c>
      <c r="CN178" s="17" t="s">
        <v>158</v>
      </c>
      <c r="CO178" s="17" t="s">
        <v>158</v>
      </c>
      <c r="CP178" s="17" t="s">
        <v>158</v>
      </c>
      <c r="CQ178" s="17" t="s">
        <v>158</v>
      </c>
      <c r="CR178" s="17" t="s">
        <v>158</v>
      </c>
      <c r="CS178" s="17" t="s">
        <v>158</v>
      </c>
      <c r="CT178" s="17" t="s">
        <v>158</v>
      </c>
      <c r="CU178" s="17" t="s">
        <v>158</v>
      </c>
      <c r="CV178" s="17" t="s">
        <v>158</v>
      </c>
      <c r="CW178" s="17" t="s">
        <v>158</v>
      </c>
      <c r="CX178" s="17" t="s">
        <v>158</v>
      </c>
      <c r="CY178" s="67" t="s">
        <v>158</v>
      </c>
    </row>
    <row r="179" spans="1:103" x14ac:dyDescent="0.2">
      <c r="A179" s="37" t="s">
        <v>21</v>
      </c>
      <c r="B179" s="59" t="s">
        <v>21</v>
      </c>
      <c r="C179" s="25" t="s">
        <v>20</v>
      </c>
      <c r="D179" s="25" t="s">
        <v>125</v>
      </c>
      <c r="F179" s="44"/>
      <c r="G179" s="87">
        <v>40433</v>
      </c>
      <c r="H179" s="41">
        <v>2010</v>
      </c>
      <c r="I179" s="143" t="s">
        <v>3</v>
      </c>
      <c r="J179" s="143" t="s">
        <v>114</v>
      </c>
      <c r="K179" s="136">
        <v>0.51</v>
      </c>
      <c r="L179" s="5" t="s">
        <v>158</v>
      </c>
      <c r="M179" s="42">
        <f>0.5*0.12</f>
        <v>0.06</v>
      </c>
      <c r="N179" s="42">
        <v>0.25</v>
      </c>
      <c r="O179" s="42">
        <v>2.7</v>
      </c>
      <c r="P179" s="42">
        <v>2.2999999999999998</v>
      </c>
      <c r="Q179" s="42">
        <v>9.9</v>
      </c>
      <c r="R179" s="42">
        <v>7.2</v>
      </c>
      <c r="S179" s="42">
        <v>3</v>
      </c>
      <c r="T179" s="5">
        <f t="shared" si="129"/>
        <v>25.41</v>
      </c>
      <c r="U179" s="17">
        <f t="shared" si="131"/>
        <v>226.56862745098042</v>
      </c>
      <c r="V179" s="42">
        <f>0.5*0.0079</f>
        <v>3.9500000000000004E-3</v>
      </c>
      <c r="W179" s="42">
        <v>0.24</v>
      </c>
      <c r="X179" s="42">
        <v>8.8999999999999996E-2</v>
      </c>
      <c r="Y179" s="42">
        <v>0.12</v>
      </c>
      <c r="Z179" s="5" t="s">
        <v>158</v>
      </c>
      <c r="AA179" s="42">
        <v>3.6999999999999998E-2</v>
      </c>
      <c r="AB179" s="42">
        <v>1.4E-2</v>
      </c>
      <c r="AC179" s="30" t="s">
        <v>158</v>
      </c>
      <c r="AD179" s="5" t="s">
        <v>158</v>
      </c>
      <c r="AE179" s="17">
        <f t="shared" si="125"/>
        <v>0.50395000000000001</v>
      </c>
      <c r="AF179" s="42">
        <f t="shared" si="132"/>
        <v>0.25</v>
      </c>
      <c r="AG179" s="18" t="s">
        <v>158</v>
      </c>
      <c r="AH179" s="31">
        <f t="shared" si="121"/>
        <v>32.393617021276597</v>
      </c>
      <c r="AI179" s="17" t="s">
        <v>158</v>
      </c>
      <c r="AJ179" s="17" t="s">
        <v>158</v>
      </c>
      <c r="AK179" s="17" t="s">
        <v>158</v>
      </c>
      <c r="AL179" s="17" t="s">
        <v>158</v>
      </c>
      <c r="AM179" s="17" t="s">
        <v>158</v>
      </c>
      <c r="AN179" s="17" t="s">
        <v>158</v>
      </c>
      <c r="AO179" s="17" t="s">
        <v>158</v>
      </c>
      <c r="AP179" s="17" t="s">
        <v>158</v>
      </c>
      <c r="AQ179" s="17" t="s">
        <v>158</v>
      </c>
      <c r="AR179" s="17" t="s">
        <v>158</v>
      </c>
      <c r="AS179" s="5" t="s">
        <v>158</v>
      </c>
      <c r="AT179" s="5" t="s">
        <v>158</v>
      </c>
      <c r="AU179" s="5" t="s">
        <v>158</v>
      </c>
      <c r="AV179" s="5" t="s">
        <v>158</v>
      </c>
      <c r="AW179" s="5" t="s">
        <v>158</v>
      </c>
      <c r="BC179" s="107">
        <v>609</v>
      </c>
      <c r="BD179" s="17" t="s">
        <v>158</v>
      </c>
      <c r="BE179" s="17" t="s">
        <v>158</v>
      </c>
      <c r="BF179" s="17" t="s">
        <v>158</v>
      </c>
      <c r="BG179" s="17" t="s">
        <v>158</v>
      </c>
      <c r="BH179" s="17" t="s">
        <v>158</v>
      </c>
      <c r="BI179" s="17" t="s">
        <v>158</v>
      </c>
      <c r="BJ179" s="17" t="s">
        <v>158</v>
      </c>
      <c r="BK179" s="17" t="s">
        <v>158</v>
      </c>
      <c r="BL179" s="17" t="s">
        <v>158</v>
      </c>
      <c r="BM179" s="17" t="s">
        <v>158</v>
      </c>
      <c r="BN179" s="5" t="s">
        <v>158</v>
      </c>
      <c r="BO179" s="5" t="s">
        <v>158</v>
      </c>
      <c r="BP179" s="5" t="s">
        <v>158</v>
      </c>
      <c r="BQ179" s="5" t="s">
        <v>158</v>
      </c>
      <c r="BR179" s="5" t="s">
        <v>158</v>
      </c>
      <c r="BS179" s="5" t="s">
        <v>158</v>
      </c>
      <c r="BT179" s="5" t="s">
        <v>158</v>
      </c>
      <c r="BU179" s="5" t="s">
        <v>158</v>
      </c>
      <c r="BV179" s="5" t="s">
        <v>158</v>
      </c>
      <c r="BW179" s="5" t="s">
        <v>158</v>
      </c>
      <c r="BX179" s="5" t="s">
        <v>158</v>
      </c>
      <c r="BY179" s="5" t="s">
        <v>158</v>
      </c>
      <c r="BZ179" s="5" t="s">
        <v>158</v>
      </c>
      <c r="CA179" s="5" t="s">
        <v>158</v>
      </c>
      <c r="CB179" s="5" t="s">
        <v>158</v>
      </c>
      <c r="CC179" s="5" t="s">
        <v>158</v>
      </c>
      <c r="CD179" s="5" t="s">
        <v>158</v>
      </c>
      <c r="CE179" s="5" t="s">
        <v>158</v>
      </c>
      <c r="CF179" s="5" t="s">
        <v>158</v>
      </c>
      <c r="CG179" s="5" t="s">
        <v>158</v>
      </c>
      <c r="CH179" s="5" t="s">
        <v>158</v>
      </c>
      <c r="CI179" s="17" t="s">
        <v>158</v>
      </c>
      <c r="CJ179" s="17" t="s">
        <v>158</v>
      </c>
      <c r="CK179" s="17" t="s">
        <v>158</v>
      </c>
      <c r="CL179" s="17" t="s">
        <v>158</v>
      </c>
      <c r="CM179" s="17" t="s">
        <v>158</v>
      </c>
      <c r="CN179" s="17" t="s">
        <v>158</v>
      </c>
      <c r="CO179" s="17" t="s">
        <v>158</v>
      </c>
      <c r="CP179" s="17" t="s">
        <v>158</v>
      </c>
      <c r="CQ179" s="17" t="s">
        <v>158</v>
      </c>
      <c r="CR179" s="17" t="s">
        <v>158</v>
      </c>
      <c r="CS179" s="17" t="s">
        <v>158</v>
      </c>
      <c r="CT179" s="17" t="s">
        <v>158</v>
      </c>
      <c r="CU179" s="17" t="s">
        <v>158</v>
      </c>
      <c r="CV179" s="17" t="s">
        <v>158</v>
      </c>
      <c r="CW179" s="17" t="s">
        <v>158</v>
      </c>
      <c r="CX179" s="17" t="s">
        <v>158</v>
      </c>
      <c r="CY179" s="67" t="s">
        <v>158</v>
      </c>
    </row>
    <row r="180" spans="1:103" x14ac:dyDescent="0.2">
      <c r="A180" s="37" t="s">
        <v>21</v>
      </c>
      <c r="B180" s="59" t="s">
        <v>21</v>
      </c>
      <c r="C180" s="25" t="s">
        <v>20</v>
      </c>
      <c r="D180" s="25" t="s">
        <v>125</v>
      </c>
      <c r="F180" s="44"/>
      <c r="G180" s="87">
        <v>40433</v>
      </c>
      <c r="H180" s="41">
        <v>2010</v>
      </c>
      <c r="I180" s="143" t="s">
        <v>3</v>
      </c>
      <c r="J180" s="143" t="s">
        <v>114</v>
      </c>
      <c r="K180" s="136">
        <v>0.41</v>
      </c>
      <c r="L180" s="5" t="s">
        <v>158</v>
      </c>
      <c r="M180" s="42">
        <v>0.14000000000000001</v>
      </c>
      <c r="N180" s="42">
        <v>0.3</v>
      </c>
      <c r="O180" s="42">
        <v>2.1</v>
      </c>
      <c r="P180" s="42">
        <v>1.3</v>
      </c>
      <c r="Q180" s="42">
        <v>5</v>
      </c>
      <c r="R180" s="42">
        <v>4</v>
      </c>
      <c r="S180" s="42">
        <v>1.8</v>
      </c>
      <c r="T180" s="5">
        <f t="shared" si="129"/>
        <v>14.64</v>
      </c>
      <c r="U180" s="17">
        <f t="shared" si="131"/>
        <v>162.6829268292683</v>
      </c>
      <c r="V180" s="42">
        <f>0.5*0.012</f>
        <v>6.0000000000000001E-3</v>
      </c>
      <c r="W180" s="42">
        <v>0.24</v>
      </c>
      <c r="X180" s="42">
        <v>0.1</v>
      </c>
      <c r="Y180" s="42">
        <v>0.12</v>
      </c>
      <c r="Z180" s="5" t="s">
        <v>158</v>
      </c>
      <c r="AA180" s="42">
        <v>3.1E-2</v>
      </c>
      <c r="AB180" s="42">
        <v>1.6E-2</v>
      </c>
      <c r="AC180" s="30" t="s">
        <v>158</v>
      </c>
      <c r="AD180" s="5" t="s">
        <v>158</v>
      </c>
      <c r="AE180" s="17">
        <f t="shared" si="125"/>
        <v>0.51300000000000001</v>
      </c>
      <c r="AF180" s="42">
        <f t="shared" si="132"/>
        <v>0.25</v>
      </c>
      <c r="AG180" s="18" t="s">
        <v>158</v>
      </c>
      <c r="AH180" s="31">
        <f t="shared" si="121"/>
        <v>20.319148936170212</v>
      </c>
      <c r="AI180" s="17" t="s">
        <v>158</v>
      </c>
      <c r="AJ180" s="17" t="s">
        <v>158</v>
      </c>
      <c r="AK180" s="17" t="s">
        <v>158</v>
      </c>
      <c r="AL180" s="17" t="s">
        <v>158</v>
      </c>
      <c r="AM180" s="17" t="s">
        <v>158</v>
      </c>
      <c r="AN180" s="17" t="s">
        <v>158</v>
      </c>
      <c r="AO180" s="17" t="s">
        <v>158</v>
      </c>
      <c r="AP180" s="17" t="s">
        <v>158</v>
      </c>
      <c r="AQ180" s="17" t="s">
        <v>158</v>
      </c>
      <c r="AR180" s="17" t="s">
        <v>158</v>
      </c>
      <c r="AS180" s="5" t="s">
        <v>158</v>
      </c>
      <c r="AT180" s="5" t="s">
        <v>158</v>
      </c>
      <c r="AU180" s="5" t="s">
        <v>158</v>
      </c>
      <c r="AV180" s="5" t="s">
        <v>158</v>
      </c>
      <c r="AW180" s="5" t="s">
        <v>158</v>
      </c>
      <c r="BC180" s="107">
        <v>382</v>
      </c>
      <c r="BD180" s="17" t="s">
        <v>158</v>
      </c>
      <c r="BE180" s="17" t="s">
        <v>158</v>
      </c>
      <c r="BF180" s="17" t="s">
        <v>158</v>
      </c>
      <c r="BG180" s="17" t="s">
        <v>158</v>
      </c>
      <c r="BH180" s="17" t="s">
        <v>158</v>
      </c>
      <c r="BI180" s="17" t="s">
        <v>158</v>
      </c>
      <c r="BJ180" s="17" t="s">
        <v>158</v>
      </c>
      <c r="BK180" s="17" t="s">
        <v>158</v>
      </c>
      <c r="BL180" s="17" t="s">
        <v>158</v>
      </c>
      <c r="BM180" s="17" t="s">
        <v>158</v>
      </c>
      <c r="BN180" s="5" t="s">
        <v>158</v>
      </c>
      <c r="BO180" s="5" t="s">
        <v>158</v>
      </c>
      <c r="BP180" s="5" t="s">
        <v>158</v>
      </c>
      <c r="BQ180" s="5" t="s">
        <v>158</v>
      </c>
      <c r="BR180" s="5" t="s">
        <v>158</v>
      </c>
      <c r="BS180" s="5" t="s">
        <v>158</v>
      </c>
      <c r="BT180" s="5" t="s">
        <v>158</v>
      </c>
      <c r="BU180" s="5" t="s">
        <v>158</v>
      </c>
      <c r="BV180" s="5" t="s">
        <v>158</v>
      </c>
      <c r="BW180" s="5" t="s">
        <v>158</v>
      </c>
      <c r="BX180" s="5" t="s">
        <v>158</v>
      </c>
      <c r="BY180" s="5" t="s">
        <v>158</v>
      </c>
      <c r="BZ180" s="5" t="s">
        <v>158</v>
      </c>
      <c r="CA180" s="5" t="s">
        <v>158</v>
      </c>
      <c r="CB180" s="5" t="s">
        <v>158</v>
      </c>
      <c r="CC180" s="5" t="s">
        <v>158</v>
      </c>
      <c r="CD180" s="5" t="s">
        <v>158</v>
      </c>
      <c r="CE180" s="5" t="s">
        <v>158</v>
      </c>
      <c r="CF180" s="5" t="s">
        <v>158</v>
      </c>
      <c r="CG180" s="5" t="s">
        <v>158</v>
      </c>
      <c r="CH180" s="5" t="s">
        <v>158</v>
      </c>
      <c r="CI180" s="17" t="s">
        <v>158</v>
      </c>
      <c r="CJ180" s="17" t="s">
        <v>158</v>
      </c>
      <c r="CK180" s="17" t="s">
        <v>158</v>
      </c>
      <c r="CL180" s="17" t="s">
        <v>158</v>
      </c>
      <c r="CM180" s="17" t="s">
        <v>158</v>
      </c>
      <c r="CN180" s="17" t="s">
        <v>158</v>
      </c>
      <c r="CO180" s="17" t="s">
        <v>158</v>
      </c>
      <c r="CP180" s="17" t="s">
        <v>158</v>
      </c>
      <c r="CQ180" s="17" t="s">
        <v>158</v>
      </c>
      <c r="CR180" s="17" t="s">
        <v>158</v>
      </c>
      <c r="CS180" s="17" t="s">
        <v>158</v>
      </c>
      <c r="CT180" s="17" t="s">
        <v>158</v>
      </c>
      <c r="CU180" s="17" t="s">
        <v>158</v>
      </c>
      <c r="CV180" s="17" t="s">
        <v>158</v>
      </c>
      <c r="CW180" s="17" t="s">
        <v>158</v>
      </c>
      <c r="CX180" s="17" t="s">
        <v>158</v>
      </c>
      <c r="CY180" s="67" t="s">
        <v>158</v>
      </c>
    </row>
    <row r="181" spans="1:103" x14ac:dyDescent="0.2">
      <c r="A181" s="37" t="s">
        <v>21</v>
      </c>
      <c r="B181" s="59" t="s">
        <v>21</v>
      </c>
      <c r="C181" s="25" t="s">
        <v>20</v>
      </c>
      <c r="D181" s="25" t="s">
        <v>125</v>
      </c>
      <c r="F181" s="44"/>
      <c r="G181" s="87">
        <v>40433</v>
      </c>
      <c r="H181" s="41">
        <v>2010</v>
      </c>
      <c r="I181" s="143" t="s">
        <v>3</v>
      </c>
      <c r="J181" s="143" t="s">
        <v>114</v>
      </c>
      <c r="K181" s="136">
        <v>0.3</v>
      </c>
      <c r="L181" s="5" t="s">
        <v>158</v>
      </c>
      <c r="M181" s="42">
        <v>0.2</v>
      </c>
      <c r="N181" s="42">
        <v>0.33</v>
      </c>
      <c r="O181" s="42">
        <v>2.9</v>
      </c>
      <c r="P181" s="42">
        <v>2.7</v>
      </c>
      <c r="Q181" s="42">
        <v>12</v>
      </c>
      <c r="R181" s="42">
        <v>7.3</v>
      </c>
      <c r="S181" s="42">
        <v>3.5</v>
      </c>
      <c r="T181" s="5">
        <f t="shared" si="129"/>
        <v>28.93</v>
      </c>
      <c r="U181" s="17">
        <f t="shared" si="131"/>
        <v>437.16666666666669</v>
      </c>
      <c r="V181" s="42">
        <f>0.5*0.008</f>
        <v>4.0000000000000001E-3</v>
      </c>
      <c r="W181" s="42">
        <v>0.19</v>
      </c>
      <c r="X181" s="42">
        <v>6.9000000000000006E-2</v>
      </c>
      <c r="Y181" s="42">
        <v>0.14000000000000001</v>
      </c>
      <c r="Z181" s="5" t="s">
        <v>158</v>
      </c>
      <c r="AA181" s="42">
        <v>2.4E-2</v>
      </c>
      <c r="AB181" s="42">
        <v>1.4999999999999999E-2</v>
      </c>
      <c r="AC181" s="30" t="s">
        <v>158</v>
      </c>
      <c r="AD181" s="5" t="s">
        <v>158</v>
      </c>
      <c r="AE181" s="17">
        <f t="shared" si="125"/>
        <v>0.44200000000000006</v>
      </c>
      <c r="AF181" s="42">
        <f t="shared" si="132"/>
        <v>0.25</v>
      </c>
      <c r="AG181" s="18" t="s">
        <v>158</v>
      </c>
      <c r="AH181" s="31">
        <f t="shared" si="121"/>
        <v>23.723404255319149</v>
      </c>
      <c r="AI181" s="17" t="s">
        <v>158</v>
      </c>
      <c r="AJ181" s="17" t="s">
        <v>158</v>
      </c>
      <c r="AK181" s="17" t="s">
        <v>158</v>
      </c>
      <c r="AL181" s="17" t="s">
        <v>158</v>
      </c>
      <c r="AM181" s="17" t="s">
        <v>158</v>
      </c>
      <c r="AN181" s="17" t="s">
        <v>158</v>
      </c>
      <c r="AO181" s="17" t="s">
        <v>158</v>
      </c>
      <c r="AP181" s="17" t="s">
        <v>158</v>
      </c>
      <c r="AQ181" s="17" t="s">
        <v>158</v>
      </c>
      <c r="AR181" s="17" t="s">
        <v>158</v>
      </c>
      <c r="AS181" s="5" t="s">
        <v>158</v>
      </c>
      <c r="AT181" s="5" t="s">
        <v>158</v>
      </c>
      <c r="AU181" s="5" t="s">
        <v>158</v>
      </c>
      <c r="AV181" s="5" t="s">
        <v>158</v>
      </c>
      <c r="AW181" s="5" t="s">
        <v>158</v>
      </c>
      <c r="BC181" s="107">
        <v>446</v>
      </c>
      <c r="BD181" s="17" t="s">
        <v>158</v>
      </c>
      <c r="BE181" s="17" t="s">
        <v>158</v>
      </c>
      <c r="BF181" s="17" t="s">
        <v>158</v>
      </c>
      <c r="BG181" s="17" t="s">
        <v>158</v>
      </c>
      <c r="BH181" s="17" t="s">
        <v>158</v>
      </c>
      <c r="BI181" s="17" t="s">
        <v>158</v>
      </c>
      <c r="BJ181" s="17" t="s">
        <v>158</v>
      </c>
      <c r="BK181" s="17" t="s">
        <v>158</v>
      </c>
      <c r="BL181" s="17" t="s">
        <v>158</v>
      </c>
      <c r="BM181" s="17" t="s">
        <v>158</v>
      </c>
      <c r="BN181" s="5" t="s">
        <v>158</v>
      </c>
      <c r="BO181" s="5" t="s">
        <v>158</v>
      </c>
      <c r="BP181" s="5" t="s">
        <v>158</v>
      </c>
      <c r="BQ181" s="5" t="s">
        <v>158</v>
      </c>
      <c r="BR181" s="5" t="s">
        <v>158</v>
      </c>
      <c r="BS181" s="5" t="s">
        <v>158</v>
      </c>
      <c r="BT181" s="5" t="s">
        <v>158</v>
      </c>
      <c r="BU181" s="5" t="s">
        <v>158</v>
      </c>
      <c r="BV181" s="5" t="s">
        <v>158</v>
      </c>
      <c r="BW181" s="5" t="s">
        <v>158</v>
      </c>
      <c r="BX181" s="5" t="s">
        <v>158</v>
      </c>
      <c r="BY181" s="5" t="s">
        <v>158</v>
      </c>
      <c r="BZ181" s="5" t="s">
        <v>158</v>
      </c>
      <c r="CA181" s="5" t="s">
        <v>158</v>
      </c>
      <c r="CB181" s="5" t="s">
        <v>158</v>
      </c>
      <c r="CC181" s="5" t="s">
        <v>158</v>
      </c>
      <c r="CD181" s="5" t="s">
        <v>158</v>
      </c>
      <c r="CE181" s="5" t="s">
        <v>158</v>
      </c>
      <c r="CF181" s="5" t="s">
        <v>158</v>
      </c>
      <c r="CG181" s="5" t="s">
        <v>158</v>
      </c>
      <c r="CH181" s="5" t="s">
        <v>158</v>
      </c>
      <c r="CI181" s="17" t="s">
        <v>158</v>
      </c>
      <c r="CJ181" s="17" t="s">
        <v>158</v>
      </c>
      <c r="CK181" s="17" t="s">
        <v>158</v>
      </c>
      <c r="CL181" s="17" t="s">
        <v>158</v>
      </c>
      <c r="CM181" s="17" t="s">
        <v>158</v>
      </c>
      <c r="CN181" s="17" t="s">
        <v>158</v>
      </c>
      <c r="CO181" s="17" t="s">
        <v>158</v>
      </c>
      <c r="CP181" s="17" t="s">
        <v>158</v>
      </c>
      <c r="CQ181" s="17" t="s">
        <v>158</v>
      </c>
      <c r="CR181" s="17" t="s">
        <v>158</v>
      </c>
      <c r="CS181" s="17" t="s">
        <v>158</v>
      </c>
      <c r="CT181" s="17" t="s">
        <v>158</v>
      </c>
      <c r="CU181" s="17" t="s">
        <v>158</v>
      </c>
      <c r="CV181" s="17" t="s">
        <v>158</v>
      </c>
      <c r="CW181" s="17" t="s">
        <v>158</v>
      </c>
      <c r="CX181" s="17" t="s">
        <v>158</v>
      </c>
      <c r="CY181" s="67" t="s">
        <v>158</v>
      </c>
    </row>
    <row r="182" spans="1:103" x14ac:dyDescent="0.2">
      <c r="A182" s="37" t="s">
        <v>21</v>
      </c>
      <c r="B182" s="59" t="s">
        <v>21</v>
      </c>
      <c r="C182" s="25" t="s">
        <v>20</v>
      </c>
      <c r="D182" s="25" t="s">
        <v>125</v>
      </c>
      <c r="F182" s="44"/>
      <c r="G182" s="87">
        <v>40433</v>
      </c>
      <c r="H182" s="41">
        <v>2010</v>
      </c>
      <c r="I182" s="143" t="s">
        <v>3</v>
      </c>
      <c r="J182" s="143" t="s">
        <v>114</v>
      </c>
      <c r="K182" s="136">
        <v>0.34</v>
      </c>
      <c r="L182" s="5" t="s">
        <v>158</v>
      </c>
      <c r="M182" s="42">
        <v>0.16</v>
      </c>
      <c r="N182" s="42">
        <v>0.35</v>
      </c>
      <c r="O182" s="42">
        <v>1.7</v>
      </c>
      <c r="P182" s="42">
        <v>1.5</v>
      </c>
      <c r="Q182" s="42">
        <v>6.9</v>
      </c>
      <c r="R182" s="42">
        <v>4</v>
      </c>
      <c r="S182" s="42">
        <v>2.2000000000000002</v>
      </c>
      <c r="T182" s="5">
        <f t="shared" si="129"/>
        <v>16.809999999999999</v>
      </c>
      <c r="U182" s="17">
        <f t="shared" si="131"/>
        <v>225.14705882352939</v>
      </c>
      <c r="V182" s="42">
        <f>0.5*0.013</f>
        <v>6.4999999999999997E-3</v>
      </c>
      <c r="W182" s="42">
        <v>0.23</v>
      </c>
      <c r="X182" s="42">
        <v>7.3999999999999996E-2</v>
      </c>
      <c r="Y182" s="42">
        <v>0.12</v>
      </c>
      <c r="Z182" s="5" t="s">
        <v>158</v>
      </c>
      <c r="AA182" s="42">
        <v>2.7E-2</v>
      </c>
      <c r="AB182" s="42">
        <v>1.4E-2</v>
      </c>
      <c r="AC182" s="30" t="s">
        <v>158</v>
      </c>
      <c r="AD182" s="5" t="s">
        <v>158</v>
      </c>
      <c r="AE182" s="17">
        <f t="shared" si="125"/>
        <v>0.47150000000000009</v>
      </c>
      <c r="AF182" s="42">
        <f t="shared" si="132"/>
        <v>0.25</v>
      </c>
      <c r="AG182" s="18" t="s">
        <v>158</v>
      </c>
      <c r="AH182" s="31">
        <f t="shared" si="121"/>
        <v>20.212765957446809</v>
      </c>
      <c r="AI182" s="17" t="s">
        <v>158</v>
      </c>
      <c r="AJ182" s="17" t="s">
        <v>158</v>
      </c>
      <c r="AK182" s="17" t="s">
        <v>158</v>
      </c>
      <c r="AL182" s="17" t="s">
        <v>158</v>
      </c>
      <c r="AM182" s="17" t="s">
        <v>158</v>
      </c>
      <c r="AN182" s="17" t="s">
        <v>158</v>
      </c>
      <c r="AO182" s="17" t="s">
        <v>158</v>
      </c>
      <c r="AP182" s="17" t="s">
        <v>158</v>
      </c>
      <c r="AQ182" s="17" t="s">
        <v>158</v>
      </c>
      <c r="AR182" s="17" t="s">
        <v>158</v>
      </c>
      <c r="AS182" s="5" t="s">
        <v>158</v>
      </c>
      <c r="AT182" s="5" t="s">
        <v>158</v>
      </c>
      <c r="AU182" s="5" t="s">
        <v>158</v>
      </c>
      <c r="AV182" s="5" t="s">
        <v>158</v>
      </c>
      <c r="AW182" s="5" t="s">
        <v>158</v>
      </c>
      <c r="BC182" s="107">
        <v>380</v>
      </c>
      <c r="BD182" s="17" t="s">
        <v>158</v>
      </c>
      <c r="BE182" s="17" t="s">
        <v>158</v>
      </c>
      <c r="BF182" s="17" t="s">
        <v>158</v>
      </c>
      <c r="BG182" s="17" t="s">
        <v>158</v>
      </c>
      <c r="BH182" s="17" t="s">
        <v>158</v>
      </c>
      <c r="BI182" s="17" t="s">
        <v>158</v>
      </c>
      <c r="BJ182" s="17" t="s">
        <v>158</v>
      </c>
      <c r="BK182" s="17" t="s">
        <v>158</v>
      </c>
      <c r="BL182" s="17" t="s">
        <v>158</v>
      </c>
      <c r="BM182" s="17" t="s">
        <v>158</v>
      </c>
      <c r="BN182" s="5" t="s">
        <v>158</v>
      </c>
      <c r="BO182" s="5" t="s">
        <v>158</v>
      </c>
      <c r="BP182" s="5" t="s">
        <v>158</v>
      </c>
      <c r="BQ182" s="5" t="s">
        <v>158</v>
      </c>
      <c r="BR182" s="5" t="s">
        <v>158</v>
      </c>
      <c r="BS182" s="5" t="s">
        <v>158</v>
      </c>
      <c r="BT182" s="5" t="s">
        <v>158</v>
      </c>
      <c r="BU182" s="5" t="s">
        <v>158</v>
      </c>
      <c r="BV182" s="5" t="s">
        <v>158</v>
      </c>
      <c r="BW182" s="5" t="s">
        <v>158</v>
      </c>
      <c r="BX182" s="5" t="s">
        <v>158</v>
      </c>
      <c r="BY182" s="5" t="s">
        <v>158</v>
      </c>
      <c r="BZ182" s="5" t="s">
        <v>158</v>
      </c>
      <c r="CA182" s="5" t="s">
        <v>158</v>
      </c>
      <c r="CB182" s="5" t="s">
        <v>158</v>
      </c>
      <c r="CC182" s="5" t="s">
        <v>158</v>
      </c>
      <c r="CD182" s="5" t="s">
        <v>158</v>
      </c>
      <c r="CE182" s="5" t="s">
        <v>158</v>
      </c>
      <c r="CF182" s="5" t="s">
        <v>158</v>
      </c>
      <c r="CG182" s="5" t="s">
        <v>158</v>
      </c>
      <c r="CH182" s="5" t="s">
        <v>158</v>
      </c>
      <c r="CI182" s="17" t="s">
        <v>158</v>
      </c>
      <c r="CJ182" s="17" t="s">
        <v>158</v>
      </c>
      <c r="CK182" s="17" t="s">
        <v>158</v>
      </c>
      <c r="CL182" s="17" t="s">
        <v>158</v>
      </c>
      <c r="CM182" s="17" t="s">
        <v>158</v>
      </c>
      <c r="CN182" s="17" t="s">
        <v>158</v>
      </c>
      <c r="CO182" s="17" t="s">
        <v>158</v>
      </c>
      <c r="CP182" s="17" t="s">
        <v>158</v>
      </c>
      <c r="CQ182" s="17" t="s">
        <v>158</v>
      </c>
      <c r="CR182" s="17" t="s">
        <v>158</v>
      </c>
      <c r="CS182" s="17" t="s">
        <v>158</v>
      </c>
      <c r="CT182" s="17" t="s">
        <v>158</v>
      </c>
      <c r="CU182" s="17" t="s">
        <v>158</v>
      </c>
      <c r="CV182" s="17" t="s">
        <v>158</v>
      </c>
      <c r="CW182" s="17" t="s">
        <v>158</v>
      </c>
      <c r="CX182" s="17" t="s">
        <v>158</v>
      </c>
      <c r="CY182" s="67" t="s">
        <v>158</v>
      </c>
    </row>
    <row r="183" spans="1:103" x14ac:dyDescent="0.2">
      <c r="A183" s="37" t="s">
        <v>112</v>
      </c>
      <c r="B183" s="59" t="s">
        <v>24</v>
      </c>
      <c r="C183" s="25" t="s">
        <v>20</v>
      </c>
      <c r="D183" s="25" t="s">
        <v>125</v>
      </c>
      <c r="F183" s="44"/>
      <c r="G183" s="87">
        <v>40418</v>
      </c>
      <c r="H183" s="41">
        <v>2010</v>
      </c>
      <c r="I183" s="143" t="s">
        <v>3</v>
      </c>
      <c r="J183" s="143" t="s">
        <v>114</v>
      </c>
      <c r="K183" s="136">
        <v>0.45</v>
      </c>
      <c r="L183" s="5" t="s">
        <v>158</v>
      </c>
      <c r="M183" s="42">
        <v>4.5999999999999996</v>
      </c>
      <c r="N183" s="42">
        <v>8.9</v>
      </c>
      <c r="O183" s="42">
        <v>18</v>
      </c>
      <c r="P183" s="42">
        <v>20</v>
      </c>
      <c r="Q183" s="42">
        <v>32</v>
      </c>
      <c r="R183" s="42">
        <v>20</v>
      </c>
      <c r="S183" s="42">
        <v>9.4</v>
      </c>
      <c r="T183" s="5">
        <f t="shared" si="129"/>
        <v>112.9</v>
      </c>
      <c r="U183" s="17">
        <f t="shared" si="131"/>
        <v>1032.2222222222222</v>
      </c>
      <c r="V183" s="42">
        <f>0.5*0.008</f>
        <v>4.0000000000000001E-3</v>
      </c>
      <c r="W183" s="42">
        <v>0.77</v>
      </c>
      <c r="X183" s="42">
        <v>0.2</v>
      </c>
      <c r="Y183" s="42">
        <v>0.11</v>
      </c>
      <c r="Z183" s="5" t="s">
        <v>158</v>
      </c>
      <c r="AA183" s="42">
        <v>4.4999999999999998E-2</v>
      </c>
      <c r="AB183" s="42">
        <v>2.1000000000000001E-2</v>
      </c>
      <c r="AC183" s="30" t="s">
        <v>158</v>
      </c>
      <c r="AD183" s="5" t="s">
        <v>158</v>
      </c>
      <c r="AE183" s="17">
        <f t="shared" si="125"/>
        <v>1.1499999999999999</v>
      </c>
      <c r="AF183" s="5">
        <f t="shared" si="132"/>
        <v>0.25</v>
      </c>
      <c r="AG183" s="18" t="s">
        <v>158</v>
      </c>
      <c r="AH183" s="31">
        <f t="shared" si="121"/>
        <v>39.734042553191486</v>
      </c>
      <c r="AI183" s="17" t="s">
        <v>158</v>
      </c>
      <c r="AJ183" s="17" t="s">
        <v>158</v>
      </c>
      <c r="AK183" s="17" t="s">
        <v>158</v>
      </c>
      <c r="AL183" s="17" t="s">
        <v>158</v>
      </c>
      <c r="AM183" s="17" t="s">
        <v>158</v>
      </c>
      <c r="AN183" s="17" t="s">
        <v>158</v>
      </c>
      <c r="AO183" s="17" t="s">
        <v>158</v>
      </c>
      <c r="AP183" s="17" t="s">
        <v>158</v>
      </c>
      <c r="AQ183" s="17" t="s">
        <v>158</v>
      </c>
      <c r="AR183" s="17" t="s">
        <v>158</v>
      </c>
      <c r="AS183" s="5" t="s">
        <v>158</v>
      </c>
      <c r="AT183" s="5" t="s">
        <v>158</v>
      </c>
      <c r="AU183" s="5" t="s">
        <v>158</v>
      </c>
      <c r="AV183" s="5" t="s">
        <v>158</v>
      </c>
      <c r="AW183" s="5" t="s">
        <v>158</v>
      </c>
      <c r="BC183" s="107">
        <v>747</v>
      </c>
      <c r="BD183" s="17" t="s">
        <v>158</v>
      </c>
      <c r="BE183" s="17" t="s">
        <v>158</v>
      </c>
      <c r="BF183" s="17" t="s">
        <v>158</v>
      </c>
      <c r="BG183" s="17" t="s">
        <v>158</v>
      </c>
      <c r="BH183" s="17" t="s">
        <v>158</v>
      </c>
      <c r="BI183" s="17" t="s">
        <v>158</v>
      </c>
      <c r="BJ183" s="17" t="s">
        <v>158</v>
      </c>
      <c r="BK183" s="17" t="s">
        <v>158</v>
      </c>
      <c r="BL183" s="17" t="s">
        <v>158</v>
      </c>
      <c r="BM183" s="17" t="s">
        <v>158</v>
      </c>
      <c r="BN183" s="5" t="s">
        <v>158</v>
      </c>
      <c r="BO183" s="5" t="s">
        <v>158</v>
      </c>
      <c r="BP183" s="5" t="s">
        <v>158</v>
      </c>
      <c r="BQ183" s="5" t="s">
        <v>158</v>
      </c>
      <c r="BR183" s="5" t="s">
        <v>158</v>
      </c>
      <c r="BS183" s="5" t="s">
        <v>158</v>
      </c>
      <c r="BT183" s="5" t="s">
        <v>158</v>
      </c>
      <c r="BU183" s="5" t="s">
        <v>158</v>
      </c>
      <c r="BV183" s="5" t="s">
        <v>158</v>
      </c>
      <c r="BW183" s="5" t="s">
        <v>158</v>
      </c>
      <c r="BX183" s="5" t="s">
        <v>158</v>
      </c>
      <c r="BY183" s="5" t="s">
        <v>158</v>
      </c>
      <c r="BZ183" s="5" t="s">
        <v>158</v>
      </c>
      <c r="CA183" s="5" t="s">
        <v>158</v>
      </c>
      <c r="CB183" s="5" t="s">
        <v>158</v>
      </c>
      <c r="CC183" s="5" t="s">
        <v>158</v>
      </c>
      <c r="CD183" s="5" t="s">
        <v>158</v>
      </c>
      <c r="CE183" s="5" t="s">
        <v>158</v>
      </c>
      <c r="CF183" s="5" t="s">
        <v>158</v>
      </c>
      <c r="CG183" s="5" t="s">
        <v>158</v>
      </c>
      <c r="CH183" s="5" t="s">
        <v>158</v>
      </c>
      <c r="CI183" s="17" t="s">
        <v>158</v>
      </c>
      <c r="CJ183" s="17" t="s">
        <v>158</v>
      </c>
      <c r="CK183" s="17" t="s">
        <v>158</v>
      </c>
      <c r="CL183" s="17" t="s">
        <v>158</v>
      </c>
      <c r="CM183" s="17" t="s">
        <v>158</v>
      </c>
      <c r="CN183" s="17" t="s">
        <v>158</v>
      </c>
      <c r="CO183" s="17" t="s">
        <v>158</v>
      </c>
      <c r="CP183" s="17" t="s">
        <v>158</v>
      </c>
      <c r="CQ183" s="17" t="s">
        <v>158</v>
      </c>
      <c r="CR183" s="17" t="s">
        <v>158</v>
      </c>
      <c r="CS183" s="17" t="s">
        <v>158</v>
      </c>
      <c r="CT183" s="17" t="s">
        <v>158</v>
      </c>
      <c r="CU183" s="17" t="s">
        <v>158</v>
      </c>
      <c r="CV183" s="17" t="s">
        <v>158</v>
      </c>
      <c r="CW183" s="17" t="s">
        <v>158</v>
      </c>
      <c r="CX183" s="17" t="s">
        <v>158</v>
      </c>
      <c r="CY183" s="67" t="s">
        <v>158</v>
      </c>
    </row>
    <row r="184" spans="1:103" x14ac:dyDescent="0.2">
      <c r="A184" s="37" t="s">
        <v>112</v>
      </c>
      <c r="B184" s="59" t="s">
        <v>24</v>
      </c>
      <c r="C184" s="25" t="s">
        <v>20</v>
      </c>
      <c r="D184" s="25" t="s">
        <v>125</v>
      </c>
      <c r="F184" s="45"/>
      <c r="G184" s="87">
        <v>40418</v>
      </c>
      <c r="H184" s="41">
        <v>2010</v>
      </c>
      <c r="I184" s="143" t="s">
        <v>33</v>
      </c>
      <c r="J184" s="143" t="s">
        <v>114</v>
      </c>
      <c r="K184" s="136">
        <v>0.35</v>
      </c>
      <c r="L184" s="5" t="s">
        <v>158</v>
      </c>
      <c r="M184" s="42">
        <v>0.99</v>
      </c>
      <c r="N184" s="42">
        <v>3.6</v>
      </c>
      <c r="O184" s="42">
        <v>9.5</v>
      </c>
      <c r="P184" s="42">
        <v>8.1</v>
      </c>
      <c r="Q184" s="42">
        <v>16</v>
      </c>
      <c r="R184" s="42">
        <v>10</v>
      </c>
      <c r="S184" s="42">
        <v>5.3</v>
      </c>
      <c r="T184" s="5">
        <f t="shared" si="129"/>
        <v>53.489999999999995</v>
      </c>
      <c r="U184" s="17">
        <f t="shared" si="131"/>
        <v>648.42857142857144</v>
      </c>
      <c r="V184" s="42">
        <f>0.5*0.012</f>
        <v>6.0000000000000001E-3</v>
      </c>
      <c r="W184" s="42">
        <v>0.4</v>
      </c>
      <c r="X184" s="42">
        <v>0.11</v>
      </c>
      <c r="Y184" s="42">
        <v>9.2999999999999999E-2</v>
      </c>
      <c r="Z184" s="5" t="s">
        <v>158</v>
      </c>
      <c r="AA184" s="42">
        <v>2.9000000000000001E-2</v>
      </c>
      <c r="AB184" s="42">
        <v>1.6E-2</v>
      </c>
      <c r="AC184" s="30" t="s">
        <v>158</v>
      </c>
      <c r="AD184" s="5" t="s">
        <v>158</v>
      </c>
      <c r="AE184" s="17">
        <f t="shared" si="125"/>
        <v>0.65400000000000003</v>
      </c>
      <c r="AF184" s="42">
        <v>1.2</v>
      </c>
      <c r="AG184" s="18" t="s">
        <v>158</v>
      </c>
      <c r="AH184" s="31">
        <f t="shared" si="121"/>
        <v>25.904255319148934</v>
      </c>
      <c r="AI184" s="17" t="s">
        <v>158</v>
      </c>
      <c r="AJ184" s="17" t="s">
        <v>158</v>
      </c>
      <c r="AK184" s="17" t="s">
        <v>158</v>
      </c>
      <c r="AL184" s="17" t="s">
        <v>158</v>
      </c>
      <c r="AM184" s="17" t="s">
        <v>158</v>
      </c>
      <c r="AN184" s="17" t="s">
        <v>158</v>
      </c>
      <c r="AO184" s="17" t="s">
        <v>158</v>
      </c>
      <c r="AP184" s="17" t="s">
        <v>158</v>
      </c>
      <c r="AQ184" s="17" t="s">
        <v>158</v>
      </c>
      <c r="AR184" s="17" t="s">
        <v>158</v>
      </c>
      <c r="AS184" s="5" t="s">
        <v>158</v>
      </c>
      <c r="AT184" s="5" t="s">
        <v>158</v>
      </c>
      <c r="AU184" s="5" t="s">
        <v>158</v>
      </c>
      <c r="AV184" s="5" t="s">
        <v>158</v>
      </c>
      <c r="AW184" s="5" t="s">
        <v>158</v>
      </c>
      <c r="BC184" s="107">
        <v>487</v>
      </c>
      <c r="BD184" s="17" t="s">
        <v>158</v>
      </c>
      <c r="BE184" s="17" t="s">
        <v>158</v>
      </c>
      <c r="BF184" s="17" t="s">
        <v>158</v>
      </c>
      <c r="BG184" s="17" t="s">
        <v>158</v>
      </c>
      <c r="BH184" s="17" t="s">
        <v>158</v>
      </c>
      <c r="BI184" s="17" t="s">
        <v>158</v>
      </c>
      <c r="BJ184" s="17" t="s">
        <v>158</v>
      </c>
      <c r="BK184" s="17" t="s">
        <v>158</v>
      </c>
      <c r="BL184" s="17" t="s">
        <v>158</v>
      </c>
      <c r="BM184" s="17" t="s">
        <v>158</v>
      </c>
      <c r="BN184" s="5" t="s">
        <v>158</v>
      </c>
      <c r="BO184" s="5" t="s">
        <v>158</v>
      </c>
      <c r="BP184" s="5" t="s">
        <v>158</v>
      </c>
      <c r="BQ184" s="5" t="s">
        <v>158</v>
      </c>
      <c r="BR184" s="5" t="s">
        <v>158</v>
      </c>
      <c r="BS184" s="5" t="s">
        <v>158</v>
      </c>
      <c r="BT184" s="5" t="s">
        <v>158</v>
      </c>
      <c r="BU184" s="5" t="s">
        <v>158</v>
      </c>
      <c r="BV184" s="5" t="s">
        <v>158</v>
      </c>
      <c r="BW184" s="5" t="s">
        <v>158</v>
      </c>
      <c r="BX184" s="5" t="s">
        <v>158</v>
      </c>
      <c r="BY184" s="5" t="s">
        <v>158</v>
      </c>
      <c r="BZ184" s="5" t="s">
        <v>158</v>
      </c>
      <c r="CA184" s="5" t="s">
        <v>158</v>
      </c>
      <c r="CB184" s="5" t="s">
        <v>158</v>
      </c>
      <c r="CC184" s="5" t="s">
        <v>158</v>
      </c>
      <c r="CD184" s="5" t="s">
        <v>158</v>
      </c>
      <c r="CE184" s="5" t="s">
        <v>158</v>
      </c>
      <c r="CF184" s="5" t="s">
        <v>158</v>
      </c>
      <c r="CG184" s="5" t="s">
        <v>158</v>
      </c>
      <c r="CH184" s="5" t="s">
        <v>158</v>
      </c>
      <c r="CI184" s="17" t="s">
        <v>158</v>
      </c>
      <c r="CJ184" s="17" t="s">
        <v>158</v>
      </c>
      <c r="CK184" s="17" t="s">
        <v>158</v>
      </c>
      <c r="CL184" s="17" t="s">
        <v>158</v>
      </c>
      <c r="CM184" s="17" t="s">
        <v>158</v>
      </c>
      <c r="CN184" s="17" t="s">
        <v>158</v>
      </c>
      <c r="CO184" s="17" t="s">
        <v>158</v>
      </c>
      <c r="CP184" s="17" t="s">
        <v>158</v>
      </c>
      <c r="CQ184" s="17" t="s">
        <v>158</v>
      </c>
      <c r="CR184" s="17" t="s">
        <v>158</v>
      </c>
      <c r="CS184" s="17" t="s">
        <v>158</v>
      </c>
      <c r="CT184" s="17" t="s">
        <v>158</v>
      </c>
      <c r="CU184" s="17" t="s">
        <v>158</v>
      </c>
      <c r="CV184" s="17" t="s">
        <v>158</v>
      </c>
      <c r="CW184" s="17" t="s">
        <v>158</v>
      </c>
      <c r="CX184" s="17" t="s">
        <v>158</v>
      </c>
      <c r="CY184" s="67" t="s">
        <v>158</v>
      </c>
    </row>
    <row r="185" spans="1:103" x14ac:dyDescent="0.2">
      <c r="A185" s="37" t="s">
        <v>112</v>
      </c>
      <c r="B185" s="59" t="s">
        <v>24</v>
      </c>
      <c r="C185" s="25" t="s">
        <v>20</v>
      </c>
      <c r="D185" s="25" t="s">
        <v>125</v>
      </c>
      <c r="F185" s="44"/>
      <c r="G185" s="87">
        <v>40418</v>
      </c>
      <c r="H185" s="41">
        <v>2010</v>
      </c>
      <c r="I185" s="143" t="s">
        <v>3</v>
      </c>
      <c r="J185" s="143" t="s">
        <v>114</v>
      </c>
      <c r="K185" s="136">
        <v>0.26</v>
      </c>
      <c r="L185" s="5" t="s">
        <v>158</v>
      </c>
      <c r="M185" s="42">
        <v>0.98</v>
      </c>
      <c r="N185" s="42">
        <v>4.3</v>
      </c>
      <c r="O185" s="42">
        <v>7</v>
      </c>
      <c r="P185" s="42">
        <v>5.8</v>
      </c>
      <c r="Q185" s="42">
        <v>9.8000000000000007</v>
      </c>
      <c r="R185" s="42">
        <v>5.8</v>
      </c>
      <c r="S185" s="42">
        <v>2.5</v>
      </c>
      <c r="T185" s="5">
        <f t="shared" si="129"/>
        <v>36.18</v>
      </c>
      <c r="U185" s="17">
        <f t="shared" si="131"/>
        <v>584.23076923076917</v>
      </c>
      <c r="V185" s="42">
        <f>0.5*0.01</f>
        <v>5.0000000000000001E-3</v>
      </c>
      <c r="W185" s="42">
        <v>0.21</v>
      </c>
      <c r="X185" s="42">
        <v>4.1000000000000002E-2</v>
      </c>
      <c r="Y185" s="42">
        <v>4.2999999999999997E-2</v>
      </c>
      <c r="Z185" s="5" t="s">
        <v>158</v>
      </c>
      <c r="AA185" s="42">
        <v>8.3000000000000001E-3</v>
      </c>
      <c r="AB185" s="42">
        <v>4.7000000000000002E-3</v>
      </c>
      <c r="AC185" s="30" t="s">
        <v>158</v>
      </c>
      <c r="AD185" s="5" t="s">
        <v>158</v>
      </c>
      <c r="AE185" s="17">
        <f t="shared" si="125"/>
        <v>0.31199999999999994</v>
      </c>
      <c r="AF185" s="42">
        <f t="shared" ref="AF185:AF190" si="133">0.5*0.5</f>
        <v>0.25</v>
      </c>
      <c r="AG185" s="18" t="s">
        <v>158</v>
      </c>
      <c r="AH185" s="31">
        <f t="shared" si="121"/>
        <v>26.702127659574469</v>
      </c>
      <c r="AI185" s="17" t="s">
        <v>158</v>
      </c>
      <c r="AJ185" s="17" t="s">
        <v>158</v>
      </c>
      <c r="AK185" s="17" t="s">
        <v>158</v>
      </c>
      <c r="AL185" s="17" t="s">
        <v>158</v>
      </c>
      <c r="AM185" s="17" t="s">
        <v>158</v>
      </c>
      <c r="AN185" s="17" t="s">
        <v>158</v>
      </c>
      <c r="AO185" s="17" t="s">
        <v>158</v>
      </c>
      <c r="AP185" s="17" t="s">
        <v>158</v>
      </c>
      <c r="AQ185" s="17" t="s">
        <v>158</v>
      </c>
      <c r="AR185" s="17" t="s">
        <v>158</v>
      </c>
      <c r="AS185" s="5" t="s">
        <v>158</v>
      </c>
      <c r="AT185" s="5" t="s">
        <v>158</v>
      </c>
      <c r="AU185" s="5" t="s">
        <v>158</v>
      </c>
      <c r="AV185" s="5" t="s">
        <v>158</v>
      </c>
      <c r="AW185" s="5" t="s">
        <v>158</v>
      </c>
      <c r="BC185" s="107">
        <v>502</v>
      </c>
      <c r="BD185" s="17" t="s">
        <v>158</v>
      </c>
      <c r="BE185" s="17" t="s">
        <v>158</v>
      </c>
      <c r="BF185" s="17" t="s">
        <v>158</v>
      </c>
      <c r="BG185" s="17" t="s">
        <v>158</v>
      </c>
      <c r="BH185" s="17" t="s">
        <v>158</v>
      </c>
      <c r="BI185" s="17" t="s">
        <v>158</v>
      </c>
      <c r="BJ185" s="17" t="s">
        <v>158</v>
      </c>
      <c r="BK185" s="17" t="s">
        <v>158</v>
      </c>
      <c r="BL185" s="17" t="s">
        <v>158</v>
      </c>
      <c r="BM185" s="17" t="s">
        <v>158</v>
      </c>
      <c r="BN185" s="5" t="s">
        <v>158</v>
      </c>
      <c r="BO185" s="5" t="s">
        <v>158</v>
      </c>
      <c r="BP185" s="5" t="s">
        <v>158</v>
      </c>
      <c r="BQ185" s="5" t="s">
        <v>158</v>
      </c>
      <c r="BR185" s="5" t="s">
        <v>158</v>
      </c>
      <c r="BS185" s="5" t="s">
        <v>158</v>
      </c>
      <c r="BT185" s="5" t="s">
        <v>158</v>
      </c>
      <c r="BU185" s="5" t="s">
        <v>158</v>
      </c>
      <c r="BV185" s="5" t="s">
        <v>158</v>
      </c>
      <c r="BW185" s="5" t="s">
        <v>158</v>
      </c>
      <c r="BX185" s="5" t="s">
        <v>158</v>
      </c>
      <c r="BY185" s="5" t="s">
        <v>158</v>
      </c>
      <c r="BZ185" s="5" t="s">
        <v>158</v>
      </c>
      <c r="CA185" s="5" t="s">
        <v>158</v>
      </c>
      <c r="CB185" s="5" t="s">
        <v>158</v>
      </c>
      <c r="CC185" s="5" t="s">
        <v>158</v>
      </c>
      <c r="CD185" s="5" t="s">
        <v>158</v>
      </c>
      <c r="CE185" s="5" t="s">
        <v>158</v>
      </c>
      <c r="CF185" s="5" t="s">
        <v>158</v>
      </c>
      <c r="CG185" s="5" t="s">
        <v>158</v>
      </c>
      <c r="CH185" s="5" t="s">
        <v>158</v>
      </c>
      <c r="CI185" s="17" t="s">
        <v>158</v>
      </c>
      <c r="CJ185" s="17" t="s">
        <v>158</v>
      </c>
      <c r="CK185" s="17" t="s">
        <v>158</v>
      </c>
      <c r="CL185" s="17" t="s">
        <v>158</v>
      </c>
      <c r="CM185" s="17" t="s">
        <v>158</v>
      </c>
      <c r="CN185" s="17" t="s">
        <v>158</v>
      </c>
      <c r="CO185" s="17" t="s">
        <v>158</v>
      </c>
      <c r="CP185" s="17" t="s">
        <v>158</v>
      </c>
      <c r="CQ185" s="17" t="s">
        <v>158</v>
      </c>
      <c r="CR185" s="17" t="s">
        <v>158</v>
      </c>
      <c r="CS185" s="17" t="s">
        <v>158</v>
      </c>
      <c r="CT185" s="17" t="s">
        <v>158</v>
      </c>
      <c r="CU185" s="17" t="s">
        <v>158</v>
      </c>
      <c r="CV185" s="17" t="s">
        <v>158</v>
      </c>
      <c r="CW185" s="17" t="s">
        <v>158</v>
      </c>
      <c r="CX185" s="17" t="s">
        <v>158</v>
      </c>
      <c r="CY185" s="67" t="s">
        <v>158</v>
      </c>
    </row>
    <row r="186" spans="1:103" x14ac:dyDescent="0.2">
      <c r="A186" s="37" t="s">
        <v>112</v>
      </c>
      <c r="B186" s="59" t="s">
        <v>24</v>
      </c>
      <c r="C186" s="25" t="s">
        <v>20</v>
      </c>
      <c r="D186" s="25" t="s">
        <v>125</v>
      </c>
      <c r="F186" s="44"/>
      <c r="G186" s="87">
        <v>40418</v>
      </c>
      <c r="H186" s="41">
        <v>2010</v>
      </c>
      <c r="I186" s="143" t="s">
        <v>3</v>
      </c>
      <c r="J186" s="143" t="s">
        <v>114</v>
      </c>
      <c r="K186" s="136">
        <v>0.44000000000000006</v>
      </c>
      <c r="L186" s="5" t="s">
        <v>158</v>
      </c>
      <c r="M186" s="42">
        <v>2.1</v>
      </c>
      <c r="N186" s="42">
        <v>5.6</v>
      </c>
      <c r="O186" s="42">
        <v>10</v>
      </c>
      <c r="P186" s="42">
        <v>9.1999999999999993</v>
      </c>
      <c r="Q186" s="42">
        <v>17</v>
      </c>
      <c r="R186" s="42">
        <v>11</v>
      </c>
      <c r="S186" s="42">
        <v>5.0999999999999996</v>
      </c>
      <c r="T186" s="5">
        <f t="shared" si="129"/>
        <v>60</v>
      </c>
      <c r="U186" s="17">
        <f t="shared" si="131"/>
        <v>577.27272727272725</v>
      </c>
      <c r="V186" s="42">
        <f>0.5*0.015</f>
        <v>7.4999999999999997E-3</v>
      </c>
      <c r="W186" s="42">
        <v>0.44</v>
      </c>
      <c r="X186" s="42">
        <v>0.11</v>
      </c>
      <c r="Y186" s="42">
        <v>3.6999999999999998E-2</v>
      </c>
      <c r="Z186" s="5" t="s">
        <v>158</v>
      </c>
      <c r="AA186" s="42">
        <v>2.4E-2</v>
      </c>
      <c r="AB186" s="42">
        <v>1.4E-2</v>
      </c>
      <c r="AC186" s="30" t="s">
        <v>158</v>
      </c>
      <c r="AD186" s="5" t="s">
        <v>158</v>
      </c>
      <c r="AE186" s="17">
        <f t="shared" si="125"/>
        <v>0.63250000000000006</v>
      </c>
      <c r="AF186" s="42">
        <f t="shared" si="133"/>
        <v>0.25</v>
      </c>
      <c r="AG186" s="18" t="s">
        <v>158</v>
      </c>
      <c r="AH186" s="31">
        <f t="shared" si="121"/>
        <v>90.90425531914893</v>
      </c>
      <c r="AI186" s="17" t="s">
        <v>158</v>
      </c>
      <c r="AJ186" s="17" t="s">
        <v>158</v>
      </c>
      <c r="AK186" s="17" t="s">
        <v>158</v>
      </c>
      <c r="AL186" s="17" t="s">
        <v>158</v>
      </c>
      <c r="AM186" s="17" t="s">
        <v>158</v>
      </c>
      <c r="AN186" s="17" t="s">
        <v>158</v>
      </c>
      <c r="AO186" s="17" t="s">
        <v>158</v>
      </c>
      <c r="AP186" s="17" t="s">
        <v>158</v>
      </c>
      <c r="AQ186" s="17" t="s">
        <v>158</v>
      </c>
      <c r="AR186" s="17" t="s">
        <v>158</v>
      </c>
      <c r="AS186" s="5" t="s">
        <v>158</v>
      </c>
      <c r="AT186" s="5" t="s">
        <v>158</v>
      </c>
      <c r="AU186" s="5" t="s">
        <v>158</v>
      </c>
      <c r="AV186" s="5" t="s">
        <v>158</v>
      </c>
      <c r="AW186" s="5" t="s">
        <v>158</v>
      </c>
      <c r="BC186" s="107">
        <v>1709</v>
      </c>
      <c r="BD186" s="17" t="s">
        <v>158</v>
      </c>
      <c r="BE186" s="17" t="s">
        <v>158</v>
      </c>
      <c r="BF186" s="17" t="s">
        <v>158</v>
      </c>
      <c r="BG186" s="17" t="s">
        <v>158</v>
      </c>
      <c r="BH186" s="17" t="s">
        <v>158</v>
      </c>
      <c r="BI186" s="17" t="s">
        <v>158</v>
      </c>
      <c r="BJ186" s="17" t="s">
        <v>158</v>
      </c>
      <c r="BK186" s="17" t="s">
        <v>158</v>
      </c>
      <c r="BL186" s="17" t="s">
        <v>158</v>
      </c>
      <c r="BM186" s="17" t="s">
        <v>158</v>
      </c>
      <c r="BN186" s="5" t="s">
        <v>158</v>
      </c>
      <c r="BO186" s="5" t="s">
        <v>158</v>
      </c>
      <c r="BP186" s="5" t="s">
        <v>158</v>
      </c>
      <c r="BQ186" s="5" t="s">
        <v>158</v>
      </c>
      <c r="BR186" s="5" t="s">
        <v>158</v>
      </c>
      <c r="BS186" s="5" t="s">
        <v>158</v>
      </c>
      <c r="BT186" s="5" t="s">
        <v>158</v>
      </c>
      <c r="BU186" s="5" t="s">
        <v>158</v>
      </c>
      <c r="BV186" s="5" t="s">
        <v>158</v>
      </c>
      <c r="BW186" s="5" t="s">
        <v>158</v>
      </c>
      <c r="BX186" s="5" t="s">
        <v>158</v>
      </c>
      <c r="BY186" s="5" t="s">
        <v>158</v>
      </c>
      <c r="BZ186" s="5" t="s">
        <v>158</v>
      </c>
      <c r="CA186" s="5" t="s">
        <v>158</v>
      </c>
      <c r="CB186" s="5" t="s">
        <v>158</v>
      </c>
      <c r="CC186" s="5" t="s">
        <v>158</v>
      </c>
      <c r="CD186" s="5" t="s">
        <v>158</v>
      </c>
      <c r="CE186" s="5" t="s">
        <v>158</v>
      </c>
      <c r="CF186" s="5" t="s">
        <v>158</v>
      </c>
      <c r="CG186" s="5" t="s">
        <v>158</v>
      </c>
      <c r="CH186" s="5" t="s">
        <v>158</v>
      </c>
      <c r="CI186" s="17" t="s">
        <v>158</v>
      </c>
      <c r="CJ186" s="17" t="s">
        <v>158</v>
      </c>
      <c r="CK186" s="17" t="s">
        <v>158</v>
      </c>
      <c r="CL186" s="17" t="s">
        <v>158</v>
      </c>
      <c r="CM186" s="17" t="s">
        <v>158</v>
      </c>
      <c r="CN186" s="17" t="s">
        <v>158</v>
      </c>
      <c r="CO186" s="17" t="s">
        <v>158</v>
      </c>
      <c r="CP186" s="17" t="s">
        <v>158</v>
      </c>
      <c r="CQ186" s="17" t="s">
        <v>158</v>
      </c>
      <c r="CR186" s="17" t="s">
        <v>158</v>
      </c>
      <c r="CS186" s="17" t="s">
        <v>158</v>
      </c>
      <c r="CT186" s="17" t="s">
        <v>158</v>
      </c>
      <c r="CU186" s="17" t="s">
        <v>158</v>
      </c>
      <c r="CV186" s="17" t="s">
        <v>158</v>
      </c>
      <c r="CW186" s="17" t="s">
        <v>158</v>
      </c>
      <c r="CX186" s="17" t="s">
        <v>158</v>
      </c>
      <c r="CY186" s="67" t="s">
        <v>158</v>
      </c>
    </row>
    <row r="187" spans="1:103" x14ac:dyDescent="0.2">
      <c r="A187" s="37" t="s">
        <v>112</v>
      </c>
      <c r="B187" s="59" t="s">
        <v>24</v>
      </c>
      <c r="C187" s="25" t="s">
        <v>20</v>
      </c>
      <c r="D187" s="25" t="s">
        <v>125</v>
      </c>
      <c r="F187" s="44"/>
      <c r="G187" s="87">
        <v>40418</v>
      </c>
      <c r="H187" s="41">
        <v>2010</v>
      </c>
      <c r="I187" s="143" t="s">
        <v>3</v>
      </c>
      <c r="J187" s="143" t="s">
        <v>114</v>
      </c>
      <c r="K187" s="136">
        <v>0.79</v>
      </c>
      <c r="L187" s="5" t="s">
        <v>158</v>
      </c>
      <c r="M187" s="42">
        <v>2.2999999999999998</v>
      </c>
      <c r="N187" s="42">
        <v>6</v>
      </c>
      <c r="O187" s="42">
        <v>17</v>
      </c>
      <c r="P187" s="42">
        <v>14</v>
      </c>
      <c r="Q187" s="42">
        <v>23</v>
      </c>
      <c r="R187" s="42">
        <v>14</v>
      </c>
      <c r="S187" s="42">
        <v>6.4</v>
      </c>
      <c r="T187" s="5">
        <f t="shared" si="129"/>
        <v>82.7</v>
      </c>
      <c r="U187" s="17">
        <f t="shared" si="131"/>
        <v>434.81012658227849</v>
      </c>
      <c r="V187" s="42">
        <f>0.5*0.012</f>
        <v>6.0000000000000001E-3</v>
      </c>
      <c r="W187" s="42">
        <v>0.68</v>
      </c>
      <c r="X187" s="42">
        <v>0.24</v>
      </c>
      <c r="Y187" s="42">
        <v>0.12</v>
      </c>
      <c r="Z187" s="5" t="s">
        <v>158</v>
      </c>
      <c r="AA187" s="42">
        <v>0.01</v>
      </c>
      <c r="AB187" s="42">
        <f>0.5*0.004</f>
        <v>2E-3</v>
      </c>
      <c r="AC187" s="30" t="s">
        <v>158</v>
      </c>
      <c r="AD187" s="5" t="s">
        <v>158</v>
      </c>
      <c r="AE187" s="17">
        <f t="shared" si="125"/>
        <v>1.0580000000000001</v>
      </c>
      <c r="AF187" s="42">
        <f t="shared" si="133"/>
        <v>0.25</v>
      </c>
      <c r="AG187" s="18" t="s">
        <v>158</v>
      </c>
      <c r="AH187" s="31">
        <f t="shared" si="121"/>
        <v>6.9680851063829783</v>
      </c>
      <c r="AI187" s="17" t="s">
        <v>158</v>
      </c>
      <c r="AJ187" s="17" t="s">
        <v>158</v>
      </c>
      <c r="AK187" s="17" t="s">
        <v>158</v>
      </c>
      <c r="AL187" s="17" t="s">
        <v>158</v>
      </c>
      <c r="AM187" s="17" t="s">
        <v>158</v>
      </c>
      <c r="AN187" s="17" t="s">
        <v>158</v>
      </c>
      <c r="AO187" s="17" t="s">
        <v>158</v>
      </c>
      <c r="AP187" s="17" t="s">
        <v>158</v>
      </c>
      <c r="AQ187" s="17" t="s">
        <v>158</v>
      </c>
      <c r="AR187" s="17" t="s">
        <v>158</v>
      </c>
      <c r="AS187" s="5" t="s">
        <v>158</v>
      </c>
      <c r="AT187" s="5" t="s">
        <v>158</v>
      </c>
      <c r="AU187" s="5" t="s">
        <v>158</v>
      </c>
      <c r="AV187" s="5" t="s">
        <v>158</v>
      </c>
      <c r="AW187" s="5" t="s">
        <v>158</v>
      </c>
      <c r="BC187" s="107">
        <v>131</v>
      </c>
      <c r="BD187" s="17" t="s">
        <v>158</v>
      </c>
      <c r="BE187" s="17" t="s">
        <v>158</v>
      </c>
      <c r="BF187" s="17" t="s">
        <v>158</v>
      </c>
      <c r="BG187" s="17" t="s">
        <v>158</v>
      </c>
      <c r="BH187" s="17" t="s">
        <v>158</v>
      </c>
      <c r="BI187" s="17" t="s">
        <v>158</v>
      </c>
      <c r="BJ187" s="17" t="s">
        <v>158</v>
      </c>
      <c r="BK187" s="17" t="s">
        <v>158</v>
      </c>
      <c r="BL187" s="17" t="s">
        <v>158</v>
      </c>
      <c r="BM187" s="17" t="s">
        <v>158</v>
      </c>
      <c r="BN187" s="5" t="s">
        <v>158</v>
      </c>
      <c r="BO187" s="5" t="s">
        <v>158</v>
      </c>
      <c r="BP187" s="5" t="s">
        <v>158</v>
      </c>
      <c r="BQ187" s="5" t="s">
        <v>158</v>
      </c>
      <c r="BR187" s="5" t="s">
        <v>158</v>
      </c>
      <c r="BS187" s="5" t="s">
        <v>158</v>
      </c>
      <c r="BT187" s="5" t="s">
        <v>158</v>
      </c>
      <c r="BU187" s="5" t="s">
        <v>158</v>
      </c>
      <c r="BV187" s="5" t="s">
        <v>158</v>
      </c>
      <c r="BW187" s="5" t="s">
        <v>158</v>
      </c>
      <c r="BX187" s="5" t="s">
        <v>158</v>
      </c>
      <c r="BY187" s="5" t="s">
        <v>158</v>
      </c>
      <c r="BZ187" s="5" t="s">
        <v>158</v>
      </c>
      <c r="CA187" s="5" t="s">
        <v>158</v>
      </c>
      <c r="CB187" s="5" t="s">
        <v>158</v>
      </c>
      <c r="CC187" s="5" t="s">
        <v>158</v>
      </c>
      <c r="CD187" s="5" t="s">
        <v>158</v>
      </c>
      <c r="CE187" s="5" t="s">
        <v>158</v>
      </c>
      <c r="CF187" s="5" t="s">
        <v>158</v>
      </c>
      <c r="CG187" s="5" t="s">
        <v>158</v>
      </c>
      <c r="CH187" s="5" t="s">
        <v>158</v>
      </c>
      <c r="CI187" s="17" t="s">
        <v>158</v>
      </c>
      <c r="CJ187" s="17" t="s">
        <v>158</v>
      </c>
      <c r="CK187" s="17" t="s">
        <v>158</v>
      </c>
      <c r="CL187" s="17" t="s">
        <v>158</v>
      </c>
      <c r="CM187" s="17" t="s">
        <v>158</v>
      </c>
      <c r="CN187" s="17" t="s">
        <v>158</v>
      </c>
      <c r="CO187" s="17" t="s">
        <v>158</v>
      </c>
      <c r="CP187" s="17" t="s">
        <v>158</v>
      </c>
      <c r="CQ187" s="17" t="s">
        <v>158</v>
      </c>
      <c r="CR187" s="17" t="s">
        <v>158</v>
      </c>
      <c r="CS187" s="17" t="s">
        <v>158</v>
      </c>
      <c r="CT187" s="17" t="s">
        <v>158</v>
      </c>
      <c r="CU187" s="17" t="s">
        <v>158</v>
      </c>
      <c r="CV187" s="17" t="s">
        <v>158</v>
      </c>
      <c r="CW187" s="17" t="s">
        <v>158</v>
      </c>
      <c r="CX187" s="17" t="s">
        <v>158</v>
      </c>
      <c r="CY187" s="67" t="s">
        <v>158</v>
      </c>
    </row>
    <row r="188" spans="1:103" x14ac:dyDescent="0.2">
      <c r="A188" s="37" t="s">
        <v>112</v>
      </c>
      <c r="B188" s="59" t="s">
        <v>24</v>
      </c>
      <c r="C188" s="25" t="s">
        <v>20</v>
      </c>
      <c r="D188" s="25" t="s">
        <v>125</v>
      </c>
      <c r="F188" s="44"/>
      <c r="G188" s="87">
        <v>40418</v>
      </c>
      <c r="H188" s="41">
        <v>2010</v>
      </c>
      <c r="I188" s="143" t="s">
        <v>3</v>
      </c>
      <c r="J188" s="143" t="s">
        <v>114</v>
      </c>
      <c r="K188" s="136">
        <v>0.36</v>
      </c>
      <c r="L188" s="5" t="s">
        <v>158</v>
      </c>
      <c r="M188" s="42">
        <v>2.2999999999999998</v>
      </c>
      <c r="N188" s="42">
        <v>6.8</v>
      </c>
      <c r="O188" s="42">
        <v>17</v>
      </c>
      <c r="P188" s="42">
        <v>15</v>
      </c>
      <c r="Q188" s="42">
        <v>31</v>
      </c>
      <c r="R188" s="42">
        <v>18</v>
      </c>
      <c r="S188" s="42">
        <v>8.9</v>
      </c>
      <c r="T188" s="5">
        <f t="shared" si="129"/>
        <v>99</v>
      </c>
      <c r="U188" s="17">
        <f t="shared" si="131"/>
        <v>1166.6666666666667</v>
      </c>
      <c r="V188" s="42">
        <v>1.0999999999999999E-2</v>
      </c>
      <c r="W188" s="42">
        <v>0.62</v>
      </c>
      <c r="X188" s="42">
        <v>0.16</v>
      </c>
      <c r="Y188" s="42">
        <v>0.1</v>
      </c>
      <c r="Z188" s="5" t="s">
        <v>158</v>
      </c>
      <c r="AA188" s="42">
        <v>0.04</v>
      </c>
      <c r="AB188" s="42">
        <v>2.5999999999999999E-2</v>
      </c>
      <c r="AC188" s="30" t="s">
        <v>158</v>
      </c>
      <c r="AD188" s="5" t="s">
        <v>158</v>
      </c>
      <c r="AE188" s="17">
        <f t="shared" si="125"/>
        <v>0.95700000000000007</v>
      </c>
      <c r="AF188" s="42">
        <f t="shared" si="133"/>
        <v>0.25</v>
      </c>
      <c r="AG188" s="18" t="s">
        <v>158</v>
      </c>
      <c r="AH188" s="31">
        <f t="shared" si="121"/>
        <v>33.191489361702125</v>
      </c>
      <c r="AI188" s="17" t="s">
        <v>158</v>
      </c>
      <c r="AJ188" s="17" t="s">
        <v>158</v>
      </c>
      <c r="AK188" s="17" t="s">
        <v>158</v>
      </c>
      <c r="AL188" s="17" t="s">
        <v>158</v>
      </c>
      <c r="AM188" s="17" t="s">
        <v>158</v>
      </c>
      <c r="AN188" s="17" t="s">
        <v>158</v>
      </c>
      <c r="AO188" s="17" t="s">
        <v>158</v>
      </c>
      <c r="AP188" s="17" t="s">
        <v>158</v>
      </c>
      <c r="AQ188" s="17" t="s">
        <v>158</v>
      </c>
      <c r="AR188" s="17" t="s">
        <v>158</v>
      </c>
      <c r="AS188" s="5" t="s">
        <v>158</v>
      </c>
      <c r="AT188" s="5" t="s">
        <v>158</v>
      </c>
      <c r="AU188" s="5" t="s">
        <v>158</v>
      </c>
      <c r="AV188" s="5" t="s">
        <v>158</v>
      </c>
      <c r="AW188" s="5" t="s">
        <v>158</v>
      </c>
      <c r="BC188" s="107">
        <v>624</v>
      </c>
      <c r="BD188" s="17" t="s">
        <v>158</v>
      </c>
      <c r="BE188" s="17" t="s">
        <v>158</v>
      </c>
      <c r="BF188" s="17" t="s">
        <v>158</v>
      </c>
      <c r="BG188" s="17" t="s">
        <v>158</v>
      </c>
      <c r="BH188" s="17" t="s">
        <v>158</v>
      </c>
      <c r="BI188" s="17" t="s">
        <v>158</v>
      </c>
      <c r="BJ188" s="17" t="s">
        <v>158</v>
      </c>
      <c r="BK188" s="17" t="s">
        <v>158</v>
      </c>
      <c r="BL188" s="17" t="s">
        <v>158</v>
      </c>
      <c r="BM188" s="17" t="s">
        <v>158</v>
      </c>
      <c r="BN188" s="5" t="s">
        <v>158</v>
      </c>
      <c r="BO188" s="5" t="s">
        <v>158</v>
      </c>
      <c r="BP188" s="5" t="s">
        <v>158</v>
      </c>
      <c r="BQ188" s="5" t="s">
        <v>158</v>
      </c>
      <c r="BR188" s="5" t="s">
        <v>158</v>
      </c>
      <c r="BS188" s="5" t="s">
        <v>158</v>
      </c>
      <c r="BT188" s="5" t="s">
        <v>158</v>
      </c>
      <c r="BU188" s="5" t="s">
        <v>158</v>
      </c>
      <c r="BV188" s="5" t="s">
        <v>158</v>
      </c>
      <c r="BW188" s="5" t="s">
        <v>158</v>
      </c>
      <c r="BX188" s="5" t="s">
        <v>158</v>
      </c>
      <c r="BY188" s="5" t="s">
        <v>158</v>
      </c>
      <c r="BZ188" s="5" t="s">
        <v>158</v>
      </c>
      <c r="CA188" s="5" t="s">
        <v>158</v>
      </c>
      <c r="CB188" s="5" t="s">
        <v>158</v>
      </c>
      <c r="CC188" s="5" t="s">
        <v>158</v>
      </c>
      <c r="CD188" s="5" t="s">
        <v>158</v>
      </c>
      <c r="CE188" s="5" t="s">
        <v>158</v>
      </c>
      <c r="CF188" s="5" t="s">
        <v>158</v>
      </c>
      <c r="CG188" s="5" t="s">
        <v>158</v>
      </c>
      <c r="CH188" s="5" t="s">
        <v>158</v>
      </c>
      <c r="CI188" s="17" t="s">
        <v>158</v>
      </c>
      <c r="CJ188" s="17" t="s">
        <v>158</v>
      </c>
      <c r="CK188" s="17" t="s">
        <v>158</v>
      </c>
      <c r="CL188" s="17" t="s">
        <v>158</v>
      </c>
      <c r="CM188" s="17" t="s">
        <v>158</v>
      </c>
      <c r="CN188" s="17" t="s">
        <v>158</v>
      </c>
      <c r="CO188" s="17" t="s">
        <v>158</v>
      </c>
      <c r="CP188" s="17" t="s">
        <v>158</v>
      </c>
      <c r="CQ188" s="17" t="s">
        <v>158</v>
      </c>
      <c r="CR188" s="17" t="s">
        <v>158</v>
      </c>
      <c r="CS188" s="17" t="s">
        <v>158</v>
      </c>
      <c r="CT188" s="17" t="s">
        <v>158</v>
      </c>
      <c r="CU188" s="17" t="s">
        <v>158</v>
      </c>
      <c r="CV188" s="17" t="s">
        <v>158</v>
      </c>
      <c r="CW188" s="17" t="s">
        <v>158</v>
      </c>
      <c r="CX188" s="17" t="s">
        <v>158</v>
      </c>
      <c r="CY188" s="67" t="s">
        <v>158</v>
      </c>
    </row>
    <row r="189" spans="1:103" x14ac:dyDescent="0.2">
      <c r="A189" s="37" t="s">
        <v>112</v>
      </c>
      <c r="B189" s="59" t="s">
        <v>24</v>
      </c>
      <c r="C189" s="25" t="s">
        <v>20</v>
      </c>
      <c r="D189" s="25" t="s">
        <v>125</v>
      </c>
      <c r="F189" s="44"/>
      <c r="G189" s="87">
        <v>40418</v>
      </c>
      <c r="H189" s="41">
        <v>2010</v>
      </c>
      <c r="I189" s="143" t="s">
        <v>3</v>
      </c>
      <c r="J189" s="143" t="s">
        <v>114</v>
      </c>
      <c r="K189" s="136">
        <v>0.38</v>
      </c>
      <c r="L189" s="5" t="s">
        <v>158</v>
      </c>
      <c r="M189" s="42">
        <v>1.7</v>
      </c>
      <c r="N189" s="42">
        <v>7.3</v>
      </c>
      <c r="O189" s="42">
        <v>13</v>
      </c>
      <c r="P189" s="42">
        <v>8.5</v>
      </c>
      <c r="Q189" s="42">
        <v>16</v>
      </c>
      <c r="R189" s="42">
        <v>11</v>
      </c>
      <c r="S189" s="42">
        <v>3.1</v>
      </c>
      <c r="T189" s="5">
        <f t="shared" si="129"/>
        <v>60.6</v>
      </c>
      <c r="U189" s="17">
        <f t="shared" si="131"/>
        <v>685.52631578947364</v>
      </c>
      <c r="V189" s="42">
        <v>1.2E-2</v>
      </c>
      <c r="W189" s="42">
        <v>0.37</v>
      </c>
      <c r="X189" s="42">
        <v>7.1999999999999995E-2</v>
      </c>
      <c r="Y189" s="42">
        <v>6.3E-2</v>
      </c>
      <c r="Z189" s="5" t="s">
        <v>158</v>
      </c>
      <c r="AA189" s="42">
        <v>1.6E-2</v>
      </c>
      <c r="AB189" s="42">
        <v>7.6E-3</v>
      </c>
      <c r="AC189" s="30" t="s">
        <v>158</v>
      </c>
      <c r="AD189" s="5" t="s">
        <v>158</v>
      </c>
      <c r="AE189" s="17">
        <f t="shared" si="125"/>
        <v>0.54060000000000008</v>
      </c>
      <c r="AF189" s="42">
        <f t="shared" si="133"/>
        <v>0.25</v>
      </c>
      <c r="AG189" s="18" t="s">
        <v>158</v>
      </c>
      <c r="AH189" s="31">
        <f t="shared" si="121"/>
        <v>18.191489361702128</v>
      </c>
      <c r="AI189" s="17" t="s">
        <v>158</v>
      </c>
      <c r="AJ189" s="17" t="s">
        <v>158</v>
      </c>
      <c r="AK189" s="17" t="s">
        <v>158</v>
      </c>
      <c r="AL189" s="17" t="s">
        <v>158</v>
      </c>
      <c r="AM189" s="17" t="s">
        <v>158</v>
      </c>
      <c r="AN189" s="17" t="s">
        <v>158</v>
      </c>
      <c r="AO189" s="17" t="s">
        <v>158</v>
      </c>
      <c r="AP189" s="17" t="s">
        <v>158</v>
      </c>
      <c r="AQ189" s="17" t="s">
        <v>158</v>
      </c>
      <c r="AR189" s="17" t="s">
        <v>158</v>
      </c>
      <c r="AS189" s="5" t="s">
        <v>158</v>
      </c>
      <c r="AT189" s="5" t="s">
        <v>158</v>
      </c>
      <c r="AU189" s="5" t="s">
        <v>158</v>
      </c>
      <c r="AV189" s="5" t="s">
        <v>158</v>
      </c>
      <c r="AW189" s="5" t="s">
        <v>158</v>
      </c>
      <c r="BC189" s="107">
        <v>342</v>
      </c>
      <c r="BD189" s="17" t="s">
        <v>158</v>
      </c>
      <c r="BE189" s="17" t="s">
        <v>158</v>
      </c>
      <c r="BF189" s="17" t="s">
        <v>158</v>
      </c>
      <c r="BG189" s="17" t="s">
        <v>158</v>
      </c>
      <c r="BH189" s="17" t="s">
        <v>158</v>
      </c>
      <c r="BI189" s="17" t="s">
        <v>158</v>
      </c>
      <c r="BJ189" s="17" t="s">
        <v>158</v>
      </c>
      <c r="BK189" s="17" t="s">
        <v>158</v>
      </c>
      <c r="BL189" s="17" t="s">
        <v>158</v>
      </c>
      <c r="BM189" s="17" t="s">
        <v>158</v>
      </c>
      <c r="BN189" s="5" t="s">
        <v>158</v>
      </c>
      <c r="BO189" s="5" t="s">
        <v>158</v>
      </c>
      <c r="BP189" s="5" t="s">
        <v>158</v>
      </c>
      <c r="BQ189" s="5" t="s">
        <v>158</v>
      </c>
      <c r="BR189" s="5" t="s">
        <v>158</v>
      </c>
      <c r="BS189" s="5" t="s">
        <v>158</v>
      </c>
      <c r="BT189" s="5" t="s">
        <v>158</v>
      </c>
      <c r="BU189" s="5" t="s">
        <v>158</v>
      </c>
      <c r="BV189" s="5" t="s">
        <v>158</v>
      </c>
      <c r="BW189" s="5" t="s">
        <v>158</v>
      </c>
      <c r="BX189" s="5" t="s">
        <v>158</v>
      </c>
      <c r="BY189" s="5" t="s">
        <v>158</v>
      </c>
      <c r="BZ189" s="5" t="s">
        <v>158</v>
      </c>
      <c r="CA189" s="5" t="s">
        <v>158</v>
      </c>
      <c r="CB189" s="5" t="s">
        <v>158</v>
      </c>
      <c r="CC189" s="5" t="s">
        <v>158</v>
      </c>
      <c r="CD189" s="5" t="s">
        <v>158</v>
      </c>
      <c r="CE189" s="5" t="s">
        <v>158</v>
      </c>
      <c r="CF189" s="5" t="s">
        <v>158</v>
      </c>
      <c r="CG189" s="5" t="s">
        <v>158</v>
      </c>
      <c r="CH189" s="5" t="s">
        <v>158</v>
      </c>
      <c r="CI189" s="17" t="s">
        <v>158</v>
      </c>
      <c r="CJ189" s="17" t="s">
        <v>158</v>
      </c>
      <c r="CK189" s="17" t="s">
        <v>158</v>
      </c>
      <c r="CL189" s="17" t="s">
        <v>158</v>
      </c>
      <c r="CM189" s="17" t="s">
        <v>158</v>
      </c>
      <c r="CN189" s="17" t="s">
        <v>158</v>
      </c>
      <c r="CO189" s="17" t="s">
        <v>158</v>
      </c>
      <c r="CP189" s="17" t="s">
        <v>158</v>
      </c>
      <c r="CQ189" s="17" t="s">
        <v>158</v>
      </c>
      <c r="CR189" s="17" t="s">
        <v>158</v>
      </c>
      <c r="CS189" s="17" t="s">
        <v>158</v>
      </c>
      <c r="CT189" s="17" t="s">
        <v>158</v>
      </c>
      <c r="CU189" s="17" t="s">
        <v>158</v>
      </c>
      <c r="CV189" s="17" t="s">
        <v>158</v>
      </c>
      <c r="CW189" s="17" t="s">
        <v>158</v>
      </c>
      <c r="CX189" s="17" t="s">
        <v>158</v>
      </c>
      <c r="CY189" s="67" t="s">
        <v>158</v>
      </c>
    </row>
    <row r="190" spans="1:103" x14ac:dyDescent="0.2">
      <c r="A190" s="37" t="s">
        <v>112</v>
      </c>
      <c r="B190" s="59" t="s">
        <v>24</v>
      </c>
      <c r="C190" s="25" t="s">
        <v>20</v>
      </c>
      <c r="D190" s="25" t="s">
        <v>125</v>
      </c>
      <c r="F190" s="40"/>
      <c r="G190" s="87">
        <v>40418</v>
      </c>
      <c r="H190" s="41">
        <v>2010</v>
      </c>
      <c r="I190" s="143" t="s">
        <v>3</v>
      </c>
      <c r="J190" s="143" t="s">
        <v>114</v>
      </c>
      <c r="K190" s="136">
        <v>0.3</v>
      </c>
      <c r="L190" s="5" t="s">
        <v>158</v>
      </c>
      <c r="M190" s="42">
        <v>2.2999999999999998</v>
      </c>
      <c r="N190" s="42">
        <v>6.7</v>
      </c>
      <c r="O190" s="42">
        <v>16</v>
      </c>
      <c r="P190" s="42">
        <v>14</v>
      </c>
      <c r="Q190" s="42">
        <v>29</v>
      </c>
      <c r="R190" s="42">
        <v>22</v>
      </c>
      <c r="S190" s="42">
        <v>6.4</v>
      </c>
      <c r="T190" s="5">
        <f t="shared" si="129"/>
        <v>96.4</v>
      </c>
      <c r="U190" s="17">
        <f>SUM(M190,N190,O190,Q190,R190,S190)*(5/K190)</f>
        <v>1373.3333333333335</v>
      </c>
      <c r="V190" s="42">
        <v>8.8000000000000005E-3</v>
      </c>
      <c r="W190" s="42">
        <v>0.56999999999999995</v>
      </c>
      <c r="X190" s="42">
        <v>0.14000000000000001</v>
      </c>
      <c r="Y190" s="42">
        <v>0.19</v>
      </c>
      <c r="Z190" s="5" t="s">
        <v>158</v>
      </c>
      <c r="AA190" s="42">
        <v>2.3E-2</v>
      </c>
      <c r="AB190" s="42">
        <v>1.7999999999999999E-2</v>
      </c>
      <c r="AC190" s="30" t="s">
        <v>158</v>
      </c>
      <c r="AD190" s="5" t="s">
        <v>158</v>
      </c>
      <c r="AE190" s="17">
        <f t="shared" si="125"/>
        <v>0.94979999999999998</v>
      </c>
      <c r="AF190" s="42">
        <f t="shared" si="133"/>
        <v>0.25</v>
      </c>
      <c r="AG190" s="18" t="s">
        <v>158</v>
      </c>
      <c r="AH190" s="31">
        <f t="shared" si="121"/>
        <v>39.521276595744681</v>
      </c>
      <c r="AI190" s="17" t="s">
        <v>158</v>
      </c>
      <c r="AJ190" s="17" t="s">
        <v>158</v>
      </c>
      <c r="AK190" s="17" t="s">
        <v>158</v>
      </c>
      <c r="AL190" s="17" t="s">
        <v>158</v>
      </c>
      <c r="AM190" s="17" t="s">
        <v>158</v>
      </c>
      <c r="AN190" s="17" t="s">
        <v>158</v>
      </c>
      <c r="AO190" s="17" t="s">
        <v>158</v>
      </c>
      <c r="AP190" s="17" t="s">
        <v>158</v>
      </c>
      <c r="AQ190" s="17" t="s">
        <v>158</v>
      </c>
      <c r="AR190" s="17" t="s">
        <v>158</v>
      </c>
      <c r="AS190" s="5" t="s">
        <v>158</v>
      </c>
      <c r="AT190" s="5" t="s">
        <v>158</v>
      </c>
      <c r="AU190" s="5" t="s">
        <v>158</v>
      </c>
      <c r="AV190" s="5" t="s">
        <v>158</v>
      </c>
      <c r="AW190" s="5" t="s">
        <v>158</v>
      </c>
      <c r="BC190" s="107">
        <v>743</v>
      </c>
      <c r="BD190" s="17" t="s">
        <v>158</v>
      </c>
      <c r="BE190" s="17" t="s">
        <v>158</v>
      </c>
      <c r="BF190" s="17" t="s">
        <v>158</v>
      </c>
      <c r="BG190" s="17" t="s">
        <v>158</v>
      </c>
      <c r="BH190" s="17" t="s">
        <v>158</v>
      </c>
      <c r="BI190" s="17" t="s">
        <v>158</v>
      </c>
      <c r="BJ190" s="17" t="s">
        <v>158</v>
      </c>
      <c r="BK190" s="17" t="s">
        <v>158</v>
      </c>
      <c r="BL190" s="17" t="s">
        <v>158</v>
      </c>
      <c r="BM190" s="17" t="s">
        <v>158</v>
      </c>
      <c r="BN190" s="5" t="s">
        <v>158</v>
      </c>
      <c r="BO190" s="5" t="s">
        <v>158</v>
      </c>
      <c r="BP190" s="5" t="s">
        <v>158</v>
      </c>
      <c r="BQ190" s="5" t="s">
        <v>158</v>
      </c>
      <c r="BR190" s="5" t="s">
        <v>158</v>
      </c>
      <c r="BS190" s="5" t="s">
        <v>158</v>
      </c>
      <c r="BT190" s="5" t="s">
        <v>158</v>
      </c>
      <c r="BU190" s="5" t="s">
        <v>158</v>
      </c>
      <c r="BV190" s="5" t="s">
        <v>158</v>
      </c>
      <c r="BW190" s="5" t="s">
        <v>158</v>
      </c>
      <c r="BX190" s="5" t="s">
        <v>158</v>
      </c>
      <c r="BY190" s="5" t="s">
        <v>158</v>
      </c>
      <c r="BZ190" s="5" t="s">
        <v>158</v>
      </c>
      <c r="CA190" s="5" t="s">
        <v>158</v>
      </c>
      <c r="CB190" s="5" t="s">
        <v>158</v>
      </c>
      <c r="CC190" s="5" t="s">
        <v>158</v>
      </c>
      <c r="CD190" s="5" t="s">
        <v>158</v>
      </c>
      <c r="CE190" s="5" t="s">
        <v>158</v>
      </c>
      <c r="CF190" s="5" t="s">
        <v>158</v>
      </c>
      <c r="CG190" s="5" t="s">
        <v>158</v>
      </c>
      <c r="CH190" s="5" t="s">
        <v>158</v>
      </c>
      <c r="CI190" s="17" t="s">
        <v>158</v>
      </c>
      <c r="CJ190" s="17" t="s">
        <v>158</v>
      </c>
      <c r="CK190" s="17" t="s">
        <v>158</v>
      </c>
      <c r="CL190" s="17" t="s">
        <v>158</v>
      </c>
      <c r="CM190" s="17" t="s">
        <v>158</v>
      </c>
      <c r="CN190" s="17" t="s">
        <v>158</v>
      </c>
      <c r="CO190" s="17" t="s">
        <v>158</v>
      </c>
      <c r="CP190" s="17" t="s">
        <v>158</v>
      </c>
      <c r="CQ190" s="17" t="s">
        <v>158</v>
      </c>
      <c r="CR190" s="17" t="s">
        <v>158</v>
      </c>
      <c r="CS190" s="17" t="s">
        <v>158</v>
      </c>
      <c r="CT190" s="17" t="s">
        <v>158</v>
      </c>
      <c r="CU190" s="17" t="s">
        <v>158</v>
      </c>
      <c r="CV190" s="17" t="s">
        <v>158</v>
      </c>
      <c r="CW190" s="17" t="s">
        <v>158</v>
      </c>
      <c r="CX190" s="17" t="s">
        <v>158</v>
      </c>
      <c r="CY190" s="67" t="s">
        <v>158</v>
      </c>
    </row>
    <row r="191" spans="1:103" x14ac:dyDescent="0.2">
      <c r="A191" s="37" t="s">
        <v>112</v>
      </c>
      <c r="B191" s="59" t="s">
        <v>24</v>
      </c>
      <c r="C191" s="25" t="s">
        <v>20</v>
      </c>
      <c r="D191" s="25" t="s">
        <v>125</v>
      </c>
      <c r="F191" s="44"/>
      <c r="G191" s="87">
        <v>40418</v>
      </c>
      <c r="H191" s="41">
        <v>2010</v>
      </c>
      <c r="I191" s="143" t="s">
        <v>3</v>
      </c>
      <c r="J191" s="143" t="s">
        <v>114</v>
      </c>
      <c r="K191" s="136">
        <v>0.38</v>
      </c>
      <c r="L191" s="5" t="s">
        <v>158</v>
      </c>
      <c r="M191" s="42">
        <v>2.2000000000000002</v>
      </c>
      <c r="N191" s="42">
        <v>7.2</v>
      </c>
      <c r="O191" s="42">
        <v>14</v>
      </c>
      <c r="P191" s="42">
        <v>11</v>
      </c>
      <c r="Q191" s="42">
        <v>16</v>
      </c>
      <c r="R191" s="42">
        <v>12</v>
      </c>
      <c r="S191" s="42">
        <v>4.5</v>
      </c>
      <c r="T191" s="5">
        <f t="shared" si="129"/>
        <v>66.900000000000006</v>
      </c>
      <c r="U191" s="17">
        <f t="shared" si="131"/>
        <v>735.52631578947364</v>
      </c>
      <c r="V191" s="42">
        <v>7.4999999999999997E-3</v>
      </c>
      <c r="W191" s="42">
        <v>0.39</v>
      </c>
      <c r="X191" s="42">
        <v>0.1</v>
      </c>
      <c r="Y191" s="42">
        <v>0.17</v>
      </c>
      <c r="Z191" s="5" t="s">
        <v>158</v>
      </c>
      <c r="AA191" s="42">
        <v>0.03</v>
      </c>
      <c r="AB191" s="42">
        <v>1.6E-2</v>
      </c>
      <c r="AC191" s="30" t="s">
        <v>158</v>
      </c>
      <c r="AD191" s="5" t="s">
        <v>158</v>
      </c>
      <c r="AE191" s="17">
        <f t="shared" si="125"/>
        <v>0.71350000000000002</v>
      </c>
      <c r="AF191" s="42">
        <v>0.79</v>
      </c>
      <c r="AG191" s="18" t="s">
        <v>158</v>
      </c>
      <c r="AH191" s="31">
        <f t="shared" si="121"/>
        <v>12.712765957446807</v>
      </c>
      <c r="AI191" s="17" t="s">
        <v>158</v>
      </c>
      <c r="AJ191" s="17" t="s">
        <v>158</v>
      </c>
      <c r="AK191" s="17" t="s">
        <v>158</v>
      </c>
      <c r="AL191" s="17" t="s">
        <v>158</v>
      </c>
      <c r="AM191" s="17" t="s">
        <v>158</v>
      </c>
      <c r="AN191" s="17" t="s">
        <v>158</v>
      </c>
      <c r="AO191" s="17" t="s">
        <v>158</v>
      </c>
      <c r="AP191" s="17" t="s">
        <v>158</v>
      </c>
      <c r="AQ191" s="17" t="s">
        <v>158</v>
      </c>
      <c r="AR191" s="17" t="s">
        <v>158</v>
      </c>
      <c r="AS191" s="5" t="s">
        <v>158</v>
      </c>
      <c r="AT191" s="5" t="s">
        <v>158</v>
      </c>
      <c r="AU191" s="5" t="s">
        <v>158</v>
      </c>
      <c r="AV191" s="5" t="s">
        <v>158</v>
      </c>
      <c r="AW191" s="5" t="s">
        <v>158</v>
      </c>
      <c r="BC191" s="107">
        <v>239</v>
      </c>
      <c r="BD191" s="17" t="s">
        <v>158</v>
      </c>
      <c r="BE191" s="17" t="s">
        <v>158</v>
      </c>
      <c r="BF191" s="17" t="s">
        <v>158</v>
      </c>
      <c r="BG191" s="17" t="s">
        <v>158</v>
      </c>
      <c r="BH191" s="17" t="s">
        <v>158</v>
      </c>
      <c r="BI191" s="17" t="s">
        <v>158</v>
      </c>
      <c r="BJ191" s="17" t="s">
        <v>158</v>
      </c>
      <c r="BK191" s="17" t="s">
        <v>158</v>
      </c>
      <c r="BL191" s="17" t="s">
        <v>158</v>
      </c>
      <c r="BM191" s="17" t="s">
        <v>158</v>
      </c>
      <c r="BN191" s="5" t="s">
        <v>158</v>
      </c>
      <c r="BO191" s="5" t="s">
        <v>158</v>
      </c>
      <c r="BP191" s="5" t="s">
        <v>158</v>
      </c>
      <c r="BQ191" s="5" t="s">
        <v>158</v>
      </c>
      <c r="BR191" s="5" t="s">
        <v>158</v>
      </c>
      <c r="BS191" s="5" t="s">
        <v>158</v>
      </c>
      <c r="BT191" s="5" t="s">
        <v>158</v>
      </c>
      <c r="BU191" s="5" t="s">
        <v>158</v>
      </c>
      <c r="BV191" s="5" t="s">
        <v>158</v>
      </c>
      <c r="BW191" s="5" t="s">
        <v>158</v>
      </c>
      <c r="BX191" s="5" t="s">
        <v>158</v>
      </c>
      <c r="BY191" s="5" t="s">
        <v>158</v>
      </c>
      <c r="BZ191" s="5" t="s">
        <v>158</v>
      </c>
      <c r="CA191" s="5" t="s">
        <v>158</v>
      </c>
      <c r="CB191" s="5" t="s">
        <v>158</v>
      </c>
      <c r="CC191" s="5" t="s">
        <v>158</v>
      </c>
      <c r="CD191" s="5" t="s">
        <v>158</v>
      </c>
      <c r="CE191" s="5" t="s">
        <v>158</v>
      </c>
      <c r="CF191" s="5" t="s">
        <v>158</v>
      </c>
      <c r="CG191" s="5" t="s">
        <v>158</v>
      </c>
      <c r="CH191" s="5" t="s">
        <v>158</v>
      </c>
      <c r="CI191" s="17" t="s">
        <v>158</v>
      </c>
      <c r="CJ191" s="17" t="s">
        <v>158</v>
      </c>
      <c r="CK191" s="17" t="s">
        <v>158</v>
      </c>
      <c r="CL191" s="17" t="s">
        <v>158</v>
      </c>
      <c r="CM191" s="17" t="s">
        <v>158</v>
      </c>
      <c r="CN191" s="17" t="s">
        <v>158</v>
      </c>
      <c r="CO191" s="17" t="s">
        <v>158</v>
      </c>
      <c r="CP191" s="17" t="s">
        <v>158</v>
      </c>
      <c r="CQ191" s="17" t="s">
        <v>158</v>
      </c>
      <c r="CR191" s="17" t="s">
        <v>158</v>
      </c>
      <c r="CS191" s="17" t="s">
        <v>158</v>
      </c>
      <c r="CT191" s="17" t="s">
        <v>158</v>
      </c>
      <c r="CU191" s="17" t="s">
        <v>158</v>
      </c>
      <c r="CV191" s="17" t="s">
        <v>158</v>
      </c>
      <c r="CW191" s="17" t="s">
        <v>158</v>
      </c>
      <c r="CX191" s="17" t="s">
        <v>158</v>
      </c>
      <c r="CY191" s="67" t="s">
        <v>158</v>
      </c>
    </row>
    <row r="192" spans="1:103" ht="15" thickBot="1" x14ac:dyDescent="0.25">
      <c r="A192" s="46" t="s">
        <v>112</v>
      </c>
      <c r="B192" s="60" t="s">
        <v>24</v>
      </c>
      <c r="C192" s="47" t="s">
        <v>20</v>
      </c>
      <c r="D192" s="47" t="s">
        <v>125</v>
      </c>
      <c r="E192" s="19"/>
      <c r="F192" s="48"/>
      <c r="G192" s="88">
        <v>40418</v>
      </c>
      <c r="H192" s="49">
        <v>2010</v>
      </c>
      <c r="I192" s="144" t="s">
        <v>3</v>
      </c>
      <c r="J192" s="144" t="s">
        <v>114</v>
      </c>
      <c r="K192" s="137">
        <v>0.72</v>
      </c>
      <c r="L192" s="20" t="s">
        <v>158</v>
      </c>
      <c r="M192" s="50">
        <v>6.6</v>
      </c>
      <c r="N192" s="50">
        <v>13</v>
      </c>
      <c r="O192" s="50">
        <v>28</v>
      </c>
      <c r="P192" s="50">
        <v>32</v>
      </c>
      <c r="Q192" s="50">
        <v>56</v>
      </c>
      <c r="R192" s="50">
        <v>45</v>
      </c>
      <c r="S192" s="50">
        <v>14</v>
      </c>
      <c r="T192" s="20">
        <f t="shared" si="129"/>
        <v>194.6</v>
      </c>
      <c r="U192" s="22">
        <f t="shared" si="131"/>
        <v>1129.1666666666667</v>
      </c>
      <c r="V192" s="50">
        <v>1.2999999999999999E-2</v>
      </c>
      <c r="W192" s="50">
        <v>1.3</v>
      </c>
      <c r="X192" s="50">
        <v>0.4</v>
      </c>
      <c r="Y192" s="50">
        <v>0.25</v>
      </c>
      <c r="Z192" s="20" t="s">
        <v>158</v>
      </c>
      <c r="AA192" s="50">
        <v>0.05</v>
      </c>
      <c r="AB192" s="50">
        <v>3.2000000000000001E-2</v>
      </c>
      <c r="AC192" s="51" t="s">
        <v>158</v>
      </c>
      <c r="AD192" s="20" t="s">
        <v>158</v>
      </c>
      <c r="AE192" s="22">
        <f t="shared" si="125"/>
        <v>2.0449999999999999</v>
      </c>
      <c r="AF192" s="50">
        <v>0.79</v>
      </c>
      <c r="AG192" s="21" t="s">
        <v>158</v>
      </c>
      <c r="AH192" s="89">
        <f t="shared" si="121"/>
        <v>8.4574468085106371</v>
      </c>
      <c r="AI192" s="22" t="s">
        <v>158</v>
      </c>
      <c r="AJ192" s="22" t="s">
        <v>158</v>
      </c>
      <c r="AK192" s="22" t="s">
        <v>158</v>
      </c>
      <c r="AL192" s="22" t="s">
        <v>158</v>
      </c>
      <c r="AM192" s="22" t="s">
        <v>158</v>
      </c>
      <c r="AN192" s="22" t="s">
        <v>158</v>
      </c>
      <c r="AO192" s="22" t="s">
        <v>158</v>
      </c>
      <c r="AP192" s="22" t="s">
        <v>158</v>
      </c>
      <c r="AQ192" s="22" t="s">
        <v>158</v>
      </c>
      <c r="AR192" s="22" t="s">
        <v>158</v>
      </c>
      <c r="AS192" s="20" t="s">
        <v>158</v>
      </c>
      <c r="AT192" s="20" t="s">
        <v>158</v>
      </c>
      <c r="AU192" s="20" t="s">
        <v>158</v>
      </c>
      <c r="AV192" s="20" t="s">
        <v>158</v>
      </c>
      <c r="AW192" s="20" t="s">
        <v>158</v>
      </c>
      <c r="AX192" s="20"/>
      <c r="AY192" s="20"/>
      <c r="AZ192" s="20"/>
      <c r="BA192" s="20"/>
      <c r="BB192" s="20"/>
      <c r="BC192" s="108">
        <v>159</v>
      </c>
      <c r="BD192" s="22" t="s">
        <v>158</v>
      </c>
      <c r="BE192" s="22" t="s">
        <v>158</v>
      </c>
      <c r="BF192" s="22" t="s">
        <v>158</v>
      </c>
      <c r="BG192" s="22" t="s">
        <v>158</v>
      </c>
      <c r="BH192" s="22" t="s">
        <v>158</v>
      </c>
      <c r="BI192" s="22" t="s">
        <v>158</v>
      </c>
      <c r="BJ192" s="22" t="s">
        <v>158</v>
      </c>
      <c r="BK192" s="22" t="s">
        <v>158</v>
      </c>
      <c r="BL192" s="22" t="s">
        <v>158</v>
      </c>
      <c r="BM192" s="22" t="s">
        <v>158</v>
      </c>
      <c r="BN192" s="20" t="s">
        <v>158</v>
      </c>
      <c r="BO192" s="20" t="s">
        <v>158</v>
      </c>
      <c r="BP192" s="20" t="s">
        <v>158</v>
      </c>
      <c r="BQ192" s="20" t="s">
        <v>158</v>
      </c>
      <c r="BR192" s="20" t="s">
        <v>158</v>
      </c>
      <c r="BS192" s="20" t="s">
        <v>158</v>
      </c>
      <c r="BT192" s="20" t="s">
        <v>158</v>
      </c>
      <c r="BU192" s="20" t="s">
        <v>158</v>
      </c>
      <c r="BV192" s="20" t="s">
        <v>158</v>
      </c>
      <c r="BW192" s="20" t="s">
        <v>158</v>
      </c>
      <c r="BX192" s="20" t="s">
        <v>158</v>
      </c>
      <c r="BY192" s="20" t="s">
        <v>158</v>
      </c>
      <c r="BZ192" s="20" t="s">
        <v>158</v>
      </c>
      <c r="CA192" s="20" t="s">
        <v>158</v>
      </c>
      <c r="CB192" s="20" t="s">
        <v>158</v>
      </c>
      <c r="CC192" s="20" t="s">
        <v>158</v>
      </c>
      <c r="CD192" s="20" t="s">
        <v>158</v>
      </c>
      <c r="CE192" s="20" t="s">
        <v>158</v>
      </c>
      <c r="CF192" s="20" t="s">
        <v>158</v>
      </c>
      <c r="CG192" s="20" t="s">
        <v>158</v>
      </c>
      <c r="CH192" s="20" t="s">
        <v>158</v>
      </c>
      <c r="CI192" s="22" t="s">
        <v>158</v>
      </c>
      <c r="CJ192" s="22" t="s">
        <v>158</v>
      </c>
      <c r="CK192" s="22" t="s">
        <v>158</v>
      </c>
      <c r="CL192" s="22" t="s">
        <v>158</v>
      </c>
      <c r="CM192" s="22" t="s">
        <v>158</v>
      </c>
      <c r="CN192" s="22" t="s">
        <v>158</v>
      </c>
      <c r="CO192" s="22" t="s">
        <v>158</v>
      </c>
      <c r="CP192" s="22" t="s">
        <v>158</v>
      </c>
      <c r="CQ192" s="22" t="s">
        <v>158</v>
      </c>
      <c r="CR192" s="22" t="s">
        <v>158</v>
      </c>
      <c r="CS192" s="22" t="s">
        <v>158</v>
      </c>
      <c r="CT192" s="22" t="s">
        <v>158</v>
      </c>
      <c r="CU192" s="22" t="s">
        <v>158</v>
      </c>
      <c r="CV192" s="22" t="s">
        <v>158</v>
      </c>
      <c r="CW192" s="22" t="s">
        <v>158</v>
      </c>
      <c r="CX192" s="22" t="s">
        <v>158</v>
      </c>
      <c r="CY192" s="70" t="s">
        <v>158</v>
      </c>
    </row>
    <row r="193" spans="2:104" x14ac:dyDescent="0.2">
      <c r="B193" s="52"/>
      <c r="C193" s="52"/>
      <c r="D193" s="52"/>
      <c r="E193" s="53"/>
      <c r="F193" s="43"/>
      <c r="G193" s="54"/>
      <c r="H193" s="42"/>
      <c r="I193" s="145"/>
      <c r="J193" s="145"/>
      <c r="K193" s="141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D193" s="42"/>
      <c r="AE193" s="5"/>
      <c r="AF193" s="42"/>
      <c r="AH193" s="43"/>
      <c r="AI193" s="17"/>
      <c r="AJ193" s="17"/>
      <c r="AL193" s="42"/>
      <c r="AM193" s="42"/>
      <c r="AP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67"/>
    </row>
    <row r="194" spans="2:104" x14ac:dyDescent="0.2">
      <c r="B194" s="52"/>
      <c r="C194" s="52"/>
      <c r="D194" s="52"/>
      <c r="E194" s="53"/>
      <c r="F194" s="43"/>
      <c r="G194" s="54"/>
      <c r="H194" s="42"/>
      <c r="I194" s="145"/>
      <c r="J194" s="145"/>
      <c r="K194" s="141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D194" s="42"/>
      <c r="AE194" s="5"/>
      <c r="AF194" s="42"/>
      <c r="AH194" s="43"/>
      <c r="AI194" s="17"/>
      <c r="AJ194" s="17"/>
      <c r="AL194" s="42"/>
      <c r="AM194" s="42"/>
      <c r="AP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N194" s="5"/>
      <c r="BY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67"/>
    </row>
    <row r="195" spans="2:104" x14ac:dyDescent="0.2">
      <c r="B195" s="59"/>
      <c r="C195" s="59"/>
      <c r="D195" s="59"/>
      <c r="E195" s="109"/>
      <c r="F195" s="40"/>
      <c r="G195" s="54"/>
      <c r="H195" s="41"/>
      <c r="I195" s="146"/>
      <c r="J195" s="146"/>
      <c r="K195" s="141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D195" s="42"/>
      <c r="AE195" s="5"/>
      <c r="AF195" s="42"/>
      <c r="AH195" s="43"/>
      <c r="AI195" s="17"/>
      <c r="AJ195" s="17"/>
      <c r="AL195" s="42"/>
      <c r="AM195" s="42"/>
      <c r="AP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N195" s="5"/>
      <c r="BY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67"/>
    </row>
    <row r="196" spans="2:104" x14ac:dyDescent="0.2">
      <c r="B196" s="59"/>
      <c r="C196" s="59"/>
      <c r="D196" s="59"/>
      <c r="E196" s="109"/>
      <c r="F196" s="40"/>
      <c r="G196" s="54"/>
      <c r="H196" s="41"/>
      <c r="I196" s="146"/>
      <c r="J196" s="146"/>
      <c r="K196" s="141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D196" s="42"/>
      <c r="AE196" s="5"/>
      <c r="AF196" s="42"/>
      <c r="AH196" s="43"/>
      <c r="AI196" s="17"/>
      <c r="AJ196" s="17"/>
      <c r="AL196" s="42"/>
      <c r="AM196" s="42"/>
      <c r="AP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N196" s="5"/>
      <c r="BY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67"/>
    </row>
    <row r="197" spans="2:104" x14ac:dyDescent="0.2">
      <c r="B197" s="59"/>
      <c r="C197" s="59"/>
      <c r="D197" s="59"/>
      <c r="E197" s="109"/>
      <c r="F197" s="40"/>
      <c r="G197" s="54"/>
      <c r="H197" s="41"/>
      <c r="I197" s="146"/>
      <c r="J197" s="146"/>
      <c r="K197" s="141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D197" s="42"/>
      <c r="AE197" s="5"/>
      <c r="AH197" s="43"/>
      <c r="AI197" s="17"/>
      <c r="AJ197" s="17"/>
      <c r="AL197" s="42"/>
      <c r="AM197" s="42"/>
      <c r="AP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N197" s="5"/>
      <c r="BY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67"/>
    </row>
    <row r="198" spans="2:104" x14ac:dyDescent="0.2">
      <c r="B198" s="59"/>
      <c r="C198" s="59"/>
      <c r="D198" s="59"/>
      <c r="E198" s="109"/>
      <c r="F198" s="40"/>
      <c r="G198" s="54"/>
      <c r="H198" s="41"/>
      <c r="I198" s="143"/>
      <c r="J198" s="143"/>
      <c r="K198" s="141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D198" s="42"/>
      <c r="AE198" s="5"/>
      <c r="AG198" s="43"/>
      <c r="AH198" s="43"/>
      <c r="AI198" s="17"/>
      <c r="AJ198" s="17"/>
      <c r="AL198" s="42"/>
      <c r="AM198" s="42"/>
      <c r="AP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N198" s="5"/>
      <c r="BY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67"/>
    </row>
    <row r="199" spans="2:104" x14ac:dyDescent="0.2">
      <c r="B199" s="59"/>
      <c r="C199" s="59"/>
      <c r="D199" s="59"/>
      <c r="E199" s="109"/>
      <c r="F199" s="40"/>
      <c r="G199" s="54"/>
      <c r="H199" s="41"/>
      <c r="I199" s="143"/>
      <c r="J199" s="143"/>
      <c r="K199" s="141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D199" s="42"/>
      <c r="AE199" s="5"/>
      <c r="AG199" s="43"/>
      <c r="BC199" s="17"/>
      <c r="BN199" s="5"/>
      <c r="BY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67"/>
    </row>
    <row r="200" spans="2:104" x14ac:dyDescent="0.2">
      <c r="B200" s="59"/>
      <c r="C200" s="59"/>
      <c r="D200" s="59"/>
      <c r="E200" s="109"/>
      <c r="F200" s="40"/>
      <c r="G200" s="54"/>
      <c r="H200" s="41"/>
      <c r="I200" s="143"/>
      <c r="J200" s="143"/>
      <c r="K200" s="141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D200" s="42"/>
      <c r="AE200" s="5"/>
      <c r="AG200" s="43"/>
      <c r="AH200" s="43"/>
      <c r="AI200" s="17"/>
      <c r="AJ200" s="17"/>
      <c r="AL200" s="42"/>
      <c r="AM200" s="42"/>
      <c r="AP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N200" s="5"/>
      <c r="BY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67"/>
    </row>
    <row r="201" spans="2:104" x14ac:dyDescent="0.2">
      <c r="B201" s="59"/>
      <c r="C201" s="59"/>
      <c r="D201" s="59"/>
      <c r="E201" s="109"/>
      <c r="F201" s="40"/>
      <c r="G201" s="54"/>
      <c r="H201" s="41"/>
      <c r="I201" s="143"/>
      <c r="J201" s="143"/>
      <c r="K201" s="141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D201" s="42"/>
      <c r="AE201" s="5"/>
      <c r="AG201" s="43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  <c r="AT201" s="94"/>
      <c r="AU201" s="94"/>
      <c r="AV201" s="94"/>
      <c r="AW201" s="94"/>
      <c r="AX201" s="94"/>
      <c r="AY201" s="94"/>
      <c r="AZ201" s="94"/>
      <c r="BA201" s="94"/>
      <c r="BB201" s="94"/>
      <c r="BC201" s="16"/>
      <c r="BD201" s="16"/>
      <c r="BE201" s="16"/>
      <c r="BF201" s="16"/>
      <c r="BG201" s="16"/>
      <c r="BN201" s="5"/>
      <c r="CB201" s="17"/>
      <c r="CI201" s="5"/>
      <c r="CJ201" s="5"/>
      <c r="CK201" s="5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67"/>
      <c r="CZ201" s="17"/>
    </row>
    <row r="202" spans="2:104" x14ac:dyDescent="0.2">
      <c r="B202" s="59"/>
      <c r="C202" s="59"/>
      <c r="D202" s="59"/>
      <c r="E202" s="109"/>
      <c r="F202" s="40"/>
      <c r="G202" s="54"/>
      <c r="H202" s="41"/>
      <c r="I202" s="143"/>
      <c r="J202" s="143"/>
      <c r="K202" s="141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D202" s="42"/>
      <c r="AE202" s="5"/>
      <c r="AG202" s="43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6"/>
      <c r="BD202" s="16"/>
      <c r="BE202" s="16"/>
      <c r="BF202" s="16"/>
      <c r="BG202" s="16"/>
      <c r="BN202" s="5"/>
      <c r="CB202" s="17"/>
      <c r="CI202" s="5"/>
      <c r="CJ202" s="5"/>
      <c r="CK202" s="5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67"/>
      <c r="CZ202" s="17"/>
    </row>
    <row r="203" spans="2:104" x14ac:dyDescent="0.2">
      <c r="B203" s="59"/>
      <c r="C203" s="59"/>
      <c r="D203" s="59"/>
      <c r="E203" s="109"/>
      <c r="F203" s="40"/>
      <c r="G203" s="103"/>
      <c r="H203" s="41"/>
      <c r="I203" s="143"/>
      <c r="J203" s="143"/>
      <c r="K203" s="141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D203" s="42"/>
      <c r="AE203" s="5"/>
      <c r="AG203" s="95"/>
      <c r="AH203" s="63"/>
      <c r="AI203" s="104"/>
      <c r="AJ203" s="104"/>
      <c r="AK203" s="104"/>
      <c r="AL203" s="104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  <c r="AW203" s="104"/>
      <c r="AX203" s="104"/>
      <c r="AY203" s="104"/>
      <c r="AZ203" s="104"/>
      <c r="BA203" s="104"/>
      <c r="BB203" s="104"/>
      <c r="BC203" s="16"/>
      <c r="BD203" s="16"/>
      <c r="BE203" s="16"/>
      <c r="BF203" s="16"/>
      <c r="BG203" s="16"/>
      <c r="BN203" s="5"/>
      <c r="CB203" s="17"/>
      <c r="CI203" s="5"/>
      <c r="CJ203" s="5"/>
      <c r="CK203" s="5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67"/>
      <c r="CZ203" s="17"/>
    </row>
    <row r="204" spans="2:104" x14ac:dyDescent="0.2">
      <c r="B204" s="59"/>
      <c r="C204" s="59"/>
      <c r="D204" s="59"/>
      <c r="E204" s="109"/>
      <c r="F204" s="40"/>
      <c r="G204" s="103"/>
      <c r="H204" s="41"/>
      <c r="K204" s="141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D204" s="42"/>
      <c r="AE204" s="5"/>
      <c r="AG204" s="95"/>
      <c r="AH204" s="105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6"/>
      <c r="BD204" s="16"/>
      <c r="BE204" s="16"/>
      <c r="BF204" s="16"/>
      <c r="BG204" s="16"/>
      <c r="BN204" s="5"/>
      <c r="CB204" s="17"/>
      <c r="CI204" s="5"/>
      <c r="CJ204" s="5"/>
      <c r="CK204" s="5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67"/>
      <c r="CZ204" s="17"/>
    </row>
    <row r="205" spans="2:104" x14ac:dyDescent="0.2">
      <c r="B205" s="59"/>
      <c r="C205" s="59"/>
      <c r="D205" s="59"/>
      <c r="E205" s="109"/>
      <c r="F205" s="40"/>
      <c r="G205" s="103"/>
      <c r="H205" s="41"/>
      <c r="K205" s="141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D205" s="42"/>
      <c r="AE205" s="5"/>
      <c r="AG205" s="95"/>
      <c r="AH205" s="105"/>
      <c r="AI205" s="104"/>
      <c r="AJ205" s="104"/>
      <c r="AK205" s="104"/>
      <c r="AL205" s="104"/>
      <c r="AM205" s="104"/>
      <c r="AN205" s="63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6"/>
      <c r="BD205" s="16"/>
      <c r="BE205" s="16"/>
      <c r="BF205" s="16"/>
      <c r="BG205" s="16"/>
      <c r="BN205" s="5"/>
      <c r="CB205" s="17"/>
      <c r="CI205" s="5"/>
      <c r="CJ205" s="5"/>
      <c r="CK205" s="5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67"/>
      <c r="CZ205" s="17"/>
    </row>
    <row r="206" spans="2:104" x14ac:dyDescent="0.2">
      <c r="B206" s="59"/>
      <c r="C206" s="59"/>
      <c r="D206" s="59"/>
      <c r="E206" s="109"/>
      <c r="F206" s="40"/>
      <c r="G206" s="103"/>
      <c r="H206" s="41"/>
      <c r="I206" s="143"/>
      <c r="J206" s="143"/>
      <c r="K206" s="141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D206" s="42"/>
      <c r="AE206" s="5"/>
      <c r="AG206" s="95"/>
      <c r="AH206" s="105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6"/>
      <c r="BD206" s="16"/>
      <c r="BE206" s="16"/>
      <c r="BF206" s="16"/>
      <c r="BG206" s="16"/>
      <c r="BN206" s="5"/>
      <c r="CB206" s="17"/>
      <c r="CI206" s="5"/>
      <c r="CJ206" s="5"/>
      <c r="CK206" s="5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67"/>
      <c r="CZ206" s="17"/>
    </row>
    <row r="207" spans="2:104" x14ac:dyDescent="0.2">
      <c r="B207" s="59"/>
      <c r="C207" s="59"/>
      <c r="D207" s="59"/>
      <c r="E207" s="109"/>
      <c r="F207" s="40"/>
      <c r="G207" s="54"/>
      <c r="H207" s="41"/>
      <c r="I207" s="143"/>
      <c r="J207" s="143"/>
      <c r="K207" s="141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D207" s="42"/>
      <c r="AE207" s="5"/>
      <c r="AG207" s="95"/>
      <c r="AH207" s="105"/>
      <c r="AI207" s="104"/>
      <c r="AJ207" s="104"/>
      <c r="AK207" s="104"/>
      <c r="AL207" s="104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  <c r="AX207" s="104"/>
      <c r="AY207" s="104"/>
      <c r="AZ207" s="104"/>
      <c r="BA207" s="104"/>
      <c r="BB207" s="104"/>
      <c r="BC207" s="16"/>
      <c r="BD207" s="16"/>
      <c r="BE207" s="16"/>
      <c r="BF207" s="16"/>
      <c r="BG207" s="16"/>
      <c r="BN207" s="5"/>
      <c r="CB207" s="17"/>
      <c r="CI207" s="5"/>
      <c r="CJ207" s="5"/>
      <c r="CK207" s="5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67"/>
      <c r="CZ207" s="17"/>
    </row>
    <row r="208" spans="2:104" x14ac:dyDescent="0.2">
      <c r="B208" s="59"/>
      <c r="C208" s="59"/>
      <c r="D208" s="59"/>
      <c r="E208" s="109"/>
      <c r="F208" s="40"/>
      <c r="G208" s="103"/>
      <c r="H208" s="41"/>
      <c r="I208" s="143"/>
      <c r="J208" s="143"/>
      <c r="K208" s="141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D208" s="42"/>
      <c r="AE208" s="5"/>
      <c r="AG208" s="95"/>
      <c r="AH208" s="105"/>
      <c r="AI208" s="104"/>
      <c r="AJ208" s="104"/>
      <c r="AK208" s="104"/>
      <c r="AL208" s="104"/>
      <c r="AM208" s="104"/>
      <c r="AN208" s="63"/>
      <c r="AO208" s="104"/>
      <c r="AP208" s="104"/>
      <c r="AQ208" s="104"/>
      <c r="AR208" s="104"/>
      <c r="AS208" s="104"/>
      <c r="AT208" s="104"/>
      <c r="AU208" s="104"/>
      <c r="AV208" s="104"/>
      <c r="AW208" s="104"/>
      <c r="AX208" s="104"/>
      <c r="AY208" s="104"/>
      <c r="AZ208" s="104"/>
      <c r="BA208" s="104"/>
      <c r="BB208" s="104"/>
      <c r="BC208" s="16"/>
      <c r="BD208" s="16"/>
      <c r="BE208" s="16"/>
      <c r="BF208" s="16"/>
      <c r="BG208" s="16"/>
      <c r="BN208" s="5"/>
      <c r="CB208" s="17"/>
      <c r="CI208" s="5"/>
      <c r="CJ208" s="5"/>
      <c r="CK208" s="5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67"/>
      <c r="CZ208" s="17"/>
    </row>
    <row r="209" spans="2:104" x14ac:dyDescent="0.2">
      <c r="B209" s="59"/>
      <c r="C209" s="59"/>
      <c r="D209" s="59"/>
      <c r="E209" s="109"/>
      <c r="F209" s="40"/>
      <c r="G209" s="103"/>
      <c r="H209" s="41"/>
      <c r="I209" s="143"/>
      <c r="J209" s="143"/>
      <c r="K209" s="141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D209" s="42"/>
      <c r="AE209" s="5"/>
      <c r="AG209" s="95"/>
      <c r="AH209" s="105"/>
      <c r="AI209" s="104"/>
      <c r="AJ209" s="104"/>
      <c r="AK209" s="104"/>
      <c r="AL209" s="104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  <c r="AX209" s="104"/>
      <c r="AY209" s="104"/>
      <c r="AZ209" s="104"/>
      <c r="BA209" s="104"/>
      <c r="BB209" s="104"/>
      <c r="BC209" s="16"/>
      <c r="BD209" s="16"/>
      <c r="BE209" s="16"/>
      <c r="BF209" s="16"/>
      <c r="BG209" s="16"/>
      <c r="BN209" s="5"/>
      <c r="CB209" s="17"/>
      <c r="CI209" s="5"/>
      <c r="CJ209" s="5"/>
      <c r="CK209" s="5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67"/>
      <c r="CZ209" s="17"/>
    </row>
    <row r="210" spans="2:104" x14ac:dyDescent="0.2">
      <c r="B210" s="59"/>
      <c r="C210" s="59"/>
      <c r="D210" s="59"/>
      <c r="E210" s="109"/>
      <c r="F210" s="40"/>
      <c r="G210" s="103"/>
      <c r="H210" s="41"/>
      <c r="I210" s="143"/>
      <c r="J210" s="143"/>
      <c r="K210" s="141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D210" s="42"/>
      <c r="AE210" s="5"/>
      <c r="AG210" s="95"/>
      <c r="AH210" s="105"/>
      <c r="AI210" s="104"/>
      <c r="AJ210" s="104"/>
      <c r="AK210" s="104"/>
      <c r="AL210" s="104"/>
      <c r="AM210" s="104"/>
      <c r="AN210" s="63"/>
      <c r="AO210" s="104"/>
      <c r="AP210" s="104"/>
      <c r="AQ210" s="104"/>
      <c r="AR210" s="104"/>
      <c r="AS210" s="104"/>
      <c r="AT210" s="104"/>
      <c r="AU210" s="104"/>
      <c r="AV210" s="104"/>
      <c r="AW210" s="104"/>
      <c r="AX210" s="104"/>
      <c r="AY210" s="104"/>
      <c r="AZ210" s="104"/>
      <c r="BA210" s="104"/>
      <c r="BB210" s="104"/>
      <c r="BC210" s="16"/>
      <c r="BD210" s="16"/>
      <c r="BE210" s="16"/>
      <c r="BF210" s="16"/>
      <c r="BG210" s="16"/>
      <c r="BN210" s="5"/>
      <c r="CB210" s="17"/>
      <c r="CI210" s="5"/>
      <c r="CJ210" s="5"/>
      <c r="CK210" s="5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67"/>
      <c r="CZ210" s="17"/>
    </row>
    <row r="211" spans="2:104" x14ac:dyDescent="0.2">
      <c r="B211" s="59"/>
      <c r="C211" s="59"/>
      <c r="D211" s="59"/>
      <c r="E211" s="109"/>
      <c r="F211" s="40"/>
      <c r="G211" s="103"/>
      <c r="H211" s="41"/>
      <c r="I211" s="143"/>
      <c r="J211" s="143"/>
      <c r="K211" s="141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D211" s="42"/>
      <c r="AE211" s="5"/>
      <c r="AG211" s="95"/>
      <c r="AH211" s="105"/>
      <c r="AI211" s="104"/>
      <c r="AJ211" s="104"/>
      <c r="AK211" s="104"/>
      <c r="AL211" s="104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  <c r="AW211" s="104"/>
      <c r="AX211" s="104"/>
      <c r="AY211" s="104"/>
      <c r="AZ211" s="104"/>
      <c r="BA211" s="104"/>
      <c r="BB211" s="104"/>
      <c r="BC211" s="16"/>
      <c r="BD211" s="16"/>
      <c r="BE211" s="16"/>
      <c r="BF211" s="16"/>
      <c r="BG211" s="16"/>
      <c r="BN211" s="5"/>
      <c r="CB211" s="17"/>
      <c r="CI211" s="5"/>
      <c r="CJ211" s="5"/>
      <c r="CK211" s="5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67"/>
      <c r="CZ211" s="17"/>
    </row>
    <row r="212" spans="2:104" x14ac:dyDescent="0.2">
      <c r="B212" s="59"/>
      <c r="C212" s="59"/>
      <c r="D212" s="59"/>
      <c r="E212" s="109"/>
      <c r="F212" s="40"/>
      <c r="G212" s="54"/>
      <c r="H212" s="41"/>
      <c r="I212" s="143"/>
      <c r="J212" s="143"/>
      <c r="K212" s="141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D212" s="42"/>
      <c r="AE212" s="5"/>
      <c r="AG212" s="95"/>
      <c r="AH212" s="105"/>
      <c r="AI212" s="104"/>
      <c r="AJ212" s="104"/>
      <c r="AK212" s="104"/>
      <c r="AL212" s="104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  <c r="AW212" s="104"/>
      <c r="AX212" s="104"/>
      <c r="AY212" s="104"/>
      <c r="AZ212" s="104"/>
      <c r="BA212" s="104"/>
      <c r="BB212" s="104"/>
      <c r="BC212" s="16"/>
      <c r="BD212" s="16"/>
      <c r="BE212" s="16"/>
      <c r="BF212" s="16"/>
      <c r="BG212" s="16"/>
      <c r="BN212" s="5"/>
      <c r="CB212" s="17"/>
      <c r="CI212" s="5"/>
      <c r="CJ212" s="5"/>
      <c r="CK212" s="5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67"/>
      <c r="CZ212" s="17"/>
    </row>
    <row r="213" spans="2:104" x14ac:dyDescent="0.2">
      <c r="B213" s="59"/>
      <c r="C213" s="59"/>
      <c r="D213" s="59"/>
      <c r="E213" s="109"/>
      <c r="F213" s="40"/>
      <c r="H213" s="41"/>
      <c r="I213" s="147"/>
      <c r="J213" s="147"/>
      <c r="K213" s="141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D213" s="42"/>
      <c r="AE213" s="5"/>
      <c r="AG213" s="95"/>
      <c r="AH213" s="105"/>
      <c r="AI213" s="104"/>
      <c r="AJ213" s="104"/>
      <c r="AK213" s="104"/>
      <c r="AL213" s="104"/>
      <c r="AM213" s="104"/>
      <c r="AN213" s="104"/>
      <c r="AO213" s="104"/>
      <c r="AP213" s="104"/>
      <c r="AQ213" s="104"/>
      <c r="AR213" s="104"/>
      <c r="AS213" s="63"/>
      <c r="AT213" s="104"/>
      <c r="AU213" s="104"/>
      <c r="AV213" s="104"/>
      <c r="AW213" s="104"/>
      <c r="AX213" s="104"/>
      <c r="AY213" s="104"/>
      <c r="AZ213" s="104"/>
      <c r="BA213" s="104"/>
      <c r="BB213" s="104"/>
      <c r="BC213" s="16"/>
      <c r="BD213" s="16"/>
      <c r="BE213" s="16"/>
      <c r="BF213" s="16"/>
      <c r="BG213" s="16"/>
      <c r="BN213" s="5"/>
      <c r="CB213" s="17"/>
      <c r="CI213" s="5"/>
      <c r="CJ213" s="5"/>
      <c r="CK213" s="5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67"/>
      <c r="CZ213" s="17"/>
    </row>
    <row r="214" spans="2:104" x14ac:dyDescent="0.2">
      <c r="B214" s="59"/>
      <c r="C214" s="59"/>
      <c r="D214" s="59"/>
      <c r="E214" s="109"/>
      <c r="F214" s="40"/>
      <c r="G214" s="103"/>
      <c r="H214" s="41"/>
      <c r="I214" s="143"/>
      <c r="J214" s="143"/>
      <c r="K214" s="141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D214" s="42"/>
      <c r="AE214" s="5"/>
      <c r="AG214" s="95"/>
      <c r="AH214" s="105"/>
      <c r="AI214" s="104"/>
      <c r="AJ214" s="104"/>
      <c r="AK214" s="104"/>
      <c r="AL214" s="104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  <c r="AW214" s="104"/>
      <c r="AX214" s="104"/>
      <c r="AY214" s="104"/>
      <c r="AZ214" s="104"/>
      <c r="BA214" s="104"/>
      <c r="BB214" s="104"/>
      <c r="BC214" s="16"/>
      <c r="BD214" s="16"/>
      <c r="BE214" s="16"/>
      <c r="BF214" s="16"/>
      <c r="BG214" s="16"/>
      <c r="BN214" s="5"/>
      <c r="CB214" s="17"/>
      <c r="CI214" s="5"/>
      <c r="CJ214" s="5"/>
      <c r="CK214" s="5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67"/>
      <c r="CZ214" s="17"/>
    </row>
    <row r="215" spans="2:104" x14ac:dyDescent="0.2">
      <c r="B215" s="59"/>
      <c r="C215" s="59"/>
      <c r="D215" s="59"/>
      <c r="E215" s="109"/>
      <c r="F215" s="40"/>
      <c r="G215" s="103"/>
      <c r="H215" s="41"/>
      <c r="I215" s="143"/>
      <c r="J215" s="143"/>
      <c r="K215" s="141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D215" s="42"/>
      <c r="AE215" s="5"/>
      <c r="AG215" s="95"/>
      <c r="AH215" s="63"/>
      <c r="AI215" s="104"/>
      <c r="AJ215" s="104"/>
      <c r="AK215" s="104"/>
      <c r="AL215" s="104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  <c r="AX215" s="104"/>
      <c r="AY215" s="104"/>
      <c r="AZ215" s="104"/>
      <c r="BA215" s="104"/>
      <c r="BB215" s="104"/>
      <c r="BC215" s="16"/>
      <c r="BD215" s="16"/>
      <c r="BE215" s="16"/>
      <c r="BF215" s="16"/>
      <c r="BG215" s="16"/>
      <c r="BN215" s="5"/>
      <c r="CB215" s="17"/>
      <c r="CI215" s="5"/>
      <c r="CJ215" s="5"/>
      <c r="CK215" s="5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67"/>
      <c r="CZ215" s="17"/>
    </row>
    <row r="216" spans="2:104" x14ac:dyDescent="0.2">
      <c r="B216" s="59"/>
      <c r="C216" s="59"/>
      <c r="D216" s="59"/>
      <c r="E216" s="109"/>
      <c r="F216" s="40"/>
      <c r="G216" s="103"/>
      <c r="H216" s="41"/>
      <c r="I216" s="143"/>
      <c r="J216" s="143"/>
      <c r="K216" s="141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D216" s="42"/>
      <c r="AE216" s="5"/>
      <c r="AG216" s="95"/>
      <c r="AH216" s="105"/>
      <c r="AI216" s="104"/>
      <c r="AJ216" s="104"/>
      <c r="AK216" s="104"/>
      <c r="AL216" s="104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  <c r="AW216" s="104"/>
      <c r="AX216" s="104"/>
      <c r="AY216" s="104"/>
      <c r="AZ216" s="104"/>
      <c r="BA216" s="104"/>
      <c r="BB216" s="104"/>
      <c r="BC216" s="16"/>
      <c r="BD216" s="16"/>
      <c r="BE216" s="16"/>
      <c r="BF216" s="16"/>
      <c r="BG216" s="16"/>
      <c r="BN216" s="5"/>
      <c r="CB216" s="17"/>
      <c r="CI216" s="5"/>
      <c r="CJ216" s="5"/>
      <c r="CK216" s="5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67"/>
      <c r="CZ216" s="17"/>
    </row>
    <row r="217" spans="2:104" x14ac:dyDescent="0.2">
      <c r="B217" s="59"/>
      <c r="C217" s="59"/>
      <c r="D217" s="59"/>
      <c r="E217" s="109"/>
      <c r="F217" s="40"/>
      <c r="G217" s="103"/>
      <c r="H217" s="41"/>
      <c r="I217" s="143"/>
      <c r="J217" s="143"/>
      <c r="K217" s="141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D217" s="42"/>
      <c r="AE217" s="5"/>
      <c r="AG217" s="95"/>
      <c r="AH217" s="105"/>
      <c r="AI217" s="104"/>
      <c r="AJ217" s="104"/>
      <c r="AK217" s="104"/>
      <c r="AL217" s="104"/>
      <c r="AM217" s="104"/>
      <c r="AN217" s="63"/>
      <c r="AO217" s="104"/>
      <c r="AP217" s="104"/>
      <c r="AQ217" s="63"/>
      <c r="AR217" s="104"/>
      <c r="AS217" s="63"/>
      <c r="AT217" s="63"/>
      <c r="AU217" s="63"/>
      <c r="AV217" s="104"/>
      <c r="AW217" s="104"/>
      <c r="AX217" s="104"/>
      <c r="AY217" s="104"/>
      <c r="AZ217" s="104"/>
      <c r="BA217" s="104"/>
      <c r="BB217" s="104"/>
      <c r="BC217" s="16"/>
      <c r="BD217" s="16"/>
      <c r="BE217" s="16"/>
      <c r="BF217" s="16"/>
      <c r="BG217" s="16"/>
      <c r="BN217" s="5"/>
      <c r="CB217" s="17"/>
      <c r="CI217" s="5"/>
      <c r="CJ217" s="5"/>
      <c r="CK217" s="5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67"/>
      <c r="CZ217" s="17"/>
    </row>
    <row r="218" spans="2:104" x14ac:dyDescent="0.2">
      <c r="B218" s="59"/>
      <c r="C218" s="59"/>
      <c r="D218" s="59"/>
      <c r="E218" s="109"/>
      <c r="F218" s="40"/>
      <c r="G218" s="103"/>
      <c r="H218" s="41"/>
      <c r="I218" s="143"/>
      <c r="J218" s="143"/>
      <c r="K218" s="141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D218" s="42"/>
      <c r="AE218" s="5"/>
      <c r="AG218" s="43"/>
      <c r="AH218" s="43"/>
      <c r="AI218" s="17"/>
      <c r="AJ218" s="17"/>
      <c r="AL218" s="42"/>
      <c r="AM218" s="42"/>
      <c r="AP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N218" s="5"/>
      <c r="BY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67"/>
    </row>
    <row r="219" spans="2:104" x14ac:dyDescent="0.2">
      <c r="B219" s="59"/>
      <c r="C219" s="59"/>
      <c r="D219" s="59"/>
      <c r="E219" s="109"/>
      <c r="F219" s="40"/>
      <c r="G219" s="54"/>
      <c r="H219" s="41"/>
      <c r="I219" s="143"/>
      <c r="J219" s="143"/>
      <c r="K219" s="141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D219" s="42"/>
      <c r="AE219" s="5"/>
      <c r="AG219" s="43"/>
      <c r="AH219" s="43"/>
      <c r="AI219" s="17"/>
      <c r="AJ219" s="17"/>
      <c r="AL219" s="42"/>
      <c r="AM219" s="42"/>
      <c r="AP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N219" s="5"/>
      <c r="BY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67"/>
    </row>
    <row r="220" spans="2:104" x14ac:dyDescent="0.2">
      <c r="B220" s="59"/>
      <c r="C220" s="59"/>
      <c r="D220" s="59"/>
      <c r="E220" s="109"/>
      <c r="F220" s="40"/>
      <c r="G220" s="103"/>
      <c r="H220" s="41"/>
      <c r="I220" s="143"/>
      <c r="J220" s="143"/>
      <c r="K220" s="141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D220" s="42"/>
      <c r="AE220" s="5"/>
      <c r="AG220" s="43"/>
      <c r="AH220" s="43"/>
      <c r="AI220" s="17"/>
      <c r="AJ220" s="17"/>
      <c r="AL220" s="42"/>
      <c r="AM220" s="42"/>
      <c r="AP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N220" s="5"/>
      <c r="BY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67"/>
    </row>
    <row r="221" spans="2:104" x14ac:dyDescent="0.2">
      <c r="B221" s="59"/>
      <c r="C221" s="59"/>
      <c r="D221" s="59"/>
      <c r="E221" s="109"/>
      <c r="F221" s="40"/>
      <c r="G221" s="103"/>
      <c r="H221" s="41"/>
      <c r="I221" s="143"/>
      <c r="J221" s="143"/>
      <c r="K221" s="141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D221" s="42"/>
      <c r="AE221" s="5"/>
      <c r="AG221" s="43"/>
      <c r="AH221" s="43"/>
      <c r="AI221" s="17"/>
      <c r="AJ221" s="17"/>
      <c r="AL221" s="42"/>
      <c r="AM221" s="42"/>
      <c r="AP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N221" s="5"/>
      <c r="BY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67"/>
    </row>
    <row r="222" spans="2:104" x14ac:dyDescent="0.2">
      <c r="F222" s="40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67"/>
    </row>
    <row r="223" spans="2:104" x14ac:dyDescent="0.2">
      <c r="F223" s="40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67"/>
    </row>
    <row r="224" spans="2:104" x14ac:dyDescent="0.2">
      <c r="F224" s="40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67"/>
    </row>
    <row r="225" spans="6:103" x14ac:dyDescent="0.2">
      <c r="F225" s="40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67"/>
    </row>
    <row r="226" spans="6:103" x14ac:dyDescent="0.2">
      <c r="F226" s="40"/>
      <c r="BI226" s="86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67"/>
    </row>
    <row r="227" spans="6:103" x14ac:dyDescent="0.2">
      <c r="F227" s="40"/>
      <c r="BI227" s="86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67"/>
    </row>
    <row r="228" spans="6:103" x14ac:dyDescent="0.2">
      <c r="F228" s="40"/>
      <c r="BI228" s="86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67"/>
    </row>
    <row r="229" spans="6:103" x14ac:dyDescent="0.2">
      <c r="F229" s="40"/>
      <c r="BI229" s="86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67"/>
    </row>
    <row r="230" spans="6:103" x14ac:dyDescent="0.2">
      <c r="F230" s="40"/>
      <c r="BI230" s="86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67"/>
    </row>
    <row r="231" spans="6:103" x14ac:dyDescent="0.2">
      <c r="F231" s="40"/>
      <c r="BI231" s="86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67"/>
    </row>
    <row r="232" spans="6:103" x14ac:dyDescent="0.2">
      <c r="F232" s="40"/>
      <c r="BI232" s="86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67"/>
    </row>
    <row r="233" spans="6:103" x14ac:dyDescent="0.2">
      <c r="F233" s="40"/>
      <c r="BI233" s="86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67"/>
    </row>
    <row r="234" spans="6:103" x14ac:dyDescent="0.2">
      <c r="F234" s="40"/>
      <c r="BI234" s="86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67"/>
    </row>
    <row r="235" spans="6:103" x14ac:dyDescent="0.2">
      <c r="F235" s="40"/>
      <c r="BI235" s="86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67"/>
    </row>
    <row r="236" spans="6:103" x14ac:dyDescent="0.2">
      <c r="F236" s="40"/>
      <c r="BI236" s="86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67"/>
    </row>
    <row r="237" spans="6:103" x14ac:dyDescent="0.2">
      <c r="F237" s="40"/>
      <c r="BI237" s="86"/>
    </row>
    <row r="238" spans="6:103" x14ac:dyDescent="0.2">
      <c r="F238" s="40"/>
      <c r="BI238" s="86"/>
    </row>
    <row r="239" spans="6:103" x14ac:dyDescent="0.2">
      <c r="F239" s="40"/>
    </row>
    <row r="240" spans="6:103" x14ac:dyDescent="0.2">
      <c r="F240" s="40"/>
    </row>
    <row r="241" spans="6:6" x14ac:dyDescent="0.2">
      <c r="F241" s="40"/>
    </row>
    <row r="242" spans="6:6" x14ac:dyDescent="0.2">
      <c r="F242" s="40"/>
    </row>
    <row r="243" spans="6:6" x14ac:dyDescent="0.2">
      <c r="F243" s="40"/>
    </row>
    <row r="244" spans="6:6" x14ac:dyDescent="0.2">
      <c r="F244" s="40"/>
    </row>
    <row r="245" spans="6:6" x14ac:dyDescent="0.2">
      <c r="F245" s="40"/>
    </row>
    <row r="246" spans="6:6" x14ac:dyDescent="0.2">
      <c r="F246" s="40"/>
    </row>
    <row r="247" spans="6:6" x14ac:dyDescent="0.2">
      <c r="F247" s="40"/>
    </row>
    <row r="248" spans="6:6" x14ac:dyDescent="0.2">
      <c r="F248" s="40"/>
    </row>
    <row r="249" spans="6:6" x14ac:dyDescent="0.2">
      <c r="F249" s="40"/>
    </row>
    <row r="250" spans="6:6" x14ac:dyDescent="0.2">
      <c r="F250" s="40"/>
    </row>
    <row r="251" spans="6:6" x14ac:dyDescent="0.2">
      <c r="F251" s="40"/>
    </row>
    <row r="252" spans="6:6" x14ac:dyDescent="0.2">
      <c r="F252" s="40"/>
    </row>
    <row r="253" spans="6:6" x14ac:dyDescent="0.2">
      <c r="F253" s="40"/>
    </row>
    <row r="254" spans="6:6" x14ac:dyDescent="0.2">
      <c r="F254" s="40"/>
    </row>
    <row r="255" spans="6:6" x14ac:dyDescent="0.2">
      <c r="F255" s="40"/>
    </row>
    <row r="256" spans="6:6" x14ac:dyDescent="0.2">
      <c r="F256" s="40"/>
    </row>
    <row r="257" spans="6:6" x14ac:dyDescent="0.2">
      <c r="F257" s="40"/>
    </row>
    <row r="258" spans="6:6" x14ac:dyDescent="0.2">
      <c r="F258" s="40"/>
    </row>
    <row r="259" spans="6:6" x14ac:dyDescent="0.2">
      <c r="F259" s="40"/>
    </row>
    <row r="260" spans="6:6" x14ac:dyDescent="0.2">
      <c r="F260" s="40"/>
    </row>
    <row r="261" spans="6:6" x14ac:dyDescent="0.2">
      <c r="F261" s="40"/>
    </row>
    <row r="262" spans="6:6" x14ac:dyDescent="0.2">
      <c r="F262" s="40"/>
    </row>
    <row r="263" spans="6:6" x14ac:dyDescent="0.2">
      <c r="F263" s="40"/>
    </row>
    <row r="264" spans="6:6" x14ac:dyDescent="0.2">
      <c r="F264" s="40"/>
    </row>
    <row r="265" spans="6:6" x14ac:dyDescent="0.2">
      <c r="F265" s="40"/>
    </row>
    <row r="266" spans="6:6" x14ac:dyDescent="0.2">
      <c r="F266" s="40"/>
    </row>
    <row r="267" spans="6:6" x14ac:dyDescent="0.2">
      <c r="F267" s="40"/>
    </row>
    <row r="268" spans="6:6" x14ac:dyDescent="0.2">
      <c r="F268" s="40"/>
    </row>
    <row r="269" spans="6:6" x14ac:dyDescent="0.2">
      <c r="F269" s="40"/>
    </row>
    <row r="270" spans="6:6" x14ac:dyDescent="0.2">
      <c r="F270" s="40"/>
    </row>
    <row r="271" spans="6:6" x14ac:dyDescent="0.2">
      <c r="F271" s="40"/>
    </row>
    <row r="272" spans="6:6" x14ac:dyDescent="0.2">
      <c r="F272" s="40"/>
    </row>
    <row r="273" spans="6:6" x14ac:dyDescent="0.2">
      <c r="F273" s="40"/>
    </row>
    <row r="274" spans="6:6" x14ac:dyDescent="0.2">
      <c r="F274" s="40"/>
    </row>
    <row r="275" spans="6:6" x14ac:dyDescent="0.2">
      <c r="F275" s="40"/>
    </row>
    <row r="276" spans="6:6" x14ac:dyDescent="0.2">
      <c r="F276" s="40"/>
    </row>
    <row r="277" spans="6:6" x14ac:dyDescent="0.2">
      <c r="F277" s="40"/>
    </row>
    <row r="278" spans="6:6" x14ac:dyDescent="0.2">
      <c r="F278" s="40"/>
    </row>
    <row r="279" spans="6:6" x14ac:dyDescent="0.2">
      <c r="F279" s="40"/>
    </row>
    <row r="280" spans="6:6" x14ac:dyDescent="0.2">
      <c r="F280" s="40"/>
    </row>
    <row r="281" spans="6:6" x14ac:dyDescent="0.2">
      <c r="F281" s="40"/>
    </row>
    <row r="282" spans="6:6" x14ac:dyDescent="0.2">
      <c r="F282" s="40"/>
    </row>
    <row r="283" spans="6:6" x14ac:dyDescent="0.2">
      <c r="F283" s="40"/>
    </row>
    <row r="284" spans="6:6" x14ac:dyDescent="0.2">
      <c r="F284" s="40"/>
    </row>
    <row r="285" spans="6:6" x14ac:dyDescent="0.2">
      <c r="F285" s="40"/>
    </row>
    <row r="286" spans="6:6" x14ac:dyDescent="0.2">
      <c r="F286" s="40"/>
    </row>
    <row r="287" spans="6:6" x14ac:dyDescent="0.2">
      <c r="F287" s="40"/>
    </row>
    <row r="288" spans="6:6" x14ac:dyDescent="0.2">
      <c r="F288" s="40"/>
    </row>
    <row r="289" spans="6:6" x14ac:dyDescent="0.2">
      <c r="F289" s="40"/>
    </row>
    <row r="290" spans="6:6" x14ac:dyDescent="0.2">
      <c r="F290" s="40"/>
    </row>
    <row r="291" spans="6:6" x14ac:dyDescent="0.2">
      <c r="F291" s="40"/>
    </row>
    <row r="292" spans="6:6" x14ac:dyDescent="0.2">
      <c r="F292" s="40"/>
    </row>
    <row r="293" spans="6:6" x14ac:dyDescent="0.2">
      <c r="F293" s="40"/>
    </row>
    <row r="294" spans="6:6" x14ac:dyDescent="0.2">
      <c r="F294" s="40"/>
    </row>
    <row r="295" spans="6:6" x14ac:dyDescent="0.2">
      <c r="F295" s="40"/>
    </row>
    <row r="296" spans="6:6" x14ac:dyDescent="0.2">
      <c r="F296" s="40"/>
    </row>
    <row r="297" spans="6:6" x14ac:dyDescent="0.2">
      <c r="F297" s="40"/>
    </row>
    <row r="298" spans="6:6" x14ac:dyDescent="0.2">
      <c r="F298" s="40"/>
    </row>
    <row r="299" spans="6:6" x14ac:dyDescent="0.2">
      <c r="F299" s="40"/>
    </row>
    <row r="300" spans="6:6" x14ac:dyDescent="0.2">
      <c r="F300" s="40"/>
    </row>
    <row r="301" spans="6:6" x14ac:dyDescent="0.2">
      <c r="F301" s="40"/>
    </row>
    <row r="302" spans="6:6" x14ac:dyDescent="0.2">
      <c r="F302" s="40"/>
    </row>
    <row r="303" spans="6:6" x14ac:dyDescent="0.2">
      <c r="F303" s="40"/>
    </row>
    <row r="304" spans="6:6" x14ac:dyDescent="0.2">
      <c r="F304" s="40"/>
    </row>
    <row r="305" spans="6:6" x14ac:dyDescent="0.2">
      <c r="F305" s="40"/>
    </row>
    <row r="306" spans="6:6" x14ac:dyDescent="0.2">
      <c r="F306" s="40"/>
    </row>
    <row r="307" spans="6:6" x14ac:dyDescent="0.2">
      <c r="F307" s="40"/>
    </row>
    <row r="308" spans="6:6" x14ac:dyDescent="0.2">
      <c r="F308" s="40"/>
    </row>
    <row r="309" spans="6:6" x14ac:dyDescent="0.2">
      <c r="F309" s="40"/>
    </row>
  </sheetData>
  <conditionalFormatting sqref="A193:XFD1048576 CZ164:XFD192 DL26:XFD44 DC45:XFD76 DC1:XFD25">
    <cfRule type="containsText" dxfId="2" priority="3" operator="containsText" text="&lt;">
      <formula>NOT(ISERROR(SEARCH("&lt;",A1)))</formula>
    </cfRule>
  </conditionalFormatting>
  <conditionalFormatting sqref="AR22:AR25 AI5 AL23:AM23 AL24:AL25 AL22 AL5 AT22:AW24 AV25:AW25 AI22:AI25 AK22:AK25 AX22:BB25 AJ23:AJ24">
    <cfRule type="beginsWith" dxfId="1" priority="1" operator="beginsWith" text="&lt;">
      <formula>LEFT(AI5,LEN("&lt;"))="&lt;"</formula>
    </cfRule>
    <cfRule type="cellIs" dxfId="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miljogifter_fisk_2010_2023</vt:lpstr>
      <vt:lpstr>Original</vt:lpstr>
      <vt:lpstr>mg_fisk_2010-2023 (bearbetad)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Åsa Andersson</dc:creator>
  <cp:lastModifiedBy>Anne Sørensen</cp:lastModifiedBy>
  <dcterms:created xsi:type="dcterms:W3CDTF">2015-09-15T12:19:06Z</dcterms:created>
  <dcterms:modified xsi:type="dcterms:W3CDTF">2026-07-27T14:54:05Z</dcterms:modified>
</cp:coreProperties>
</file>